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Ravi kumar meena\Downloads\"/>
    </mc:Choice>
  </mc:AlternateContent>
  <xr:revisionPtr revIDLastSave="0" documentId="13_ncr:1_{0ED6348A-7544-4026-9598-DD0769ABE27F}" xr6:coauthVersionLast="47" xr6:coauthVersionMax="47" xr10:uidLastSave="{00000000-0000-0000-0000-000000000000}"/>
  <bookViews>
    <workbookView xWindow="-108" yWindow="-108" windowWidth="23256" windowHeight="12456" firstSheet="3" activeTab="7" xr2:uid="{00000000-000D-0000-FFFF-FFFF00000000}"/>
  </bookViews>
  <sheets>
    <sheet name="Sheet1" sheetId="8" r:id="rId1"/>
    <sheet name="Data" sheetId="1" r:id="rId2"/>
    <sheet name="Funnel Summary" sheetId="2" r:id="rId3"/>
    <sheet name="TAT Summary" sheetId="3" r:id="rId4"/>
    <sheet name="Lead Type Summary" sheetId="5" r:id="rId5"/>
    <sheet name="Cancellation Summary" sheetId="4" r:id="rId6"/>
    <sheet name="NPS Summary" sheetId="6" r:id="rId7"/>
    <sheet name="Dashboard" sheetId="7" r:id="rId8"/>
  </sheets>
  <definedNames>
    <definedName name="_xlnm._FilterDatabase" localSheetId="1" hidden="1">Data!$A$1:$S$1001</definedName>
    <definedName name="_xlchart.v1.11" hidden="1">'Cancellation Summary'!$O$101:$O$106</definedName>
    <definedName name="_xlchart.v1.12" hidden="1">'Cancellation Summary'!$P$100</definedName>
    <definedName name="_xlchart.v1.13" hidden="1">'Cancellation Summary'!$P$101:$P$106</definedName>
    <definedName name="_xlchart.v1.14" hidden="1">'Cancellation Summary'!$Q$100</definedName>
    <definedName name="_xlchart.v1.15" hidden="1">'Cancellation Summary'!$Q$101:$Q$106</definedName>
    <definedName name="_xlchart.v1.16" hidden="1">'Cancellation Summary'!$R$100</definedName>
    <definedName name="_xlchart.v1.17" hidden="1">'Cancellation Summary'!$R$101:$R$106</definedName>
    <definedName name="_xlchart.v1.18" hidden="1">'Cancellation Summary'!$S$100</definedName>
    <definedName name="_xlchart.v1.19" hidden="1">'Cancellation Summary'!$S$101:$S$106</definedName>
    <definedName name="_xlchart.v1.20" hidden="1">'Cancellation Summary'!$T$100</definedName>
    <definedName name="_xlchart.v1.21" hidden="1">'Cancellation Summary'!$T$101:$T$106</definedName>
    <definedName name="_xlchart.v1.22" hidden="1">'Cancellation Summary'!$O$101:$O$106</definedName>
    <definedName name="_xlchart.v1.23" hidden="1">'Cancellation Summary'!$P$100</definedName>
    <definedName name="_xlchart.v1.24" hidden="1">'Cancellation Summary'!$P$101:$P$106</definedName>
    <definedName name="_xlchart.v1.25" hidden="1">'Cancellation Summary'!$Q$100</definedName>
    <definedName name="_xlchart.v1.26" hidden="1">'Cancellation Summary'!$Q$101:$Q$106</definedName>
    <definedName name="_xlchart.v1.27" hidden="1">'Cancellation Summary'!$R$100</definedName>
    <definedName name="_xlchart.v1.28" hidden="1">'Cancellation Summary'!$R$101:$R$106</definedName>
    <definedName name="_xlchart.v1.29" hidden="1">'Cancellation Summary'!$S$100</definedName>
    <definedName name="_xlchart.v1.30" hidden="1">'Cancellation Summary'!$S$101:$S$106</definedName>
    <definedName name="_xlchart.v1.31" hidden="1">'Cancellation Summary'!$T$100</definedName>
    <definedName name="_xlchart.v1.32" hidden="1">'Cancellation Summary'!$T$101:$T$106</definedName>
    <definedName name="_xlchart.v1.33" hidden="1">'Cancellation Summary'!$A$101:$A$107</definedName>
    <definedName name="_xlchart.v1.34" hidden="1">'Cancellation Summary'!$B$100</definedName>
    <definedName name="_xlchart.v1.35" hidden="1">'Cancellation Summary'!$B$101:$B$107</definedName>
    <definedName name="_xlchart.v1.36" hidden="1">'Cancellation Summary'!$C$100</definedName>
    <definedName name="_xlchart.v1.37" hidden="1">'Cancellation Summary'!$C$101:$C$107</definedName>
    <definedName name="_xlchart.v1.38" hidden="1">'Cancellation Summary'!$D$100</definedName>
    <definedName name="_xlchart.v1.39" hidden="1">'Cancellation Summary'!$D$101:$D$107</definedName>
    <definedName name="_xlchart.v1.40" hidden="1">'Cancellation Summary'!$E$100</definedName>
    <definedName name="_xlchart.v1.41" hidden="1">'Cancellation Summary'!$E$101:$E$107</definedName>
    <definedName name="_xlchart.v1.42" hidden="1">'Cancellation Summary'!$O$101:$O$106</definedName>
    <definedName name="_xlchart.v1.43" hidden="1">'Cancellation Summary'!$P$100</definedName>
    <definedName name="_xlchart.v1.44" hidden="1">'Cancellation Summary'!$P$101:$P$106</definedName>
    <definedName name="_xlchart.v1.45" hidden="1">'Cancellation Summary'!$Q$100</definedName>
    <definedName name="_xlchart.v1.46" hidden="1">'Cancellation Summary'!$Q$101:$Q$106</definedName>
    <definedName name="_xlchart.v1.47" hidden="1">'Cancellation Summary'!$R$100</definedName>
    <definedName name="_xlchart.v1.48" hidden="1">'Cancellation Summary'!$R$101:$R$106</definedName>
    <definedName name="_xlchart.v1.49" hidden="1">'Cancellation Summary'!$S$100</definedName>
    <definedName name="_xlchart.v1.50" hidden="1">'Cancellation Summary'!$S$101:$S$106</definedName>
    <definedName name="_xlchart.v1.51" hidden="1">'Cancellation Summary'!$T$100</definedName>
    <definedName name="_xlchart.v1.52" hidden="1">'Cancellation Summary'!$T$101:$T$106</definedName>
    <definedName name="_xlchart.v2.0" hidden="1">'Funnel Summary'!$A$101</definedName>
    <definedName name="_xlchart.v2.1" hidden="1">'Funnel Summary'!$A$102</definedName>
    <definedName name="_xlchart.v2.10" hidden="1">'Funnel Summary'!$B$105:$F$105</definedName>
    <definedName name="_xlchart.v2.2" hidden="1">'Funnel Summary'!$A$103</definedName>
    <definedName name="_xlchart.v2.3" hidden="1">'Funnel Summary'!$A$104</definedName>
    <definedName name="_xlchart.v2.4" hidden="1">'Funnel Summary'!$A$105</definedName>
    <definedName name="_xlchart.v2.5" hidden="1">'Funnel Summary'!$B$100:$F$100</definedName>
    <definedName name="_xlchart.v2.53" hidden="1">'Funnel Summary'!$A$101</definedName>
    <definedName name="_xlchart.v2.54" hidden="1">'Funnel Summary'!$A$102</definedName>
    <definedName name="_xlchart.v2.55" hidden="1">'Funnel Summary'!$A$103</definedName>
    <definedName name="_xlchart.v2.56" hidden="1">'Funnel Summary'!$A$104</definedName>
    <definedName name="_xlchart.v2.57" hidden="1">'Funnel Summary'!$A$105</definedName>
    <definedName name="_xlchart.v2.58" hidden="1">'Funnel Summary'!$B$100:$F$100</definedName>
    <definedName name="_xlchart.v2.59" hidden="1">'Funnel Summary'!$B$101:$F$101</definedName>
    <definedName name="_xlchart.v2.6" hidden="1">'Funnel Summary'!$B$101:$F$101</definedName>
    <definedName name="_xlchart.v2.60" hidden="1">'Funnel Summary'!$B$102:$F$102</definedName>
    <definedName name="_xlchart.v2.61" hidden="1">'Funnel Summary'!$B$103:$F$103</definedName>
    <definedName name="_xlchart.v2.62" hidden="1">'Funnel Summary'!$B$104:$F$104</definedName>
    <definedName name="_xlchart.v2.63" hidden="1">'Funnel Summary'!$B$105:$F$105</definedName>
    <definedName name="_xlchart.v2.64" hidden="1">'Funnel Summary'!$A$101</definedName>
    <definedName name="_xlchart.v2.65" hidden="1">'Funnel Summary'!$A$102</definedName>
    <definedName name="_xlchart.v2.66" hidden="1">'Funnel Summary'!$A$103</definedName>
    <definedName name="_xlchart.v2.67" hidden="1">'Funnel Summary'!$A$104</definedName>
    <definedName name="_xlchart.v2.68" hidden="1">'Funnel Summary'!$A$105</definedName>
    <definedName name="_xlchart.v2.69" hidden="1">'Funnel Summary'!$B$100:$F$100</definedName>
    <definedName name="_xlchart.v2.7" hidden="1">'Funnel Summary'!$B$102:$F$102</definedName>
    <definedName name="_xlchart.v2.70" hidden="1">'Funnel Summary'!$B$101:$F$101</definedName>
    <definedName name="_xlchart.v2.71" hidden="1">'Funnel Summary'!$B$102:$F$102</definedName>
    <definedName name="_xlchart.v2.72" hidden="1">'Funnel Summary'!$B$103:$F$103</definedName>
    <definedName name="_xlchart.v2.73" hidden="1">'Funnel Summary'!$B$104:$F$104</definedName>
    <definedName name="_xlchart.v2.74" hidden="1">'Funnel Summary'!$B$105:$F$105</definedName>
    <definedName name="_xlchart.v2.8" hidden="1">'Funnel Summary'!$B$103:$F$103</definedName>
    <definedName name="_xlchart.v2.9" hidden="1">'Funnel Summary'!$B$104:$F$104</definedName>
    <definedName name="Slicer_Store_Name1">#N/A</definedName>
  </definedNames>
  <calcPr calcId="191028"/>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7" i="4" l="1"/>
  <c r="B107" i="4"/>
  <c r="C107" i="4"/>
  <c r="D107" i="4"/>
  <c r="E107" i="4"/>
  <c r="B106" i="4"/>
  <c r="C106" i="4"/>
  <c r="D106" i="4"/>
  <c r="E106" i="4"/>
  <c r="H2" i="2"/>
  <c r="H3" i="2"/>
  <c r="H4" i="2"/>
  <c r="H5" i="2"/>
  <c r="C100" i="2"/>
  <c r="D100" i="2"/>
  <c r="E100" i="2"/>
  <c r="F100" i="2"/>
  <c r="C101" i="2"/>
  <c r="D101" i="2"/>
  <c r="E101" i="2"/>
  <c r="F101" i="2"/>
  <c r="C102" i="2"/>
  <c r="D102" i="2"/>
  <c r="E102" i="2"/>
  <c r="F102" i="2"/>
  <c r="C103" i="2"/>
  <c r="D103" i="2"/>
  <c r="E103" i="2"/>
  <c r="F103" i="2"/>
  <c r="C104" i="2"/>
  <c r="D104" i="2"/>
  <c r="E104" i="2"/>
  <c r="F104" i="2"/>
  <c r="C105" i="2"/>
  <c r="D105" i="2"/>
  <c r="E105" i="2"/>
  <c r="F105" i="2"/>
  <c r="A105" i="2"/>
  <c r="B105" i="2"/>
  <c r="B100" i="2"/>
  <c r="B101" i="2"/>
  <c r="B102" i="2"/>
  <c r="B103" i="2"/>
  <c r="B104" i="2"/>
  <c r="A101" i="2"/>
  <c r="A102" i="2"/>
  <c r="A103" i="2"/>
  <c r="A104" i="2"/>
  <c r="A100" i="2"/>
  <c r="M2" i="2"/>
  <c r="M3" i="2"/>
  <c r="M4" i="2"/>
  <c r="M5" i="2"/>
  <c r="M6" i="2"/>
  <c r="L2" i="2"/>
  <c r="L3" i="2"/>
  <c r="L4" i="2"/>
  <c r="L5" i="2"/>
  <c r="L6" i="2"/>
  <c r="K2" i="2"/>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K2" i="1"/>
  <c r="A118" i="4"/>
  <c r="B100" i="6"/>
  <c r="A100" i="6"/>
  <c r="O101" i="5"/>
  <c r="P101" i="5"/>
  <c r="Q101" i="5"/>
  <c r="R101" i="5"/>
  <c r="S101" i="5"/>
  <c r="O102" i="5"/>
  <c r="P102" i="5"/>
  <c r="Q102" i="5"/>
  <c r="R102" i="5"/>
  <c r="S102" i="5"/>
  <c r="O103" i="5"/>
  <c r="P103" i="5"/>
  <c r="Q103" i="5"/>
  <c r="R103" i="5"/>
  <c r="S103" i="5"/>
  <c r="P100" i="5"/>
  <c r="Q100" i="5"/>
  <c r="R100" i="5"/>
  <c r="S100" i="5"/>
  <c r="O100" i="5"/>
  <c r="D107" i="5"/>
  <c r="C107" i="5"/>
  <c r="B107" i="5"/>
  <c r="A107" i="5"/>
  <c r="O100" i="4"/>
  <c r="O105" i="4"/>
  <c r="P105" i="4"/>
  <c r="Q105" i="4"/>
  <c r="R105" i="4"/>
  <c r="S105" i="4"/>
  <c r="T105" i="4"/>
  <c r="O106" i="4"/>
  <c r="P106" i="4"/>
  <c r="Q106" i="4"/>
  <c r="R106" i="4"/>
  <c r="S106" i="4"/>
  <c r="T106" i="4"/>
  <c r="O101" i="4"/>
  <c r="P101" i="4"/>
  <c r="Q101" i="4"/>
  <c r="R101" i="4"/>
  <c r="S101" i="4"/>
  <c r="T101" i="4"/>
  <c r="O102" i="4"/>
  <c r="P102" i="4"/>
  <c r="Q102" i="4"/>
  <c r="R102" i="4"/>
  <c r="S102" i="4"/>
  <c r="T102" i="4"/>
  <c r="O103" i="4"/>
  <c r="P103" i="4"/>
  <c r="Q103" i="4"/>
  <c r="R103" i="4"/>
  <c r="S103" i="4"/>
  <c r="T103" i="4"/>
  <c r="O104" i="4"/>
  <c r="P104" i="4"/>
  <c r="Q104" i="4"/>
  <c r="R104" i="4"/>
  <c r="S104" i="4"/>
  <c r="T104" i="4"/>
  <c r="P100" i="4"/>
  <c r="Q100" i="4"/>
  <c r="R100" i="4"/>
  <c r="S100" i="4"/>
  <c r="T100" i="4"/>
  <c r="A115" i="4"/>
  <c r="B115" i="4" s="1"/>
  <c r="A112" i="4"/>
  <c r="B112" i="4" s="1"/>
  <c r="A121" i="4"/>
  <c r="B121" i="4" s="1"/>
  <c r="A115" i="3"/>
  <c r="B115" i="3" s="1"/>
  <c r="A111" i="3"/>
  <c r="A108" i="3"/>
  <c r="A109" i="3"/>
  <c r="A110" i="3"/>
  <c r="A107" i="3"/>
  <c r="A101" i="5"/>
  <c r="B101" i="5"/>
  <c r="C101" i="5"/>
  <c r="D101" i="5"/>
  <c r="E101" i="5"/>
  <c r="F101" i="5"/>
  <c r="A102" i="5"/>
  <c r="B102" i="5"/>
  <c r="C102" i="5"/>
  <c r="D102" i="5"/>
  <c r="E102" i="5"/>
  <c r="F102" i="5"/>
  <c r="A103" i="5"/>
  <c r="B103" i="5"/>
  <c r="C103" i="5"/>
  <c r="D103" i="5"/>
  <c r="E103" i="5"/>
  <c r="F103" i="5"/>
  <c r="A105" i="4"/>
  <c r="B105" i="4"/>
  <c r="C105" i="4"/>
  <c r="D105" i="4"/>
  <c r="E105" i="4"/>
  <c r="A106" i="4"/>
  <c r="A101" i="4"/>
  <c r="B101" i="4"/>
  <c r="C101" i="4"/>
  <c r="D101" i="4"/>
  <c r="E101" i="4"/>
  <c r="A102" i="4"/>
  <c r="B102" i="4"/>
  <c r="C102" i="4"/>
  <c r="D102" i="4"/>
  <c r="E102" i="4"/>
  <c r="A103" i="4"/>
  <c r="B103" i="4"/>
  <c r="C103" i="4"/>
  <c r="D103" i="4"/>
  <c r="E103" i="4"/>
  <c r="A104" i="4"/>
  <c r="B104" i="4"/>
  <c r="C104" i="4"/>
  <c r="D104" i="4"/>
  <c r="E104" i="4"/>
  <c r="B100" i="4"/>
  <c r="C100" i="4"/>
  <c r="D100" i="4"/>
  <c r="E100" i="4"/>
  <c r="A100" i="4"/>
  <c r="B100" i="3"/>
  <c r="C100" i="3"/>
  <c r="D100" i="3"/>
  <c r="A100" i="3"/>
  <c r="A101" i="3"/>
  <c r="B101" i="3"/>
  <c r="C101" i="3"/>
  <c r="D101" i="3"/>
  <c r="B102" i="3"/>
  <c r="C102" i="3"/>
  <c r="D102" i="3"/>
  <c r="B103" i="3"/>
  <c r="C103" i="3"/>
  <c r="D103" i="3"/>
  <c r="B104" i="3"/>
  <c r="C104" i="3"/>
  <c r="D104" i="3"/>
  <c r="A102" i="3"/>
  <c r="A103" i="3"/>
  <c r="A104" i="3"/>
  <c r="K3" i="2"/>
  <c r="K4" i="2"/>
  <c r="K5" i="2"/>
  <c r="K6" i="2"/>
  <c r="J3" i="2"/>
  <c r="J4" i="2"/>
  <c r="J5" i="2"/>
  <c r="J6" i="2"/>
  <c r="J2" i="2"/>
  <c r="I3" i="2"/>
  <c r="I4" i="2"/>
  <c r="I5" i="2"/>
  <c r="I6" i="2"/>
  <c r="I2" i="2"/>
  <c r="I323" i="1"/>
  <c r="I655" i="1"/>
  <c r="I976" i="1"/>
  <c r="I88" i="1"/>
  <c r="I571" i="1"/>
  <c r="I130" i="1"/>
  <c r="I485" i="1"/>
  <c r="I880" i="1"/>
  <c r="I572" i="1"/>
  <c r="I2" i="1"/>
  <c r="I629" i="1"/>
  <c r="I324" i="1"/>
  <c r="I65" i="1"/>
  <c r="I131" i="1"/>
  <c r="I526" i="1"/>
  <c r="I255" i="1"/>
  <c r="I847" i="1"/>
  <c r="I573" i="1"/>
  <c r="I825" i="1"/>
  <c r="I224" i="1"/>
  <c r="I462" i="1"/>
  <c r="I3" i="1"/>
  <c r="I325" i="1"/>
  <c r="I725" i="1"/>
  <c r="I361" i="1"/>
  <c r="I160" i="1"/>
  <c r="I39" i="1"/>
  <c r="I427" i="1"/>
  <c r="I194" i="1"/>
  <c r="I486" i="1"/>
  <c r="I527" i="1"/>
  <c r="I574" i="1"/>
  <c r="I132" i="1"/>
  <c r="I225" i="1"/>
  <c r="I394" i="1"/>
  <c r="I726" i="1"/>
  <c r="I656" i="1"/>
  <c r="I89" i="1"/>
  <c r="I764" i="1"/>
  <c r="I133" i="1"/>
  <c r="I40" i="1"/>
  <c r="I916" i="1"/>
  <c r="I727" i="1"/>
  <c r="I66" i="1"/>
  <c r="I528" i="1"/>
  <c r="I765" i="1"/>
  <c r="I195" i="1"/>
  <c r="I529" i="1"/>
  <c r="I395" i="1"/>
  <c r="I362" i="1"/>
  <c r="I288" i="1"/>
  <c r="I604" i="1"/>
  <c r="I657" i="1"/>
  <c r="I977" i="1"/>
  <c r="I487" i="1"/>
  <c r="I90" i="1"/>
  <c r="I658" i="1"/>
  <c r="I826" i="1"/>
  <c r="I488" i="1"/>
  <c r="I802" i="1"/>
  <c r="I630" i="1"/>
  <c r="I161" i="1"/>
  <c r="I728" i="1"/>
  <c r="I659" i="1"/>
  <c r="I729" i="1"/>
  <c r="I67" i="1"/>
  <c r="I363" i="1"/>
  <c r="I256" i="1"/>
  <c r="I68" i="1"/>
  <c r="I730" i="1"/>
  <c r="I428" i="1"/>
  <c r="I978" i="1"/>
  <c r="I463" i="1"/>
  <c r="I4" i="1"/>
  <c r="I803" i="1"/>
  <c r="I917" i="1"/>
  <c r="I766" i="1"/>
  <c r="I226" i="1"/>
  <c r="I575" i="1"/>
  <c r="I489" i="1"/>
  <c r="I429" i="1"/>
  <c r="I196" i="1"/>
  <c r="I767" i="1"/>
  <c r="I257" i="1"/>
  <c r="I490" i="1"/>
  <c r="I326" i="1"/>
  <c r="I258" i="1"/>
  <c r="I491" i="1"/>
  <c r="I530" i="1"/>
  <c r="I162" i="1"/>
  <c r="I979" i="1"/>
  <c r="I918" i="1"/>
  <c r="I686" i="1"/>
  <c r="I768" i="1"/>
  <c r="I605" i="1"/>
  <c r="I259" i="1"/>
  <c r="I769" i="1"/>
  <c r="I687" i="1"/>
  <c r="I289" i="1"/>
  <c r="I396" i="1"/>
  <c r="I631" i="1"/>
  <c r="I492" i="1"/>
  <c r="I430" i="1"/>
  <c r="I464" i="1"/>
  <c r="I632" i="1"/>
  <c r="I576" i="1"/>
  <c r="I227" i="1"/>
  <c r="I431" i="1"/>
  <c r="I660" i="1"/>
  <c r="I633" i="1"/>
  <c r="I260" i="1"/>
  <c r="I531" i="1"/>
  <c r="I731" i="1"/>
  <c r="I688" i="1"/>
  <c r="I732" i="1"/>
  <c r="I770" i="1"/>
  <c r="I881" i="1"/>
  <c r="I228" i="1"/>
  <c r="I804" i="1"/>
  <c r="I661" i="1"/>
  <c r="I882" i="1"/>
  <c r="I229" i="1"/>
  <c r="I432" i="1"/>
  <c r="I5" i="1"/>
  <c r="I197" i="1"/>
  <c r="I261" i="1"/>
  <c r="I827" i="1"/>
  <c r="I805" i="1"/>
  <c r="I806" i="1"/>
  <c r="I230" i="1"/>
  <c r="I493" i="1"/>
  <c r="I733" i="1"/>
  <c r="I231" i="1"/>
  <c r="I397" i="1"/>
  <c r="I198" i="1"/>
  <c r="I465" i="1"/>
  <c r="I364" i="1"/>
  <c r="I689" i="1"/>
  <c r="I883" i="1"/>
  <c r="I134" i="1"/>
  <c r="I807" i="1"/>
  <c r="I690" i="1"/>
  <c r="I771" i="1"/>
  <c r="I634" i="1"/>
  <c r="I828" i="1"/>
  <c r="I691" i="1"/>
  <c r="I980" i="1"/>
  <c r="I262" i="1"/>
  <c r="I433" i="1"/>
  <c r="I848" i="1"/>
  <c r="I734" i="1"/>
  <c r="I948" i="1"/>
  <c r="I949" i="1"/>
  <c r="I434" i="1"/>
  <c r="I692" i="1"/>
  <c r="I263" i="1"/>
  <c r="I6" i="1"/>
  <c r="I849" i="1"/>
  <c r="I327" i="1"/>
  <c r="I91" i="1"/>
  <c r="I199" i="1"/>
  <c r="I494" i="1"/>
  <c r="I884" i="1"/>
  <c r="I92" i="1"/>
  <c r="I981" i="1"/>
  <c r="I398" i="1"/>
  <c r="I693" i="1"/>
  <c r="I495" i="1"/>
  <c r="I496" i="1"/>
  <c r="I532" i="1"/>
  <c r="I662" i="1"/>
  <c r="I829" i="1"/>
  <c r="I7" i="1"/>
  <c r="I950" i="1"/>
  <c r="I735" i="1"/>
  <c r="I8" i="1"/>
  <c r="I93" i="1"/>
  <c r="I497" i="1"/>
  <c r="I885" i="1"/>
  <c r="I135" i="1"/>
  <c r="I919" i="1"/>
  <c r="I606" i="1"/>
  <c r="I498" i="1"/>
  <c r="I920" i="1"/>
  <c r="I399" i="1"/>
  <c r="I328" i="1"/>
  <c r="I290" i="1"/>
  <c r="I951" i="1"/>
  <c r="I850" i="1"/>
  <c r="I851" i="1"/>
  <c r="I163" i="1"/>
  <c r="I400" i="1"/>
  <c r="I9" i="1"/>
  <c r="I694" i="1"/>
  <c r="I921" i="1"/>
  <c r="I772" i="1"/>
  <c r="I886" i="1"/>
  <c r="I435" i="1"/>
  <c r="I200" i="1"/>
  <c r="I577" i="1"/>
  <c r="I365" i="1"/>
  <c r="I366" i="1"/>
  <c r="I164" i="1"/>
  <c r="I367" i="1"/>
  <c r="I773" i="1"/>
  <c r="I201" i="1"/>
  <c r="I466" i="1"/>
  <c r="I607" i="1"/>
  <c r="I533" i="1"/>
  <c r="I41" i="1"/>
  <c r="I534" i="1"/>
  <c r="I695" i="1"/>
  <c r="I94" i="1"/>
  <c r="I401" i="1"/>
  <c r="I578" i="1"/>
  <c r="I696" i="1"/>
  <c r="I402" i="1"/>
  <c r="I368" i="1"/>
  <c r="I952" i="1"/>
  <c r="I369" i="1"/>
  <c r="I10" i="1"/>
  <c r="I232" i="1"/>
  <c r="I887" i="1"/>
  <c r="I11" i="1"/>
  <c r="I202" i="1"/>
  <c r="I808" i="1"/>
  <c r="I329" i="1"/>
  <c r="I809" i="1"/>
  <c r="I736" i="1"/>
  <c r="I291" i="1"/>
  <c r="I922" i="1"/>
  <c r="I830" i="1"/>
  <c r="I774" i="1"/>
  <c r="I831" i="1"/>
  <c r="I436" i="1"/>
  <c r="I923" i="1"/>
  <c r="I832" i="1"/>
  <c r="I982" i="1"/>
  <c r="I579" i="1"/>
  <c r="I535" i="1"/>
  <c r="I264" i="1"/>
  <c r="I370" i="1"/>
  <c r="I499" i="1"/>
  <c r="I697" i="1"/>
  <c r="I953" i="1"/>
  <c r="I775" i="1"/>
  <c r="I698" i="1"/>
  <c r="I265" i="1"/>
  <c r="I699" i="1"/>
  <c r="I266" i="1"/>
  <c r="I95" i="1"/>
  <c r="I536" i="1"/>
  <c r="I924" i="1"/>
  <c r="I292" i="1"/>
  <c r="I776" i="1"/>
  <c r="I42" i="1"/>
  <c r="I737" i="1"/>
  <c r="I165" i="1"/>
  <c r="I166" i="1"/>
  <c r="I330" i="1"/>
  <c r="I403" i="1"/>
  <c r="I293" i="1"/>
  <c r="I167" i="1"/>
  <c r="I43" i="1"/>
  <c r="I810" i="1"/>
  <c r="I580" i="1"/>
  <c r="I888" i="1"/>
  <c r="I437" i="1"/>
  <c r="I777" i="1"/>
  <c r="I331" i="1"/>
  <c r="I852" i="1"/>
  <c r="I44" i="1"/>
  <c r="I738" i="1"/>
  <c r="I136" i="1"/>
  <c r="I853" i="1"/>
  <c r="I925" i="1"/>
  <c r="I954" i="1"/>
  <c r="I833" i="1"/>
  <c r="I168" i="1"/>
  <c r="I700" i="1"/>
  <c r="I371" i="1"/>
  <c r="I233" i="1"/>
  <c r="I137" i="1"/>
  <c r="I404" i="1"/>
  <c r="I45" i="1"/>
  <c r="I701" i="1"/>
  <c r="I537" i="1"/>
  <c r="I889" i="1"/>
  <c r="I538" i="1"/>
  <c r="I267" i="1"/>
  <c r="I702" i="1"/>
  <c r="I268" i="1"/>
  <c r="I608" i="1"/>
  <c r="I12" i="1"/>
  <c r="I739" i="1"/>
  <c r="I467" i="1"/>
  <c r="I438" i="1"/>
  <c r="I500" i="1"/>
  <c r="I539" i="1"/>
  <c r="I926" i="1"/>
  <c r="I372" i="1"/>
  <c r="I955" i="1"/>
  <c r="I69" i="1"/>
  <c r="I581" i="1"/>
  <c r="I234" i="1"/>
  <c r="I663" i="1"/>
  <c r="I373" i="1"/>
  <c r="I740" i="1"/>
  <c r="I983" i="1"/>
  <c r="I927" i="1"/>
  <c r="I778" i="1"/>
  <c r="I13" i="1"/>
  <c r="I294" i="1"/>
  <c r="I138" i="1"/>
  <c r="I96" i="1"/>
  <c r="I405" i="1"/>
  <c r="I406" i="1"/>
  <c r="I14" i="1"/>
  <c r="I984" i="1"/>
  <c r="I203" i="1"/>
  <c r="I295" i="1"/>
  <c r="I139" i="1"/>
  <c r="I741" i="1"/>
  <c r="I407" i="1"/>
  <c r="I956" i="1"/>
  <c r="I204" i="1"/>
  <c r="I205" i="1"/>
  <c r="I834" i="1"/>
  <c r="I501" i="1"/>
  <c r="I468" i="1"/>
  <c r="I332" i="1"/>
  <c r="I540" i="1"/>
  <c r="I46" i="1"/>
  <c r="I742" i="1"/>
  <c r="I835" i="1"/>
  <c r="I408" i="1"/>
  <c r="I582" i="1"/>
  <c r="I333" i="1"/>
  <c r="I140" i="1"/>
  <c r="I502" i="1"/>
  <c r="I928" i="1"/>
  <c r="I503" i="1"/>
  <c r="I635" i="1"/>
  <c r="I583" i="1"/>
  <c r="I664" i="1"/>
  <c r="I665" i="1"/>
  <c r="I296" i="1"/>
  <c r="I890" i="1"/>
  <c r="I97" i="1"/>
  <c r="I836" i="1"/>
  <c r="I666" i="1"/>
  <c r="I584" i="1"/>
  <c r="I269" i="1"/>
  <c r="I504" i="1"/>
  <c r="I703" i="1"/>
  <c r="I297" i="1"/>
  <c r="I15" i="1"/>
  <c r="I609" i="1"/>
  <c r="I141" i="1"/>
  <c r="I206" i="1"/>
  <c r="I439" i="1"/>
  <c r="I957" i="1"/>
  <c r="I541" i="1"/>
  <c r="I929" i="1"/>
  <c r="I667" i="1"/>
  <c r="I743" i="1"/>
  <c r="I668" i="1"/>
  <c r="I891" i="1"/>
  <c r="I207" i="1"/>
  <c r="I610" i="1"/>
  <c r="I98" i="1"/>
  <c r="I469" i="1"/>
  <c r="I142" i="1"/>
  <c r="I985" i="1"/>
  <c r="I298" i="1"/>
  <c r="I99" i="1"/>
  <c r="I440" i="1"/>
  <c r="I542" i="1"/>
  <c r="I585" i="1"/>
  <c r="I958" i="1"/>
  <c r="I811" i="1"/>
  <c r="I470" i="1"/>
  <c r="I636" i="1"/>
  <c r="I374" i="1"/>
  <c r="I208" i="1"/>
  <c r="I505" i="1"/>
  <c r="I334" i="1"/>
  <c r="I543" i="1"/>
  <c r="I209" i="1"/>
  <c r="I959" i="1"/>
  <c r="I812" i="1"/>
  <c r="I744" i="1"/>
  <c r="I441" i="1"/>
  <c r="I854" i="1"/>
  <c r="I47" i="1"/>
  <c r="I704" i="1"/>
  <c r="I544" i="1"/>
  <c r="I70" i="1"/>
  <c r="I270" i="1"/>
  <c r="I506" i="1"/>
  <c r="I892" i="1"/>
  <c r="I986" i="1"/>
  <c r="I335" i="1"/>
  <c r="I375" i="1"/>
  <c r="I169" i="1"/>
  <c r="I779" i="1"/>
  <c r="I271" i="1"/>
  <c r="I837" i="1"/>
  <c r="I705" i="1"/>
  <c r="I442" i="1"/>
  <c r="I987" i="1"/>
  <c r="I443" i="1"/>
  <c r="I586" i="1"/>
  <c r="I930" i="1"/>
  <c r="I780" i="1"/>
  <c r="I143" i="1"/>
  <c r="I48" i="1"/>
  <c r="I893" i="1"/>
  <c r="I545" i="1"/>
  <c r="I16" i="1"/>
  <c r="I894" i="1"/>
  <c r="I336" i="1"/>
  <c r="I144" i="1"/>
  <c r="I855" i="1"/>
  <c r="I507" i="1"/>
  <c r="I49" i="1"/>
  <c r="I272" i="1"/>
  <c r="I706" i="1"/>
  <c r="I471" i="1"/>
  <c r="I273" i="1"/>
  <c r="I745" i="1"/>
  <c r="I587" i="1"/>
  <c r="I145" i="1"/>
  <c r="I508" i="1"/>
  <c r="I509" i="1"/>
  <c r="I781" i="1"/>
  <c r="I546" i="1"/>
  <c r="I444" i="1"/>
  <c r="I856" i="1"/>
  <c r="I611" i="1"/>
  <c r="I813" i="1"/>
  <c r="I50" i="1"/>
  <c r="I376" i="1"/>
  <c r="I472" i="1"/>
  <c r="I235" i="1"/>
  <c r="I71" i="1"/>
  <c r="I857" i="1"/>
  <c r="I100" i="1"/>
  <c r="I931" i="1"/>
  <c r="I746" i="1"/>
  <c r="I210" i="1"/>
  <c r="I170" i="1"/>
  <c r="I101" i="1"/>
  <c r="I588" i="1"/>
  <c r="I669" i="1"/>
  <c r="I51" i="1"/>
  <c r="I171" i="1"/>
  <c r="I473" i="1"/>
  <c r="I747" i="1"/>
  <c r="I146" i="1"/>
  <c r="I988" i="1"/>
  <c r="I707" i="1"/>
  <c r="I236" i="1"/>
  <c r="I708" i="1"/>
  <c r="I147" i="1"/>
  <c r="I409" i="1"/>
  <c r="I410" i="1"/>
  <c r="I299" i="1"/>
  <c r="I510" i="1"/>
  <c r="I102" i="1"/>
  <c r="I858" i="1"/>
  <c r="I547" i="1"/>
  <c r="I445" i="1"/>
  <c r="I511" i="1"/>
  <c r="I637" i="1"/>
  <c r="I670" i="1"/>
  <c r="I446" i="1"/>
  <c r="I211" i="1"/>
  <c r="I447" i="1"/>
  <c r="I612" i="1"/>
  <c r="I548" i="1"/>
  <c r="I52" i="1"/>
  <c r="I671" i="1"/>
  <c r="I103" i="1"/>
  <c r="I814" i="1"/>
  <c r="I274" i="1"/>
  <c r="I782" i="1"/>
  <c r="I411" i="1"/>
  <c r="I613" i="1"/>
  <c r="I783" i="1"/>
  <c r="I104" i="1"/>
  <c r="I212" i="1"/>
  <c r="I589" i="1"/>
  <c r="I960" i="1"/>
  <c r="I672" i="1"/>
  <c r="I237" i="1"/>
  <c r="I512" i="1"/>
  <c r="I275" i="1"/>
  <c r="I53" i="1"/>
  <c r="I172" i="1"/>
  <c r="I614" i="1"/>
  <c r="I615" i="1"/>
  <c r="I300" i="1"/>
  <c r="I173" i="1"/>
  <c r="I148" i="1"/>
  <c r="I337" i="1"/>
  <c r="I859" i="1"/>
  <c r="I513" i="1"/>
  <c r="I17" i="1"/>
  <c r="I961" i="1"/>
  <c r="I860" i="1"/>
  <c r="I474" i="1"/>
  <c r="I18" i="1"/>
  <c r="I412" i="1"/>
  <c r="I673" i="1"/>
  <c r="I105" i="1"/>
  <c r="I895" i="1"/>
  <c r="I106" i="1"/>
  <c r="I107" i="1"/>
  <c r="I549" i="1"/>
  <c r="I896" i="1"/>
  <c r="I475" i="1"/>
  <c r="I54" i="1"/>
  <c r="I550" i="1"/>
  <c r="I989" i="1"/>
  <c r="I238" i="1"/>
  <c r="I861" i="1"/>
  <c r="I590" i="1"/>
  <c r="I108" i="1"/>
  <c r="I338" i="1"/>
  <c r="I862" i="1"/>
  <c r="I932" i="1"/>
  <c r="I514" i="1"/>
  <c r="I174" i="1"/>
  <c r="I748" i="1"/>
  <c r="I674" i="1"/>
  <c r="I377" i="1"/>
  <c r="I276" i="1"/>
  <c r="I616" i="1"/>
  <c r="I339" i="1"/>
  <c r="I933" i="1"/>
  <c r="I109" i="1"/>
  <c r="I675" i="1"/>
  <c r="I110" i="1"/>
  <c r="I301" i="1"/>
  <c r="I111" i="1"/>
  <c r="I448" i="1"/>
  <c r="I617" i="1"/>
  <c r="I19" i="1"/>
  <c r="I676" i="1"/>
  <c r="I340" i="1"/>
  <c r="I277" i="1"/>
  <c r="I72" i="1"/>
  <c r="I213" i="1"/>
  <c r="I515" i="1"/>
  <c r="I112" i="1"/>
  <c r="I449" i="1"/>
  <c r="I962" i="1"/>
  <c r="I378" i="1"/>
  <c r="I934" i="1"/>
  <c r="I784" i="1"/>
  <c r="I341" i="1"/>
  <c r="I302" i="1"/>
  <c r="I55" i="1"/>
  <c r="I709" i="1"/>
  <c r="I785" i="1"/>
  <c r="I239" i="1"/>
  <c r="I935" i="1"/>
  <c r="I591" i="1"/>
  <c r="I897" i="1"/>
  <c r="I214" i="1"/>
  <c r="I342" i="1"/>
  <c r="I278" i="1"/>
  <c r="I113" i="1"/>
  <c r="I898" i="1"/>
  <c r="I551" i="1"/>
  <c r="I838" i="1"/>
  <c r="I279" i="1"/>
  <c r="I710" i="1"/>
  <c r="I73" i="1"/>
  <c r="I990" i="1"/>
  <c r="I963" i="1"/>
  <c r="I677" i="1"/>
  <c r="I175" i="1"/>
  <c r="I964" i="1"/>
  <c r="I711" i="1"/>
  <c r="I638" i="1"/>
  <c r="I639" i="1"/>
  <c r="I592" i="1"/>
  <c r="I863" i="1"/>
  <c r="I786" i="1"/>
  <c r="I476" i="1"/>
  <c r="I593" i="1"/>
  <c r="I413" i="1"/>
  <c r="I303" i="1"/>
  <c r="I176" i="1"/>
  <c r="I839" i="1"/>
  <c r="I840" i="1"/>
  <c r="I841" i="1"/>
  <c r="I936" i="1"/>
  <c r="I379" i="1"/>
  <c r="I114" i="1"/>
  <c r="I618" i="1"/>
  <c r="I380" i="1"/>
  <c r="I304" i="1"/>
  <c r="I787" i="1"/>
  <c r="I516" i="1"/>
  <c r="I56" i="1"/>
  <c r="I414" i="1"/>
  <c r="I864" i="1"/>
  <c r="I788" i="1"/>
  <c r="I552" i="1"/>
  <c r="I343" i="1"/>
  <c r="I749" i="1"/>
  <c r="I553" i="1"/>
  <c r="I750" i="1"/>
  <c r="I305" i="1"/>
  <c r="I991" i="1"/>
  <c r="I74" i="1"/>
  <c r="I177" i="1"/>
  <c r="I554" i="1"/>
  <c r="I75" i="1"/>
  <c r="I712" i="1"/>
  <c r="I306" i="1"/>
  <c r="I450" i="1"/>
  <c r="I842" i="1"/>
  <c r="I937" i="1"/>
  <c r="I555" i="1"/>
  <c r="I20" i="1"/>
  <c r="I640" i="1"/>
  <c r="I415" i="1"/>
  <c r="I713" i="1"/>
  <c r="I344" i="1"/>
  <c r="I21" i="1"/>
  <c r="I594" i="1"/>
  <c r="I280" i="1"/>
  <c r="I751" i="1"/>
  <c r="I556" i="1"/>
  <c r="I115" i="1"/>
  <c r="I714" i="1"/>
  <c r="I815" i="1"/>
  <c r="I619" i="1"/>
  <c r="I116" i="1"/>
  <c r="I517" i="1"/>
  <c r="I899" i="1"/>
  <c r="I789" i="1"/>
  <c r="I620" i="1"/>
  <c r="I416" i="1"/>
  <c r="I641" i="1"/>
  <c r="I417" i="1"/>
  <c r="I715" i="1"/>
  <c r="I281" i="1"/>
  <c r="I716" i="1"/>
  <c r="I992" i="1"/>
  <c r="I149" i="1"/>
  <c r="I307" i="1"/>
  <c r="I621" i="1"/>
  <c r="I752" i="1"/>
  <c r="I993" i="1"/>
  <c r="I418" i="1"/>
  <c r="I117" i="1"/>
  <c r="I308" i="1"/>
  <c r="I215" i="1"/>
  <c r="I240" i="1"/>
  <c r="I965" i="1"/>
  <c r="I57" i="1"/>
  <c r="I381" i="1"/>
  <c r="I241" i="1"/>
  <c r="I518" i="1"/>
  <c r="I150" i="1"/>
  <c r="I76" i="1"/>
  <c r="I77" i="1"/>
  <c r="I717" i="1"/>
  <c r="I216" i="1"/>
  <c r="I178" i="1"/>
  <c r="I790" i="1"/>
  <c r="I382" i="1"/>
  <c r="I179" i="1"/>
  <c r="I642" i="1"/>
  <c r="I791" i="1"/>
  <c r="I345" i="1"/>
  <c r="I816" i="1"/>
  <c r="I383" i="1"/>
  <c r="I753" i="1"/>
  <c r="I309" i="1"/>
  <c r="I217" i="1"/>
  <c r="I242" i="1"/>
  <c r="I218" i="1"/>
  <c r="I310" i="1"/>
  <c r="I311" i="1"/>
  <c r="I151" i="1"/>
  <c r="I865" i="1"/>
  <c r="I346" i="1"/>
  <c r="I900" i="1"/>
  <c r="I78" i="1"/>
  <c r="I347" i="1"/>
  <c r="I348" i="1"/>
  <c r="I966" i="1"/>
  <c r="I718" i="1"/>
  <c r="I180" i="1"/>
  <c r="I557" i="1"/>
  <c r="I967" i="1"/>
  <c r="I419" i="1"/>
  <c r="I643" i="1"/>
  <c r="I243" i="1"/>
  <c r="I866" i="1"/>
  <c r="I938" i="1"/>
  <c r="I58" i="1"/>
  <c r="I719" i="1"/>
  <c r="I678" i="1"/>
  <c r="I244" i="1"/>
  <c r="I595" i="1"/>
  <c r="I843" i="1"/>
  <c r="I817" i="1"/>
  <c r="I867" i="1"/>
  <c r="I181" i="1"/>
  <c r="I451" i="1"/>
  <c r="I79" i="1"/>
  <c r="I644" i="1"/>
  <c r="I477" i="1"/>
  <c r="I478" i="1"/>
  <c r="I59" i="1"/>
  <c r="I754" i="1"/>
  <c r="I152" i="1"/>
  <c r="I844" i="1"/>
  <c r="I755" i="1"/>
  <c r="I60" i="1"/>
  <c r="I153" i="1"/>
  <c r="I22" i="1"/>
  <c r="I519" i="1"/>
  <c r="I23" i="1"/>
  <c r="I182" i="1"/>
  <c r="I720" i="1"/>
  <c r="I245" i="1"/>
  <c r="I118" i="1"/>
  <c r="I679" i="1"/>
  <c r="I183" i="1"/>
  <c r="I901" i="1"/>
  <c r="I558" i="1"/>
  <c r="I24" i="1"/>
  <c r="I939" i="1"/>
  <c r="I868" i="1"/>
  <c r="I219" i="1"/>
  <c r="I25" i="1"/>
  <c r="I792" i="1"/>
  <c r="I119" i="1"/>
  <c r="I312" i="1"/>
  <c r="I246" i="1"/>
  <c r="I313" i="1"/>
  <c r="I622" i="1"/>
  <c r="I26" i="1"/>
  <c r="I120" i="1"/>
  <c r="I184" i="1"/>
  <c r="I452" i="1"/>
  <c r="I645" i="1"/>
  <c r="I940" i="1"/>
  <c r="I185" i="1"/>
  <c r="I623" i="1"/>
  <c r="I994" i="1"/>
  <c r="I756" i="1"/>
  <c r="I453" i="1"/>
  <c r="I902" i="1"/>
  <c r="I559" i="1"/>
  <c r="I646" i="1"/>
  <c r="I314" i="1"/>
  <c r="I247" i="1"/>
  <c r="I315" i="1"/>
  <c r="I757" i="1"/>
  <c r="I420" i="1"/>
  <c r="I624" i="1"/>
  <c r="I154" i="1"/>
  <c r="I349" i="1"/>
  <c r="I27" i="1"/>
  <c r="I647" i="1"/>
  <c r="I903" i="1"/>
  <c r="I316" i="1"/>
  <c r="I793" i="1"/>
  <c r="I520" i="1"/>
  <c r="I995" i="1"/>
  <c r="I384" i="1"/>
  <c r="I80" i="1"/>
  <c r="I28" i="1"/>
  <c r="I454" i="1"/>
  <c r="I680" i="1"/>
  <c r="I61" i="1"/>
  <c r="I385" i="1"/>
  <c r="I794" i="1"/>
  <c r="I350" i="1"/>
  <c r="I941" i="1"/>
  <c r="I351" i="1"/>
  <c r="I155" i="1"/>
  <c r="I560" i="1"/>
  <c r="I62" i="1"/>
  <c r="I282" i="1"/>
  <c r="I721" i="1"/>
  <c r="I352" i="1"/>
  <c r="I596" i="1"/>
  <c r="I904" i="1"/>
  <c r="I869" i="1"/>
  <c r="I968" i="1"/>
  <c r="I29" i="1"/>
  <c r="I969" i="1"/>
  <c r="I722" i="1"/>
  <c r="I521" i="1"/>
  <c r="I905" i="1"/>
  <c r="I906" i="1"/>
  <c r="I795" i="1"/>
  <c r="I81" i="1"/>
  <c r="I455" i="1"/>
  <c r="I870" i="1"/>
  <c r="I625" i="1"/>
  <c r="I561" i="1"/>
  <c r="I648" i="1"/>
  <c r="I317" i="1"/>
  <c r="I30" i="1"/>
  <c r="I248" i="1"/>
  <c r="I283" i="1"/>
  <c r="I31" i="1"/>
  <c r="I456" i="1"/>
  <c r="I597" i="1"/>
  <c r="I421" i="1"/>
  <c r="I249" i="1"/>
  <c r="I250" i="1"/>
  <c r="I871" i="1"/>
  <c r="I82" i="1"/>
  <c r="I598" i="1"/>
  <c r="I353" i="1"/>
  <c r="I907" i="1"/>
  <c r="I156" i="1"/>
  <c r="I522" i="1"/>
  <c r="I386" i="1"/>
  <c r="I599" i="1"/>
  <c r="I32" i="1"/>
  <c r="I33" i="1"/>
  <c r="I758" i="1"/>
  <c r="I970" i="1"/>
  <c r="I284" i="1"/>
  <c r="I649" i="1"/>
  <c r="I818" i="1"/>
  <c r="I562" i="1"/>
  <c r="I563" i="1"/>
  <c r="I34" i="1"/>
  <c r="I796" i="1"/>
  <c r="I121" i="1"/>
  <c r="I650" i="1"/>
  <c r="I908" i="1"/>
  <c r="I318" i="1"/>
  <c r="I651" i="1"/>
  <c r="I457" i="1"/>
  <c r="I83" i="1"/>
  <c r="I354" i="1"/>
  <c r="I652" i="1"/>
  <c r="I971" i="1"/>
  <c r="I626" i="1"/>
  <c r="I759" i="1"/>
  <c r="I819" i="1"/>
  <c r="I35" i="1"/>
  <c r="I909" i="1"/>
  <c r="I36" i="1"/>
  <c r="I122" i="1"/>
  <c r="I157" i="1"/>
  <c r="I564" i="1"/>
  <c r="I942" i="1"/>
  <c r="I319" i="1"/>
  <c r="I820" i="1"/>
  <c r="I355" i="1"/>
  <c r="I356" i="1"/>
  <c r="I387" i="1"/>
  <c r="I996" i="1"/>
  <c r="I972" i="1"/>
  <c r="I186" i="1"/>
  <c r="I681" i="1"/>
  <c r="I797" i="1"/>
  <c r="I872" i="1"/>
  <c r="I187" i="1"/>
  <c r="I422" i="1"/>
  <c r="I821" i="1"/>
  <c r="I943" i="1"/>
  <c r="I158" i="1"/>
  <c r="I220" i="1"/>
  <c r="I458" i="1"/>
  <c r="I822" i="1"/>
  <c r="I423" i="1"/>
  <c r="I823" i="1"/>
  <c r="I159" i="1"/>
  <c r="I123" i="1"/>
  <c r="I798" i="1"/>
  <c r="I682" i="1"/>
  <c r="I221" i="1"/>
  <c r="I873" i="1"/>
  <c r="I188" i="1"/>
  <c r="I84" i="1"/>
  <c r="I388" i="1"/>
  <c r="I997" i="1"/>
  <c r="I760" i="1"/>
  <c r="I124" i="1"/>
  <c r="I874" i="1"/>
  <c r="I875" i="1"/>
  <c r="I459" i="1"/>
  <c r="I761" i="1"/>
  <c r="I189" i="1"/>
  <c r="I845" i="1"/>
  <c r="I910" i="1"/>
  <c r="I320" i="1"/>
  <c r="I125" i="1"/>
  <c r="I998" i="1"/>
  <c r="I876" i="1"/>
  <c r="I999" i="1"/>
  <c r="I653" i="1"/>
  <c r="I190" i="1"/>
  <c r="I191" i="1"/>
  <c r="I799" i="1"/>
  <c r="I424" i="1"/>
  <c r="I683" i="1"/>
  <c r="I1000" i="1"/>
  <c r="I846" i="1"/>
  <c r="I762" i="1"/>
  <c r="I973" i="1"/>
  <c r="I877" i="1"/>
  <c r="I251" i="1"/>
  <c r="I600" i="1"/>
  <c r="I479" i="1"/>
  <c r="I911" i="1"/>
  <c r="I252" i="1"/>
  <c r="I944" i="1"/>
  <c r="I523" i="1"/>
  <c r="I565" i="1"/>
  <c r="I222" i="1"/>
  <c r="I654" i="1"/>
  <c r="I480" i="1"/>
  <c r="I425" i="1"/>
  <c r="I912" i="1"/>
  <c r="I566" i="1"/>
  <c r="I481" i="1"/>
  <c r="I800" i="1"/>
  <c r="I37" i="1"/>
  <c r="I389" i="1"/>
  <c r="I974" i="1"/>
  <c r="I253" i="1"/>
  <c r="I192" i="1"/>
  <c r="I63" i="1"/>
  <c r="I126" i="1"/>
  <c r="I321" i="1"/>
  <c r="I482" i="1"/>
  <c r="I723" i="1"/>
  <c r="I567" i="1"/>
  <c r="I357" i="1"/>
  <c r="I38" i="1"/>
  <c r="I1001" i="1"/>
  <c r="I975" i="1"/>
  <c r="I524" i="1"/>
  <c r="I127" i="1"/>
  <c r="I627" i="1"/>
  <c r="I601" i="1"/>
  <c r="I322" i="1"/>
  <c r="I913" i="1"/>
  <c r="I525" i="1"/>
  <c r="I285" i="1"/>
  <c r="I64" i="1"/>
  <c r="I568" i="1"/>
  <c r="I945" i="1"/>
  <c r="I85" i="1"/>
  <c r="I946" i="1"/>
  <c r="I684" i="1"/>
  <c r="I390" i="1"/>
  <c r="I878" i="1"/>
  <c r="I947" i="1"/>
  <c r="I879" i="1"/>
  <c r="I763" i="1"/>
  <c r="I391" i="1"/>
  <c r="I358" i="1"/>
  <c r="I426" i="1"/>
  <c r="I460" i="1"/>
  <c r="I286" i="1"/>
  <c r="I685" i="1"/>
  <c r="I628" i="1"/>
  <c r="I392" i="1"/>
  <c r="I483" i="1"/>
  <c r="I724" i="1"/>
  <c r="I569" i="1"/>
  <c r="I484" i="1"/>
  <c r="I393" i="1"/>
  <c r="I602" i="1"/>
  <c r="I914" i="1"/>
  <c r="I193" i="1"/>
  <c r="I287" i="1"/>
  <c r="I915" i="1"/>
  <c r="I128" i="1"/>
  <c r="I359" i="1"/>
  <c r="I360" i="1"/>
  <c r="I86" i="1"/>
  <c r="I223" i="1"/>
  <c r="I461" i="1"/>
  <c r="I254" i="1"/>
  <c r="I129" i="1"/>
  <c r="I824" i="1"/>
  <c r="I603" i="1"/>
  <c r="I570" i="1"/>
  <c r="I87" i="1"/>
  <c r="I801" i="1"/>
  <c r="K323" i="1"/>
  <c r="K655" i="1"/>
  <c r="K976" i="1"/>
  <c r="K88" i="1"/>
  <c r="K571" i="1"/>
  <c r="K130" i="1"/>
  <c r="K485" i="1"/>
  <c r="K880" i="1"/>
  <c r="K572" i="1"/>
  <c r="K629" i="1"/>
  <c r="K324" i="1"/>
  <c r="K65" i="1"/>
  <c r="K131" i="1"/>
  <c r="K526" i="1"/>
  <c r="K255" i="1"/>
  <c r="K847" i="1"/>
  <c r="K573" i="1"/>
  <c r="K825" i="1"/>
  <c r="K224" i="1"/>
  <c r="K462" i="1"/>
  <c r="K3" i="1"/>
  <c r="K325" i="1"/>
  <c r="K725" i="1"/>
  <c r="K361" i="1"/>
  <c r="K160" i="1"/>
  <c r="K39" i="1"/>
  <c r="K427" i="1"/>
  <c r="K194" i="1"/>
  <c r="K486" i="1"/>
  <c r="K527" i="1"/>
  <c r="K574" i="1"/>
  <c r="K132" i="1"/>
  <c r="K225" i="1"/>
  <c r="K394" i="1"/>
  <c r="K726" i="1"/>
  <c r="K656" i="1"/>
  <c r="K89" i="1"/>
  <c r="K764" i="1"/>
  <c r="K133" i="1"/>
  <c r="K40" i="1"/>
  <c r="K916" i="1"/>
  <c r="K727" i="1"/>
  <c r="K66" i="1"/>
  <c r="K528" i="1"/>
  <c r="K765" i="1"/>
  <c r="K195" i="1"/>
  <c r="K529" i="1"/>
  <c r="K395" i="1"/>
  <c r="K362" i="1"/>
  <c r="K288" i="1"/>
  <c r="K604" i="1"/>
  <c r="K657" i="1"/>
  <c r="K977" i="1"/>
  <c r="K487" i="1"/>
  <c r="K90" i="1"/>
  <c r="K658" i="1"/>
  <c r="K826" i="1"/>
  <c r="K488" i="1"/>
  <c r="K802" i="1"/>
  <c r="K630" i="1"/>
  <c r="K161" i="1"/>
  <c r="K728" i="1"/>
  <c r="K659" i="1"/>
  <c r="K729" i="1"/>
  <c r="K67" i="1"/>
  <c r="K363" i="1"/>
  <c r="K256" i="1"/>
  <c r="K68" i="1"/>
  <c r="K730" i="1"/>
  <c r="K428" i="1"/>
  <c r="K978" i="1"/>
  <c r="K463" i="1"/>
  <c r="K4" i="1"/>
  <c r="K803" i="1"/>
  <c r="K917" i="1"/>
  <c r="K766" i="1"/>
  <c r="K226" i="1"/>
  <c r="K575" i="1"/>
  <c r="K489" i="1"/>
  <c r="K429" i="1"/>
  <c r="K196" i="1"/>
  <c r="K767" i="1"/>
  <c r="K257" i="1"/>
  <c r="K490" i="1"/>
  <c r="K326" i="1"/>
  <c r="K258" i="1"/>
  <c r="K491" i="1"/>
  <c r="K530" i="1"/>
  <c r="K162" i="1"/>
  <c r="K979" i="1"/>
  <c r="K918" i="1"/>
  <c r="K686" i="1"/>
  <c r="K768" i="1"/>
  <c r="K605" i="1"/>
  <c r="K259" i="1"/>
  <c r="K769" i="1"/>
  <c r="K687" i="1"/>
  <c r="K289" i="1"/>
  <c r="K396" i="1"/>
  <c r="K631" i="1"/>
  <c r="K492" i="1"/>
  <c r="K430" i="1"/>
  <c r="K464" i="1"/>
  <c r="K632" i="1"/>
  <c r="K576" i="1"/>
  <c r="K227" i="1"/>
  <c r="K431" i="1"/>
  <c r="K660" i="1"/>
  <c r="K633" i="1"/>
  <c r="K260" i="1"/>
  <c r="K531" i="1"/>
  <c r="K731" i="1"/>
  <c r="K688" i="1"/>
  <c r="K732" i="1"/>
  <c r="K770" i="1"/>
  <c r="K881" i="1"/>
  <c r="K228" i="1"/>
  <c r="K804" i="1"/>
  <c r="K661" i="1"/>
  <c r="K882" i="1"/>
  <c r="K229" i="1"/>
  <c r="K432" i="1"/>
  <c r="K5" i="1"/>
  <c r="K197" i="1"/>
  <c r="K261" i="1"/>
  <c r="K827" i="1"/>
  <c r="K805" i="1"/>
  <c r="K806" i="1"/>
  <c r="K230" i="1"/>
  <c r="K493" i="1"/>
  <c r="K733" i="1"/>
  <c r="K231" i="1"/>
  <c r="K397" i="1"/>
  <c r="K198" i="1"/>
  <c r="K465" i="1"/>
  <c r="K364" i="1"/>
  <c r="K689" i="1"/>
  <c r="K883" i="1"/>
  <c r="K134" i="1"/>
  <c r="K807" i="1"/>
  <c r="K690" i="1"/>
  <c r="K771" i="1"/>
  <c r="K634" i="1"/>
  <c r="K828" i="1"/>
  <c r="K691" i="1"/>
  <c r="K980" i="1"/>
  <c r="K262" i="1"/>
  <c r="K433" i="1"/>
  <c r="K848" i="1"/>
  <c r="K734" i="1"/>
  <c r="K948" i="1"/>
  <c r="K949" i="1"/>
  <c r="K434" i="1"/>
  <c r="K692" i="1"/>
  <c r="K263" i="1"/>
  <c r="K6" i="1"/>
  <c r="K849" i="1"/>
  <c r="K327" i="1"/>
  <c r="K91" i="1"/>
  <c r="K199" i="1"/>
  <c r="K494" i="1"/>
  <c r="K884" i="1"/>
  <c r="K92" i="1"/>
  <c r="K981" i="1"/>
  <c r="K398" i="1"/>
  <c r="K693" i="1"/>
  <c r="K495" i="1"/>
  <c r="K496" i="1"/>
  <c r="K532" i="1"/>
  <c r="K662" i="1"/>
  <c r="K829" i="1"/>
  <c r="K7" i="1"/>
  <c r="K950" i="1"/>
  <c r="K735" i="1"/>
  <c r="K8" i="1"/>
  <c r="K93" i="1"/>
  <c r="K497" i="1"/>
  <c r="K885" i="1"/>
  <c r="K135" i="1"/>
  <c r="K919" i="1"/>
  <c r="K606" i="1"/>
  <c r="K498" i="1"/>
  <c r="K920" i="1"/>
  <c r="K399" i="1"/>
  <c r="K328" i="1"/>
  <c r="K290" i="1"/>
  <c r="K951" i="1"/>
  <c r="K850" i="1"/>
  <c r="K851" i="1"/>
  <c r="K163" i="1"/>
  <c r="K400" i="1"/>
  <c r="K9" i="1"/>
  <c r="K694" i="1"/>
  <c r="K921" i="1"/>
  <c r="K772" i="1"/>
  <c r="K886" i="1"/>
  <c r="K435" i="1"/>
  <c r="K200" i="1"/>
  <c r="K577" i="1"/>
  <c r="K365" i="1"/>
  <c r="K366" i="1"/>
  <c r="K164" i="1"/>
  <c r="K367" i="1"/>
  <c r="K773" i="1"/>
  <c r="K201" i="1"/>
  <c r="K466" i="1"/>
  <c r="K607" i="1"/>
  <c r="K533" i="1"/>
  <c r="K41" i="1"/>
  <c r="K534" i="1"/>
  <c r="K695" i="1"/>
  <c r="K94" i="1"/>
  <c r="K401" i="1"/>
  <c r="K578" i="1"/>
  <c r="K696" i="1"/>
  <c r="K402" i="1"/>
  <c r="K368" i="1"/>
  <c r="K952" i="1"/>
  <c r="K369" i="1"/>
  <c r="K10" i="1"/>
  <c r="K232" i="1"/>
  <c r="K887" i="1"/>
  <c r="K11" i="1"/>
  <c r="K202" i="1"/>
  <c r="K808" i="1"/>
  <c r="K329" i="1"/>
  <c r="K809" i="1"/>
  <c r="K736" i="1"/>
  <c r="K291" i="1"/>
  <c r="K922" i="1"/>
  <c r="K830" i="1"/>
  <c r="K774" i="1"/>
  <c r="K831" i="1"/>
  <c r="K436" i="1"/>
  <c r="K923" i="1"/>
  <c r="K832" i="1"/>
  <c r="K982" i="1"/>
  <c r="K579" i="1"/>
  <c r="K535" i="1"/>
  <c r="K264" i="1"/>
  <c r="K370" i="1"/>
  <c r="K499" i="1"/>
  <c r="K697" i="1"/>
  <c r="K953" i="1"/>
  <c r="K775" i="1"/>
  <c r="K698" i="1"/>
  <c r="K265" i="1"/>
  <c r="K699" i="1"/>
  <c r="K266" i="1"/>
  <c r="K95" i="1"/>
  <c r="K536" i="1"/>
  <c r="K924" i="1"/>
  <c r="K292" i="1"/>
  <c r="K776" i="1"/>
  <c r="K42" i="1"/>
  <c r="K737" i="1"/>
  <c r="K165" i="1"/>
  <c r="K166" i="1"/>
  <c r="K330" i="1"/>
  <c r="K403" i="1"/>
  <c r="K293" i="1"/>
  <c r="K167" i="1"/>
  <c r="K43" i="1"/>
  <c r="K810" i="1"/>
  <c r="K580" i="1"/>
  <c r="K888" i="1"/>
  <c r="K437" i="1"/>
  <c r="K777" i="1"/>
  <c r="K331" i="1"/>
  <c r="K852" i="1"/>
  <c r="K44" i="1"/>
  <c r="K738" i="1"/>
  <c r="K136" i="1"/>
  <c r="K853" i="1"/>
  <c r="K925" i="1"/>
  <c r="K954" i="1"/>
  <c r="K833" i="1"/>
  <c r="K168" i="1"/>
  <c r="K700" i="1"/>
  <c r="K371" i="1"/>
  <c r="K233" i="1"/>
  <c r="K137" i="1"/>
  <c r="K404" i="1"/>
  <c r="K45" i="1"/>
  <c r="K701" i="1"/>
  <c r="K537" i="1"/>
  <c r="K889" i="1"/>
  <c r="K538" i="1"/>
  <c r="K267" i="1"/>
  <c r="K702" i="1"/>
  <c r="K268" i="1"/>
  <c r="K608" i="1"/>
  <c r="K12" i="1"/>
  <c r="K739" i="1"/>
  <c r="K467" i="1"/>
  <c r="K438" i="1"/>
  <c r="K500" i="1"/>
  <c r="K539" i="1"/>
  <c r="K926" i="1"/>
  <c r="K372" i="1"/>
  <c r="K955" i="1"/>
  <c r="K69" i="1"/>
  <c r="K581" i="1"/>
  <c r="K234" i="1"/>
  <c r="K663" i="1"/>
  <c r="K373" i="1"/>
  <c r="K740" i="1"/>
  <c r="K983" i="1"/>
  <c r="K927" i="1"/>
  <c r="K778" i="1"/>
  <c r="K13" i="1"/>
  <c r="K294" i="1"/>
  <c r="K138" i="1"/>
  <c r="K96" i="1"/>
  <c r="K405" i="1"/>
  <c r="K406" i="1"/>
  <c r="K14" i="1"/>
  <c r="K984" i="1"/>
  <c r="K203" i="1"/>
  <c r="K295" i="1"/>
  <c r="K139" i="1"/>
  <c r="K741" i="1"/>
  <c r="K407" i="1"/>
  <c r="K956" i="1"/>
  <c r="K204" i="1"/>
  <c r="K205" i="1"/>
  <c r="K834" i="1"/>
  <c r="K501" i="1"/>
  <c r="K468" i="1"/>
  <c r="K332" i="1"/>
  <c r="K540" i="1"/>
  <c r="K46" i="1"/>
  <c r="K742" i="1"/>
  <c r="K835" i="1"/>
  <c r="K408" i="1"/>
  <c r="K582" i="1"/>
  <c r="K333" i="1"/>
  <c r="K140" i="1"/>
  <c r="K502" i="1"/>
  <c r="K928" i="1"/>
  <c r="K503" i="1"/>
  <c r="K635" i="1"/>
  <c r="K583" i="1"/>
  <c r="K664" i="1"/>
  <c r="K665" i="1"/>
  <c r="K296" i="1"/>
  <c r="K890" i="1"/>
  <c r="K97" i="1"/>
  <c r="K836" i="1"/>
  <c r="K666" i="1"/>
  <c r="K584" i="1"/>
  <c r="K269" i="1"/>
  <c r="K504" i="1"/>
  <c r="K703" i="1"/>
  <c r="K297" i="1"/>
  <c r="K15" i="1"/>
  <c r="K609" i="1"/>
  <c r="K141" i="1"/>
  <c r="K206" i="1"/>
  <c r="K439" i="1"/>
  <c r="K957" i="1"/>
  <c r="K541" i="1"/>
  <c r="K929" i="1"/>
  <c r="K667" i="1"/>
  <c r="K743" i="1"/>
  <c r="K668" i="1"/>
  <c r="K891" i="1"/>
  <c r="K207" i="1"/>
  <c r="K610" i="1"/>
  <c r="K98" i="1"/>
  <c r="K469" i="1"/>
  <c r="K142" i="1"/>
  <c r="K985" i="1"/>
  <c r="K298" i="1"/>
  <c r="K99" i="1"/>
  <c r="K440" i="1"/>
  <c r="K542" i="1"/>
  <c r="K585" i="1"/>
  <c r="K958" i="1"/>
  <c r="K811" i="1"/>
  <c r="K470" i="1"/>
  <c r="K636" i="1"/>
  <c r="K374" i="1"/>
  <c r="K208" i="1"/>
  <c r="K505" i="1"/>
  <c r="K334" i="1"/>
  <c r="K543" i="1"/>
  <c r="K209" i="1"/>
  <c r="K959" i="1"/>
  <c r="K812" i="1"/>
  <c r="K744" i="1"/>
  <c r="K441" i="1"/>
  <c r="K854" i="1"/>
  <c r="K47" i="1"/>
  <c r="K704" i="1"/>
  <c r="K544" i="1"/>
  <c r="K70" i="1"/>
  <c r="K270" i="1"/>
  <c r="K506" i="1"/>
  <c r="K892" i="1"/>
  <c r="K986" i="1"/>
  <c r="K335" i="1"/>
  <c r="K375" i="1"/>
  <c r="K169" i="1"/>
  <c r="K779" i="1"/>
  <c r="K271" i="1"/>
  <c r="K837" i="1"/>
  <c r="K705" i="1"/>
  <c r="K442" i="1"/>
  <c r="K987" i="1"/>
  <c r="K443" i="1"/>
  <c r="K586" i="1"/>
  <c r="K930" i="1"/>
  <c r="K780" i="1"/>
  <c r="K143" i="1"/>
  <c r="K48" i="1"/>
  <c r="K893" i="1"/>
  <c r="K545" i="1"/>
  <c r="K16" i="1"/>
  <c r="K894" i="1"/>
  <c r="K336" i="1"/>
  <c r="K144" i="1"/>
  <c r="K855" i="1"/>
  <c r="K507" i="1"/>
  <c r="K49" i="1"/>
  <c r="K272" i="1"/>
  <c r="K706" i="1"/>
  <c r="K471" i="1"/>
  <c r="K273" i="1"/>
  <c r="K745" i="1"/>
  <c r="K587" i="1"/>
  <c r="K145" i="1"/>
  <c r="K508" i="1"/>
  <c r="K509" i="1"/>
  <c r="K781" i="1"/>
  <c r="K546" i="1"/>
  <c r="K444" i="1"/>
  <c r="K856" i="1"/>
  <c r="K611" i="1"/>
  <c r="K813" i="1"/>
  <c r="K50" i="1"/>
  <c r="K376" i="1"/>
  <c r="K472" i="1"/>
  <c r="K235" i="1"/>
  <c r="K71" i="1"/>
  <c r="K857" i="1"/>
  <c r="K100" i="1"/>
  <c r="K931" i="1"/>
  <c r="K746" i="1"/>
  <c r="K210" i="1"/>
  <c r="K170" i="1"/>
  <c r="K101" i="1"/>
  <c r="K588" i="1"/>
  <c r="K669" i="1"/>
  <c r="K51" i="1"/>
  <c r="K171" i="1"/>
  <c r="K473" i="1"/>
  <c r="K747" i="1"/>
  <c r="K146" i="1"/>
  <c r="K988" i="1"/>
  <c r="K707" i="1"/>
  <c r="K236" i="1"/>
  <c r="K708" i="1"/>
  <c r="K147" i="1"/>
  <c r="K409" i="1"/>
  <c r="K410" i="1"/>
  <c r="K299" i="1"/>
  <c r="K510" i="1"/>
  <c r="K102" i="1"/>
  <c r="K858" i="1"/>
  <c r="K547" i="1"/>
  <c r="K445" i="1"/>
  <c r="K511" i="1"/>
  <c r="K637" i="1"/>
  <c r="K670" i="1"/>
  <c r="K446" i="1"/>
  <c r="K211" i="1"/>
  <c r="K447" i="1"/>
  <c r="K612" i="1"/>
  <c r="K548" i="1"/>
  <c r="K52" i="1"/>
  <c r="K671" i="1"/>
  <c r="K103" i="1"/>
  <c r="K814" i="1"/>
  <c r="K274" i="1"/>
  <c r="K782" i="1"/>
  <c r="K411" i="1"/>
  <c r="K613" i="1"/>
  <c r="K783" i="1"/>
  <c r="K104" i="1"/>
  <c r="K212" i="1"/>
  <c r="K589" i="1"/>
  <c r="K960" i="1"/>
  <c r="K672" i="1"/>
  <c r="K237" i="1"/>
  <c r="K512" i="1"/>
  <c r="K275" i="1"/>
  <c r="K53" i="1"/>
  <c r="K172" i="1"/>
  <c r="K614" i="1"/>
  <c r="K615" i="1"/>
  <c r="K300" i="1"/>
  <c r="K173" i="1"/>
  <c r="K148" i="1"/>
  <c r="K337" i="1"/>
  <c r="K859" i="1"/>
  <c r="K513" i="1"/>
  <c r="K17" i="1"/>
  <c r="K961" i="1"/>
  <c r="K860" i="1"/>
  <c r="K474" i="1"/>
  <c r="K18" i="1"/>
  <c r="K412" i="1"/>
  <c r="K673" i="1"/>
  <c r="K105" i="1"/>
  <c r="K895" i="1"/>
  <c r="K106" i="1"/>
  <c r="K107" i="1"/>
  <c r="K549" i="1"/>
  <c r="K896" i="1"/>
  <c r="K475" i="1"/>
  <c r="K54" i="1"/>
  <c r="K550" i="1"/>
  <c r="K989" i="1"/>
  <c r="K238" i="1"/>
  <c r="K861" i="1"/>
  <c r="K590" i="1"/>
  <c r="K108" i="1"/>
  <c r="K338" i="1"/>
  <c r="K862" i="1"/>
  <c r="K932" i="1"/>
  <c r="K514" i="1"/>
  <c r="K174" i="1"/>
  <c r="K748" i="1"/>
  <c r="K674" i="1"/>
  <c r="K377" i="1"/>
  <c r="K276" i="1"/>
  <c r="K616" i="1"/>
  <c r="K339" i="1"/>
  <c r="K933" i="1"/>
  <c r="K109" i="1"/>
  <c r="K675" i="1"/>
  <c r="K110" i="1"/>
  <c r="K301" i="1"/>
  <c r="K111" i="1"/>
  <c r="K448" i="1"/>
  <c r="K617" i="1"/>
  <c r="K19" i="1"/>
  <c r="K676" i="1"/>
  <c r="K340" i="1"/>
  <c r="K277" i="1"/>
  <c r="K72" i="1"/>
  <c r="K213" i="1"/>
  <c r="K515" i="1"/>
  <c r="K112" i="1"/>
  <c r="K449" i="1"/>
  <c r="K962" i="1"/>
  <c r="K378" i="1"/>
  <c r="K934" i="1"/>
  <c r="K784" i="1"/>
  <c r="K341" i="1"/>
  <c r="K302" i="1"/>
  <c r="K55" i="1"/>
  <c r="K709" i="1"/>
  <c r="K785" i="1"/>
  <c r="K239" i="1"/>
  <c r="K935" i="1"/>
  <c r="K591" i="1"/>
  <c r="K897" i="1"/>
  <c r="K214" i="1"/>
  <c r="K342" i="1"/>
  <c r="K278" i="1"/>
  <c r="K113" i="1"/>
  <c r="K898" i="1"/>
  <c r="K551" i="1"/>
  <c r="K838" i="1"/>
  <c r="K279" i="1"/>
  <c r="K710" i="1"/>
  <c r="K73" i="1"/>
  <c r="K990" i="1"/>
  <c r="K963" i="1"/>
  <c r="K677" i="1"/>
  <c r="K175" i="1"/>
  <c r="K964" i="1"/>
  <c r="K711" i="1"/>
  <c r="K638" i="1"/>
  <c r="K639" i="1"/>
  <c r="K592" i="1"/>
  <c r="K863" i="1"/>
  <c r="K786" i="1"/>
  <c r="K476" i="1"/>
  <c r="K593" i="1"/>
  <c r="K413" i="1"/>
  <c r="K303" i="1"/>
  <c r="K176" i="1"/>
  <c r="K839" i="1"/>
  <c r="K840" i="1"/>
  <c r="K841" i="1"/>
  <c r="K936" i="1"/>
  <c r="K379" i="1"/>
  <c r="K114" i="1"/>
  <c r="K618" i="1"/>
  <c r="K380" i="1"/>
  <c r="K304" i="1"/>
  <c r="K787" i="1"/>
  <c r="K516" i="1"/>
  <c r="K56" i="1"/>
  <c r="K414" i="1"/>
  <c r="K864" i="1"/>
  <c r="K788" i="1"/>
  <c r="K552" i="1"/>
  <c r="K343" i="1"/>
  <c r="K749" i="1"/>
  <c r="K553" i="1"/>
  <c r="K750" i="1"/>
  <c r="K305" i="1"/>
  <c r="K991" i="1"/>
  <c r="K74" i="1"/>
  <c r="K177" i="1"/>
  <c r="K554" i="1"/>
  <c r="K75" i="1"/>
  <c r="K712" i="1"/>
  <c r="K306" i="1"/>
  <c r="K450" i="1"/>
  <c r="K842" i="1"/>
  <c r="K937" i="1"/>
  <c r="K555" i="1"/>
  <c r="K20" i="1"/>
  <c r="K640" i="1"/>
  <c r="K415" i="1"/>
  <c r="K713" i="1"/>
  <c r="K344" i="1"/>
  <c r="K21" i="1"/>
  <c r="K594" i="1"/>
  <c r="K280" i="1"/>
  <c r="K751" i="1"/>
  <c r="K556" i="1"/>
  <c r="K115" i="1"/>
  <c r="K714" i="1"/>
  <c r="K815" i="1"/>
  <c r="K619" i="1"/>
  <c r="K116" i="1"/>
  <c r="K517" i="1"/>
  <c r="K899" i="1"/>
  <c r="K789" i="1"/>
  <c r="K620" i="1"/>
  <c r="K416" i="1"/>
  <c r="K641" i="1"/>
  <c r="K417" i="1"/>
  <c r="K715" i="1"/>
  <c r="K281" i="1"/>
  <c r="K716" i="1"/>
  <c r="K992" i="1"/>
  <c r="K149" i="1"/>
  <c r="K307" i="1"/>
  <c r="K621" i="1"/>
  <c r="K752" i="1"/>
  <c r="K993" i="1"/>
  <c r="K418" i="1"/>
  <c r="K117" i="1"/>
  <c r="K308" i="1"/>
  <c r="K215" i="1"/>
  <c r="K240" i="1"/>
  <c r="K965" i="1"/>
  <c r="K57" i="1"/>
  <c r="K381" i="1"/>
  <c r="K241" i="1"/>
  <c r="K518" i="1"/>
  <c r="K150" i="1"/>
  <c r="K76" i="1"/>
  <c r="K77" i="1"/>
  <c r="K717" i="1"/>
  <c r="K216" i="1"/>
  <c r="K178" i="1"/>
  <c r="K790" i="1"/>
  <c r="K382" i="1"/>
  <c r="K179" i="1"/>
  <c r="K642" i="1"/>
  <c r="K791" i="1"/>
  <c r="K345" i="1"/>
  <c r="K816" i="1"/>
  <c r="K383" i="1"/>
  <c r="K753" i="1"/>
  <c r="K309" i="1"/>
  <c r="K217" i="1"/>
  <c r="K242" i="1"/>
  <c r="K218" i="1"/>
  <c r="K310" i="1"/>
  <c r="K311" i="1"/>
  <c r="K151" i="1"/>
  <c r="K865" i="1"/>
  <c r="K346" i="1"/>
  <c r="K900" i="1"/>
  <c r="K78" i="1"/>
  <c r="K347" i="1"/>
  <c r="K348" i="1"/>
  <c r="K966" i="1"/>
  <c r="K718" i="1"/>
  <c r="K180" i="1"/>
  <c r="K557" i="1"/>
  <c r="K967" i="1"/>
  <c r="K419" i="1"/>
  <c r="K643" i="1"/>
  <c r="K243" i="1"/>
  <c r="K866" i="1"/>
  <c r="K938" i="1"/>
  <c r="K58" i="1"/>
  <c r="K719" i="1"/>
  <c r="K678" i="1"/>
  <c r="K244" i="1"/>
  <c r="K595" i="1"/>
  <c r="K843" i="1"/>
  <c r="K817" i="1"/>
  <c r="K867" i="1"/>
  <c r="K181" i="1"/>
  <c r="K451" i="1"/>
  <c r="K79" i="1"/>
  <c r="K644" i="1"/>
  <c r="K477" i="1"/>
  <c r="K478" i="1"/>
  <c r="K59" i="1"/>
  <c r="K754" i="1"/>
  <c r="K152" i="1"/>
  <c r="K844" i="1"/>
  <c r="K755" i="1"/>
  <c r="K60" i="1"/>
  <c r="K153" i="1"/>
  <c r="K22" i="1"/>
  <c r="K519" i="1"/>
  <c r="K23" i="1"/>
  <c r="K182" i="1"/>
  <c r="K720" i="1"/>
  <c r="K245" i="1"/>
  <c r="K118" i="1"/>
  <c r="K679" i="1"/>
  <c r="K183" i="1"/>
  <c r="K901" i="1"/>
  <c r="K558" i="1"/>
  <c r="K24" i="1"/>
  <c r="K939" i="1"/>
  <c r="K868" i="1"/>
  <c r="K219" i="1"/>
  <c r="K25" i="1"/>
  <c r="K792" i="1"/>
  <c r="K119" i="1"/>
  <c r="K312" i="1"/>
  <c r="K246" i="1"/>
  <c r="K313" i="1"/>
  <c r="K622" i="1"/>
  <c r="K26" i="1"/>
  <c r="K120" i="1"/>
  <c r="K184" i="1"/>
  <c r="K452" i="1"/>
  <c r="K645" i="1"/>
  <c r="K940" i="1"/>
  <c r="K185" i="1"/>
  <c r="K623" i="1"/>
  <c r="K994" i="1"/>
  <c r="K756" i="1"/>
  <c r="K453" i="1"/>
  <c r="K902" i="1"/>
  <c r="K559" i="1"/>
  <c r="K646" i="1"/>
  <c r="K314" i="1"/>
  <c r="K247" i="1"/>
  <c r="K315" i="1"/>
  <c r="K757" i="1"/>
  <c r="K420" i="1"/>
  <c r="K624" i="1"/>
  <c r="K154" i="1"/>
  <c r="K349" i="1"/>
  <c r="K27" i="1"/>
  <c r="K647" i="1"/>
  <c r="K903" i="1"/>
  <c r="K316" i="1"/>
  <c r="K793" i="1"/>
  <c r="K520" i="1"/>
  <c r="K995" i="1"/>
  <c r="K384" i="1"/>
  <c r="K80" i="1"/>
  <c r="K28" i="1"/>
  <c r="K454" i="1"/>
  <c r="K680" i="1"/>
  <c r="K61" i="1"/>
  <c r="K385" i="1"/>
  <c r="K794" i="1"/>
  <c r="K350" i="1"/>
  <c r="K941" i="1"/>
  <c r="K351" i="1"/>
  <c r="K155" i="1"/>
  <c r="K560" i="1"/>
  <c r="K62" i="1"/>
  <c r="K282" i="1"/>
  <c r="K721" i="1"/>
  <c r="K352" i="1"/>
  <c r="K596" i="1"/>
  <c r="K904" i="1"/>
  <c r="K869" i="1"/>
  <c r="K968" i="1"/>
  <c r="K29" i="1"/>
  <c r="K969" i="1"/>
  <c r="K722" i="1"/>
  <c r="K521" i="1"/>
  <c r="K905" i="1"/>
  <c r="K906" i="1"/>
  <c r="K795" i="1"/>
  <c r="K81" i="1"/>
  <c r="K455" i="1"/>
  <c r="K870" i="1"/>
  <c r="K625" i="1"/>
  <c r="K561" i="1"/>
  <c r="K648" i="1"/>
  <c r="K317" i="1"/>
  <c r="K30" i="1"/>
  <c r="K248" i="1"/>
  <c r="K283" i="1"/>
  <c r="K31" i="1"/>
  <c r="K456" i="1"/>
  <c r="K597" i="1"/>
  <c r="K421" i="1"/>
  <c r="K249" i="1"/>
  <c r="K250" i="1"/>
  <c r="K871" i="1"/>
  <c r="K82" i="1"/>
  <c r="K598" i="1"/>
  <c r="K353" i="1"/>
  <c r="K907" i="1"/>
  <c r="K156" i="1"/>
  <c r="K522" i="1"/>
  <c r="K386" i="1"/>
  <c r="K599" i="1"/>
  <c r="K32" i="1"/>
  <c r="K33" i="1"/>
  <c r="K758" i="1"/>
  <c r="K970" i="1"/>
  <c r="K284" i="1"/>
  <c r="K649" i="1"/>
  <c r="K818" i="1"/>
  <c r="K562" i="1"/>
  <c r="K563" i="1"/>
  <c r="K34" i="1"/>
  <c r="K796" i="1"/>
  <c r="K121" i="1"/>
  <c r="K650" i="1"/>
  <c r="K908" i="1"/>
  <c r="K318" i="1"/>
  <c r="K651" i="1"/>
  <c r="K457" i="1"/>
  <c r="K83" i="1"/>
  <c r="K354" i="1"/>
  <c r="K652" i="1"/>
  <c r="K971" i="1"/>
  <c r="K626" i="1"/>
  <c r="K759" i="1"/>
  <c r="K819" i="1"/>
  <c r="K35" i="1"/>
  <c r="K909" i="1"/>
  <c r="K36" i="1"/>
  <c r="K122" i="1"/>
  <c r="K157" i="1"/>
  <c r="K564" i="1"/>
  <c r="K942" i="1"/>
  <c r="K319" i="1"/>
  <c r="K820" i="1"/>
  <c r="K355" i="1"/>
  <c r="K356" i="1"/>
  <c r="K387" i="1"/>
  <c r="K996" i="1"/>
  <c r="K972" i="1"/>
  <c r="K186" i="1"/>
  <c r="K681" i="1"/>
  <c r="K797" i="1"/>
  <c r="K872" i="1"/>
  <c r="K187" i="1"/>
  <c r="K422" i="1"/>
  <c r="K821" i="1"/>
  <c r="K943" i="1"/>
  <c r="K158" i="1"/>
  <c r="K220" i="1"/>
  <c r="K458" i="1"/>
  <c r="K822" i="1"/>
  <c r="K423" i="1"/>
  <c r="K823" i="1"/>
  <c r="K159" i="1"/>
  <c r="K123" i="1"/>
  <c r="K798" i="1"/>
  <c r="K682" i="1"/>
  <c r="K221" i="1"/>
  <c r="K873" i="1"/>
  <c r="K188" i="1"/>
  <c r="K84" i="1"/>
  <c r="K388" i="1"/>
  <c r="K997" i="1"/>
  <c r="K760" i="1"/>
  <c r="K124" i="1"/>
  <c r="K874" i="1"/>
  <c r="K875" i="1"/>
  <c r="K459" i="1"/>
  <c r="K761" i="1"/>
  <c r="K189" i="1"/>
  <c r="K845" i="1"/>
  <c r="K910" i="1"/>
  <c r="K320" i="1"/>
  <c r="K125" i="1"/>
  <c r="K998" i="1"/>
  <c r="K876" i="1"/>
  <c r="K999" i="1"/>
  <c r="K653" i="1"/>
  <c r="K190" i="1"/>
  <c r="K191" i="1"/>
  <c r="K799" i="1"/>
  <c r="K424" i="1"/>
  <c r="K683" i="1"/>
  <c r="K1000" i="1"/>
  <c r="K846" i="1"/>
  <c r="K762" i="1"/>
  <c r="K973" i="1"/>
  <c r="K877" i="1"/>
  <c r="K251" i="1"/>
  <c r="K600" i="1"/>
  <c r="K479" i="1"/>
  <c r="K911" i="1"/>
  <c r="K252" i="1"/>
  <c r="K944" i="1"/>
  <c r="K523" i="1"/>
  <c r="K565" i="1"/>
  <c r="K222" i="1"/>
  <c r="K654" i="1"/>
  <c r="K480" i="1"/>
  <c r="K425" i="1"/>
  <c r="K912" i="1"/>
  <c r="K566" i="1"/>
  <c r="K481" i="1"/>
  <c r="K800" i="1"/>
  <c r="K37" i="1"/>
  <c r="K389" i="1"/>
  <c r="K974" i="1"/>
  <c r="K253" i="1"/>
  <c r="K192" i="1"/>
  <c r="K63" i="1"/>
  <c r="K126" i="1"/>
  <c r="K321" i="1"/>
  <c r="K482" i="1"/>
  <c r="K723" i="1"/>
  <c r="K567" i="1"/>
  <c r="K357" i="1"/>
  <c r="K38" i="1"/>
  <c r="K1001" i="1"/>
  <c r="K975" i="1"/>
  <c r="K524" i="1"/>
  <c r="K127" i="1"/>
  <c r="K627" i="1"/>
  <c r="K601" i="1"/>
  <c r="K322" i="1"/>
  <c r="K913" i="1"/>
  <c r="K525" i="1"/>
  <c r="K285" i="1"/>
  <c r="K64" i="1"/>
  <c r="K568" i="1"/>
  <c r="K945" i="1"/>
  <c r="K85" i="1"/>
  <c r="K946" i="1"/>
  <c r="K684" i="1"/>
  <c r="K390" i="1"/>
  <c r="K878" i="1"/>
  <c r="K947" i="1"/>
  <c r="K879" i="1"/>
  <c r="K763" i="1"/>
  <c r="K391" i="1"/>
  <c r="K358" i="1"/>
  <c r="K426" i="1"/>
  <c r="K460" i="1"/>
  <c r="K286" i="1"/>
  <c r="K685" i="1"/>
  <c r="K628" i="1"/>
  <c r="K392" i="1"/>
  <c r="K483" i="1"/>
  <c r="K724" i="1"/>
  <c r="K569" i="1"/>
  <c r="K484" i="1"/>
  <c r="K393" i="1"/>
  <c r="K602" i="1"/>
  <c r="K914" i="1"/>
  <c r="K193" i="1"/>
  <c r="K287" i="1"/>
  <c r="K915" i="1"/>
  <c r="K128" i="1"/>
  <c r="K359" i="1"/>
  <c r="K360" i="1"/>
  <c r="K86" i="1"/>
  <c r="K223" i="1"/>
  <c r="K461" i="1"/>
  <c r="K254" i="1"/>
  <c r="K129" i="1"/>
  <c r="K824" i="1"/>
  <c r="K603" i="1"/>
  <c r="K570" i="1"/>
  <c r="K87" i="1"/>
  <c r="K801" i="1"/>
  <c r="G323" i="1"/>
  <c r="G655" i="1"/>
  <c r="G976" i="1"/>
  <c r="G88" i="1"/>
  <c r="G571" i="1"/>
  <c r="G130" i="1"/>
  <c r="G485" i="1"/>
  <c r="G880" i="1"/>
  <c r="G572" i="1"/>
  <c r="G2" i="1"/>
  <c r="G629" i="1"/>
  <c r="G324" i="1"/>
  <c r="G65" i="1"/>
  <c r="G131" i="1"/>
  <c r="G526" i="1"/>
  <c r="G255" i="1"/>
  <c r="G847" i="1"/>
  <c r="G573" i="1"/>
  <c r="G825" i="1"/>
  <c r="G224" i="1"/>
  <c r="G462" i="1"/>
  <c r="G3" i="1"/>
  <c r="G325" i="1"/>
  <c r="G725" i="1"/>
  <c r="G361" i="1"/>
  <c r="G160" i="1"/>
  <c r="G39" i="1"/>
  <c r="G427" i="1"/>
  <c r="G194" i="1"/>
  <c r="G486" i="1"/>
  <c r="G527" i="1"/>
  <c r="G574" i="1"/>
  <c r="G132" i="1"/>
  <c r="G225" i="1"/>
  <c r="G394" i="1"/>
  <c r="G726" i="1"/>
  <c r="G656" i="1"/>
  <c r="G89" i="1"/>
  <c r="G764" i="1"/>
  <c r="G133" i="1"/>
  <c r="G40" i="1"/>
  <c r="G916" i="1"/>
  <c r="G727" i="1"/>
  <c r="G66" i="1"/>
  <c r="G528" i="1"/>
  <c r="G765" i="1"/>
  <c r="G195" i="1"/>
  <c r="G529" i="1"/>
  <c r="G395" i="1"/>
  <c r="G362" i="1"/>
  <c r="G288" i="1"/>
  <c r="G604" i="1"/>
  <c r="G657" i="1"/>
  <c r="G977" i="1"/>
  <c r="G487" i="1"/>
  <c r="G90" i="1"/>
  <c r="G658" i="1"/>
  <c r="G826" i="1"/>
  <c r="G488" i="1"/>
  <c r="G802" i="1"/>
  <c r="G630" i="1"/>
  <c r="G161" i="1"/>
  <c r="G728" i="1"/>
  <c r="G659" i="1"/>
  <c r="G729" i="1"/>
  <c r="G67" i="1"/>
  <c r="G363" i="1"/>
  <c r="G256" i="1"/>
  <c r="G68" i="1"/>
  <c r="G730" i="1"/>
  <c r="G428" i="1"/>
  <c r="G978" i="1"/>
  <c r="G463" i="1"/>
  <c r="G4" i="1"/>
  <c r="G803" i="1"/>
  <c r="G917" i="1"/>
  <c r="G766" i="1"/>
  <c r="G226" i="1"/>
  <c r="G575" i="1"/>
  <c r="G489" i="1"/>
  <c r="G429" i="1"/>
  <c r="G196" i="1"/>
  <c r="G767" i="1"/>
  <c r="G257" i="1"/>
  <c r="G490" i="1"/>
  <c r="G326" i="1"/>
  <c r="G258" i="1"/>
  <c r="G491" i="1"/>
  <c r="G530" i="1"/>
  <c r="G162" i="1"/>
  <c r="G979" i="1"/>
  <c r="G918" i="1"/>
  <c r="G686" i="1"/>
  <c r="G768" i="1"/>
  <c r="G605" i="1"/>
  <c r="G259" i="1"/>
  <c r="G769" i="1"/>
  <c r="G687" i="1"/>
  <c r="G289" i="1"/>
  <c r="G396" i="1"/>
  <c r="G631" i="1"/>
  <c r="G492" i="1"/>
  <c r="G430" i="1"/>
  <c r="G464" i="1"/>
  <c r="G632" i="1"/>
  <c r="G576" i="1"/>
  <c r="G227" i="1"/>
  <c r="G431" i="1"/>
  <c r="G660" i="1"/>
  <c r="G633" i="1"/>
  <c r="G260" i="1"/>
  <c r="G531" i="1"/>
  <c r="G731" i="1"/>
  <c r="G688" i="1"/>
  <c r="G732" i="1"/>
  <c r="G770" i="1"/>
  <c r="G881" i="1"/>
  <c r="G228" i="1"/>
  <c r="G804" i="1"/>
  <c r="G661" i="1"/>
  <c r="G882" i="1"/>
  <c r="G229" i="1"/>
  <c r="G432" i="1"/>
  <c r="G5" i="1"/>
  <c r="G197" i="1"/>
  <c r="G261" i="1"/>
  <c r="G827" i="1"/>
  <c r="G805" i="1"/>
  <c r="G806" i="1"/>
  <c r="G230" i="1"/>
  <c r="G493" i="1"/>
  <c r="G733" i="1"/>
  <c r="G231" i="1"/>
  <c r="G397" i="1"/>
  <c r="G198" i="1"/>
  <c r="G465" i="1"/>
  <c r="G364" i="1"/>
  <c r="G689" i="1"/>
  <c r="G883" i="1"/>
  <c r="G134" i="1"/>
  <c r="G807" i="1"/>
  <c r="G690" i="1"/>
  <c r="G771" i="1"/>
  <c r="G634" i="1"/>
  <c r="G828" i="1"/>
  <c r="G691" i="1"/>
  <c r="G980" i="1"/>
  <c r="G262" i="1"/>
  <c r="G433" i="1"/>
  <c r="G848" i="1"/>
  <c r="G734" i="1"/>
  <c r="G948" i="1"/>
  <c r="G949" i="1"/>
  <c r="G434" i="1"/>
  <c r="G692" i="1"/>
  <c r="G263" i="1"/>
  <c r="G6" i="1"/>
  <c r="G849" i="1"/>
  <c r="G327" i="1"/>
  <c r="G91" i="1"/>
  <c r="G199" i="1"/>
  <c r="G494" i="1"/>
  <c r="G884" i="1"/>
  <c r="G92" i="1"/>
  <c r="G981" i="1"/>
  <c r="G398" i="1"/>
  <c r="G693" i="1"/>
  <c r="G495" i="1"/>
  <c r="G496" i="1"/>
  <c r="G532" i="1"/>
  <c r="G662" i="1"/>
  <c r="G829" i="1"/>
  <c r="G7" i="1"/>
  <c r="G950" i="1"/>
  <c r="G735" i="1"/>
  <c r="G8" i="1"/>
  <c r="G93" i="1"/>
  <c r="G497" i="1"/>
  <c r="G885" i="1"/>
  <c r="G135" i="1"/>
  <c r="G919" i="1"/>
  <c r="G606" i="1"/>
  <c r="G498" i="1"/>
  <c r="G920" i="1"/>
  <c r="G399" i="1"/>
  <c r="G328" i="1"/>
  <c r="G290" i="1"/>
  <c r="G951" i="1"/>
  <c r="G850" i="1"/>
  <c r="G851" i="1"/>
  <c r="G163" i="1"/>
  <c r="G400" i="1"/>
  <c r="G9" i="1"/>
  <c r="G694" i="1"/>
  <c r="G921" i="1"/>
  <c r="G772" i="1"/>
  <c r="G886" i="1"/>
  <c r="G435" i="1"/>
  <c r="G200" i="1"/>
  <c r="G577" i="1"/>
  <c r="G365" i="1"/>
  <c r="G366" i="1"/>
  <c r="G164" i="1"/>
  <c r="G367" i="1"/>
  <c r="G773" i="1"/>
  <c r="G201" i="1"/>
  <c r="G466" i="1"/>
  <c r="G607" i="1"/>
  <c r="G533" i="1"/>
  <c r="G41" i="1"/>
  <c r="G534" i="1"/>
  <c r="G695" i="1"/>
  <c r="G94" i="1"/>
  <c r="G401" i="1"/>
  <c r="G578" i="1"/>
  <c r="G696" i="1"/>
  <c r="G402" i="1"/>
  <c r="G368" i="1"/>
  <c r="G952" i="1"/>
  <c r="G369" i="1"/>
  <c r="G10" i="1"/>
  <c r="G232" i="1"/>
  <c r="G887" i="1"/>
  <c r="G11" i="1"/>
  <c r="G202" i="1"/>
  <c r="G808" i="1"/>
  <c r="G329" i="1"/>
  <c r="G809" i="1"/>
  <c r="G736" i="1"/>
  <c r="G291" i="1"/>
  <c r="G922" i="1"/>
  <c r="G830" i="1"/>
  <c r="G774" i="1"/>
  <c r="G831" i="1"/>
  <c r="G436" i="1"/>
  <c r="G923" i="1"/>
  <c r="G832" i="1"/>
  <c r="G982" i="1"/>
  <c r="G579" i="1"/>
  <c r="G535" i="1"/>
  <c r="G264" i="1"/>
  <c r="G370" i="1"/>
  <c r="G499" i="1"/>
  <c r="G697" i="1"/>
  <c r="G953" i="1"/>
  <c r="G775" i="1"/>
  <c r="G698" i="1"/>
  <c r="G265" i="1"/>
  <c r="G699" i="1"/>
  <c r="G266" i="1"/>
  <c r="G95" i="1"/>
  <c r="G536" i="1"/>
  <c r="G924" i="1"/>
  <c r="G292" i="1"/>
  <c r="G776" i="1"/>
  <c r="G42" i="1"/>
  <c r="G737" i="1"/>
  <c r="G165" i="1"/>
  <c r="G166" i="1"/>
  <c r="G330" i="1"/>
  <c r="G403" i="1"/>
  <c r="G293" i="1"/>
  <c r="G167" i="1"/>
  <c r="G43" i="1"/>
  <c r="G810" i="1"/>
  <c r="G580" i="1"/>
  <c r="G888" i="1"/>
  <c r="G437" i="1"/>
  <c r="G777" i="1"/>
  <c r="G331" i="1"/>
  <c r="G852" i="1"/>
  <c r="G44" i="1"/>
  <c r="G738" i="1"/>
  <c r="G136" i="1"/>
  <c r="G853" i="1"/>
  <c r="G925" i="1"/>
  <c r="G954" i="1"/>
  <c r="G833" i="1"/>
  <c r="G168" i="1"/>
  <c r="G700" i="1"/>
  <c r="G371" i="1"/>
  <c r="G233" i="1"/>
  <c r="G137" i="1"/>
  <c r="G404" i="1"/>
  <c r="G45" i="1"/>
  <c r="G701" i="1"/>
  <c r="G537" i="1"/>
  <c r="G889" i="1"/>
  <c r="G538" i="1"/>
  <c r="G267" i="1"/>
  <c r="G702" i="1"/>
  <c r="G268" i="1"/>
  <c r="G608" i="1"/>
  <c r="G12" i="1"/>
  <c r="G739" i="1"/>
  <c r="G467" i="1"/>
  <c r="G438" i="1"/>
  <c r="G500" i="1"/>
  <c r="G539" i="1"/>
  <c r="G926" i="1"/>
  <c r="G372" i="1"/>
  <c r="G955" i="1"/>
  <c r="G69" i="1"/>
  <c r="G581" i="1"/>
  <c r="G234" i="1"/>
  <c r="G663" i="1"/>
  <c r="G373" i="1"/>
  <c r="G740" i="1"/>
  <c r="G983" i="1"/>
  <c r="G927" i="1"/>
  <c r="G778" i="1"/>
  <c r="G13" i="1"/>
  <c r="G294" i="1"/>
  <c r="G138" i="1"/>
  <c r="G96" i="1"/>
  <c r="G405" i="1"/>
  <c r="G406" i="1"/>
  <c r="G14" i="1"/>
  <c r="G984" i="1"/>
  <c r="G203" i="1"/>
  <c r="G295" i="1"/>
  <c r="G139" i="1"/>
  <c r="G741" i="1"/>
  <c r="G407" i="1"/>
  <c r="G956" i="1"/>
  <c r="G204" i="1"/>
  <c r="G205" i="1"/>
  <c r="G834" i="1"/>
  <c r="G501" i="1"/>
  <c r="G468" i="1"/>
  <c r="G332" i="1"/>
  <c r="G540" i="1"/>
  <c r="G46" i="1"/>
  <c r="G742" i="1"/>
  <c r="G835" i="1"/>
  <c r="G408" i="1"/>
  <c r="G582" i="1"/>
  <c r="G333" i="1"/>
  <c r="G140" i="1"/>
  <c r="G502" i="1"/>
  <c r="G928" i="1"/>
  <c r="G503" i="1"/>
  <c r="G635" i="1"/>
  <c r="G583" i="1"/>
  <c r="G664" i="1"/>
  <c r="G665" i="1"/>
  <c r="G296" i="1"/>
  <c r="G890" i="1"/>
  <c r="G97" i="1"/>
  <c r="G836" i="1"/>
  <c r="G666" i="1"/>
  <c r="G584" i="1"/>
  <c r="G269" i="1"/>
  <c r="G504" i="1"/>
  <c r="G703" i="1"/>
  <c r="G297" i="1"/>
  <c r="G15" i="1"/>
  <c r="G609" i="1"/>
  <c r="G141" i="1"/>
  <c r="G206" i="1"/>
  <c r="G439" i="1"/>
  <c r="G957" i="1"/>
  <c r="G541" i="1"/>
  <c r="G929" i="1"/>
  <c r="G667" i="1"/>
  <c r="G743" i="1"/>
  <c r="G668" i="1"/>
  <c r="G891" i="1"/>
  <c r="G207" i="1"/>
  <c r="G610" i="1"/>
  <c r="G98" i="1"/>
  <c r="G469" i="1"/>
  <c r="G142" i="1"/>
  <c r="G985" i="1"/>
  <c r="G298" i="1"/>
  <c r="G99" i="1"/>
  <c r="G440" i="1"/>
  <c r="G542" i="1"/>
  <c r="G585" i="1"/>
  <c r="G958" i="1"/>
  <c r="G811" i="1"/>
  <c r="G470" i="1"/>
  <c r="G636" i="1"/>
  <c r="G374" i="1"/>
  <c r="G208" i="1"/>
  <c r="G505" i="1"/>
  <c r="G334" i="1"/>
  <c r="G543" i="1"/>
  <c r="G209" i="1"/>
  <c r="G959" i="1"/>
  <c r="G812" i="1"/>
  <c r="G744" i="1"/>
  <c r="G441" i="1"/>
  <c r="G854" i="1"/>
  <c r="G47" i="1"/>
  <c r="G704" i="1"/>
  <c r="G544" i="1"/>
  <c r="G70" i="1"/>
  <c r="G270" i="1"/>
  <c r="G506" i="1"/>
  <c r="G892" i="1"/>
  <c r="G986" i="1"/>
  <c r="G335" i="1"/>
  <c r="G375" i="1"/>
  <c r="G169" i="1"/>
  <c r="G779" i="1"/>
  <c r="G271" i="1"/>
  <c r="G837" i="1"/>
  <c r="G705" i="1"/>
  <c r="G442" i="1"/>
  <c r="G987" i="1"/>
  <c r="G443" i="1"/>
  <c r="G586" i="1"/>
  <c r="G930" i="1"/>
  <c r="G780" i="1"/>
  <c r="G143" i="1"/>
  <c r="G48" i="1"/>
  <c r="G893" i="1"/>
  <c r="G545" i="1"/>
  <c r="G16" i="1"/>
  <c r="G894" i="1"/>
  <c r="G336" i="1"/>
  <c r="G144" i="1"/>
  <c r="G855" i="1"/>
  <c r="G507" i="1"/>
  <c r="G49" i="1"/>
  <c r="G272" i="1"/>
  <c r="G706" i="1"/>
  <c r="G471" i="1"/>
  <c r="G273" i="1"/>
  <c r="G745" i="1"/>
  <c r="G587" i="1"/>
  <c r="G145" i="1"/>
  <c r="G508" i="1"/>
  <c r="G509" i="1"/>
  <c r="G781" i="1"/>
  <c r="G546" i="1"/>
  <c r="G444" i="1"/>
  <c r="G856" i="1"/>
  <c r="G611" i="1"/>
  <c r="G813" i="1"/>
  <c r="G50" i="1"/>
  <c r="G376" i="1"/>
  <c r="G472" i="1"/>
  <c r="G235" i="1"/>
  <c r="G71" i="1"/>
  <c r="G857" i="1"/>
  <c r="G100" i="1"/>
  <c r="G931" i="1"/>
  <c r="G746" i="1"/>
  <c r="G210" i="1"/>
  <c r="G170" i="1"/>
  <c r="G101" i="1"/>
  <c r="G588" i="1"/>
  <c r="G669" i="1"/>
  <c r="G51" i="1"/>
  <c r="G171" i="1"/>
  <c r="G473" i="1"/>
  <c r="G747" i="1"/>
  <c r="G146" i="1"/>
  <c r="G988" i="1"/>
  <c r="G707" i="1"/>
  <c r="G236" i="1"/>
  <c r="G708" i="1"/>
  <c r="G147" i="1"/>
  <c r="G409" i="1"/>
  <c r="G410" i="1"/>
  <c r="G299" i="1"/>
  <c r="G510" i="1"/>
  <c r="G102" i="1"/>
  <c r="G858" i="1"/>
  <c r="G547" i="1"/>
  <c r="G445" i="1"/>
  <c r="G511" i="1"/>
  <c r="G637" i="1"/>
  <c r="G670" i="1"/>
  <c r="G446" i="1"/>
  <c r="G211" i="1"/>
  <c r="G447" i="1"/>
  <c r="G612" i="1"/>
  <c r="G548" i="1"/>
  <c r="G52" i="1"/>
  <c r="G671" i="1"/>
  <c r="G103" i="1"/>
  <c r="G814" i="1"/>
  <c r="G274" i="1"/>
  <c r="G782" i="1"/>
  <c r="G411" i="1"/>
  <c r="G613" i="1"/>
  <c r="G783" i="1"/>
  <c r="G104" i="1"/>
  <c r="G212" i="1"/>
  <c r="G589" i="1"/>
  <c r="G960" i="1"/>
  <c r="G672" i="1"/>
  <c r="G237" i="1"/>
  <c r="G512" i="1"/>
  <c r="G275" i="1"/>
  <c r="G53" i="1"/>
  <c r="G172" i="1"/>
  <c r="G614" i="1"/>
  <c r="G615" i="1"/>
  <c r="G300" i="1"/>
  <c r="G173" i="1"/>
  <c r="G148" i="1"/>
  <c r="G337" i="1"/>
  <c r="G859" i="1"/>
  <c r="G513" i="1"/>
  <c r="G17" i="1"/>
  <c r="G961" i="1"/>
  <c r="G860" i="1"/>
  <c r="G474" i="1"/>
  <c r="G18" i="1"/>
  <c r="G412" i="1"/>
  <c r="G673" i="1"/>
  <c r="G105" i="1"/>
  <c r="G895" i="1"/>
  <c r="G106" i="1"/>
  <c r="G107" i="1"/>
  <c r="G549" i="1"/>
  <c r="G896" i="1"/>
  <c r="G475" i="1"/>
  <c r="G54" i="1"/>
  <c r="G550" i="1"/>
  <c r="G989" i="1"/>
  <c r="G238" i="1"/>
  <c r="G861" i="1"/>
  <c r="G590" i="1"/>
  <c r="G108" i="1"/>
  <c r="G338" i="1"/>
  <c r="G862" i="1"/>
  <c r="G932" i="1"/>
  <c r="G514" i="1"/>
  <c r="G174" i="1"/>
  <c r="G748" i="1"/>
  <c r="G674" i="1"/>
  <c r="G377" i="1"/>
  <c r="G276" i="1"/>
  <c r="G616" i="1"/>
  <c r="G339" i="1"/>
  <c r="G933" i="1"/>
  <c r="G109" i="1"/>
  <c r="G675" i="1"/>
  <c r="G110" i="1"/>
  <c r="G301" i="1"/>
  <c r="G111" i="1"/>
  <c r="G448" i="1"/>
  <c r="G617" i="1"/>
  <c r="G19" i="1"/>
  <c r="G676" i="1"/>
  <c r="G340" i="1"/>
  <c r="G277" i="1"/>
  <c r="G72" i="1"/>
  <c r="G213" i="1"/>
  <c r="G515" i="1"/>
  <c r="G112" i="1"/>
  <c r="G449" i="1"/>
  <c r="G962" i="1"/>
  <c r="G378" i="1"/>
  <c r="G934" i="1"/>
  <c r="G784" i="1"/>
  <c r="G341" i="1"/>
  <c r="G302" i="1"/>
  <c r="G55" i="1"/>
  <c r="G709" i="1"/>
  <c r="G785" i="1"/>
  <c r="G239" i="1"/>
  <c r="G935" i="1"/>
  <c r="G591" i="1"/>
  <c r="G897" i="1"/>
  <c r="G214" i="1"/>
  <c r="G342" i="1"/>
  <c r="G278" i="1"/>
  <c r="G113" i="1"/>
  <c r="G898" i="1"/>
  <c r="G551" i="1"/>
  <c r="G838" i="1"/>
  <c r="G279" i="1"/>
  <c r="G710" i="1"/>
  <c r="G73" i="1"/>
  <c r="G990" i="1"/>
  <c r="G963" i="1"/>
  <c r="G677" i="1"/>
  <c r="G175" i="1"/>
  <c r="G964" i="1"/>
  <c r="G711" i="1"/>
  <c r="G638" i="1"/>
  <c r="G639" i="1"/>
  <c r="G592" i="1"/>
  <c r="G863" i="1"/>
  <c r="G786" i="1"/>
  <c r="G476" i="1"/>
  <c r="G593" i="1"/>
  <c r="G413" i="1"/>
  <c r="G303" i="1"/>
  <c r="G176" i="1"/>
  <c r="G839" i="1"/>
  <c r="G840" i="1"/>
  <c r="G841" i="1"/>
  <c r="G936" i="1"/>
  <c r="G379" i="1"/>
  <c r="G114" i="1"/>
  <c r="G618" i="1"/>
  <c r="G380" i="1"/>
  <c r="G304" i="1"/>
  <c r="G787" i="1"/>
  <c r="G516" i="1"/>
  <c r="G56" i="1"/>
  <c r="G414" i="1"/>
  <c r="G864" i="1"/>
  <c r="G788" i="1"/>
  <c r="G552" i="1"/>
  <c r="G343" i="1"/>
  <c r="G749" i="1"/>
  <c r="G553" i="1"/>
  <c r="G750" i="1"/>
  <c r="G305" i="1"/>
  <c r="G991" i="1"/>
  <c r="G74" i="1"/>
  <c r="G177" i="1"/>
  <c r="G554" i="1"/>
  <c r="G75" i="1"/>
  <c r="G712" i="1"/>
  <c r="G306" i="1"/>
  <c r="G450" i="1"/>
  <c r="G842" i="1"/>
  <c r="G937" i="1"/>
  <c r="G555" i="1"/>
  <c r="G20" i="1"/>
  <c r="G640" i="1"/>
  <c r="G415" i="1"/>
  <c r="G713" i="1"/>
  <c r="G344" i="1"/>
  <c r="G21" i="1"/>
  <c r="G594" i="1"/>
  <c r="G280" i="1"/>
  <c r="G751" i="1"/>
  <c r="G556" i="1"/>
  <c r="G115" i="1"/>
  <c r="G714" i="1"/>
  <c r="G815" i="1"/>
  <c r="G619" i="1"/>
  <c r="G116" i="1"/>
  <c r="G517" i="1"/>
  <c r="G899" i="1"/>
  <c r="G789" i="1"/>
  <c r="G620" i="1"/>
  <c r="G416" i="1"/>
  <c r="G641" i="1"/>
  <c r="G417" i="1"/>
  <c r="G715" i="1"/>
  <c r="G281" i="1"/>
  <c r="G716" i="1"/>
  <c r="G992" i="1"/>
  <c r="G149" i="1"/>
  <c r="G307" i="1"/>
  <c r="G621" i="1"/>
  <c r="G752" i="1"/>
  <c r="G993" i="1"/>
  <c r="G418" i="1"/>
  <c r="G117" i="1"/>
  <c r="G308" i="1"/>
  <c r="G215" i="1"/>
  <c r="G240" i="1"/>
  <c r="G965" i="1"/>
  <c r="G57" i="1"/>
  <c r="G381" i="1"/>
  <c r="G241" i="1"/>
  <c r="G518" i="1"/>
  <c r="G150" i="1"/>
  <c r="G76" i="1"/>
  <c r="G77" i="1"/>
  <c r="G717" i="1"/>
  <c r="G216" i="1"/>
  <c r="G178" i="1"/>
  <c r="G790" i="1"/>
  <c r="G382" i="1"/>
  <c r="G179" i="1"/>
  <c r="G642" i="1"/>
  <c r="G791" i="1"/>
  <c r="G345" i="1"/>
  <c r="G816" i="1"/>
  <c r="G383" i="1"/>
  <c r="G753" i="1"/>
  <c r="G309" i="1"/>
  <c r="G217" i="1"/>
  <c r="G242" i="1"/>
  <c r="G218" i="1"/>
  <c r="G310" i="1"/>
  <c r="G311" i="1"/>
  <c r="G151" i="1"/>
  <c r="G865" i="1"/>
  <c r="G346" i="1"/>
  <c r="G900" i="1"/>
  <c r="G78" i="1"/>
  <c r="G347" i="1"/>
  <c r="G348" i="1"/>
  <c r="G966" i="1"/>
  <c r="G718" i="1"/>
  <c r="G180" i="1"/>
  <c r="G557" i="1"/>
  <c r="G967" i="1"/>
  <c r="G419" i="1"/>
  <c r="G643" i="1"/>
  <c r="G243" i="1"/>
  <c r="G866" i="1"/>
  <c r="G938" i="1"/>
  <c r="G58" i="1"/>
  <c r="G719" i="1"/>
  <c r="G678" i="1"/>
  <c r="G244" i="1"/>
  <c r="G595" i="1"/>
  <c r="G843" i="1"/>
  <c r="G817" i="1"/>
  <c r="G867" i="1"/>
  <c r="G181" i="1"/>
  <c r="G451" i="1"/>
  <c r="G79" i="1"/>
  <c r="G644" i="1"/>
  <c r="G477" i="1"/>
  <c r="G478" i="1"/>
  <c r="G59" i="1"/>
  <c r="G754" i="1"/>
  <c r="G152" i="1"/>
  <c r="G844" i="1"/>
  <c r="G755" i="1"/>
  <c r="G60" i="1"/>
  <c r="G153" i="1"/>
  <c r="G22" i="1"/>
  <c r="G519" i="1"/>
  <c r="G23" i="1"/>
  <c r="G182" i="1"/>
  <c r="G720" i="1"/>
  <c r="G245" i="1"/>
  <c r="G118" i="1"/>
  <c r="G679" i="1"/>
  <c r="G183" i="1"/>
  <c r="G901" i="1"/>
  <c r="G558" i="1"/>
  <c r="G24" i="1"/>
  <c r="G939" i="1"/>
  <c r="G868" i="1"/>
  <c r="G219" i="1"/>
  <c r="G25" i="1"/>
  <c r="G792" i="1"/>
  <c r="G119" i="1"/>
  <c r="G312" i="1"/>
  <c r="G246" i="1"/>
  <c r="G313" i="1"/>
  <c r="G622" i="1"/>
  <c r="G26" i="1"/>
  <c r="G120" i="1"/>
  <c r="G184" i="1"/>
  <c r="G452" i="1"/>
  <c r="G645" i="1"/>
  <c r="G940" i="1"/>
  <c r="G185" i="1"/>
  <c r="G623" i="1"/>
  <c r="G994" i="1"/>
  <c r="G756" i="1"/>
  <c r="G453" i="1"/>
  <c r="G902" i="1"/>
  <c r="G559" i="1"/>
  <c r="G646" i="1"/>
  <c r="G314" i="1"/>
  <c r="G247" i="1"/>
  <c r="G315" i="1"/>
  <c r="G757" i="1"/>
  <c r="G420" i="1"/>
  <c r="G624" i="1"/>
  <c r="G154" i="1"/>
  <c r="G349" i="1"/>
  <c r="G27" i="1"/>
  <c r="G647" i="1"/>
  <c r="G903" i="1"/>
  <c r="G316" i="1"/>
  <c r="G793" i="1"/>
  <c r="G520" i="1"/>
  <c r="G995" i="1"/>
  <c r="G384" i="1"/>
  <c r="G80" i="1"/>
  <c r="G28" i="1"/>
  <c r="G454" i="1"/>
  <c r="G680" i="1"/>
  <c r="G61" i="1"/>
  <c r="G385" i="1"/>
  <c r="G794" i="1"/>
  <c r="G350" i="1"/>
  <c r="G941" i="1"/>
  <c r="G351" i="1"/>
  <c r="G155" i="1"/>
  <c r="G560" i="1"/>
  <c r="G62" i="1"/>
  <c r="G282" i="1"/>
  <c r="G721" i="1"/>
  <c r="G352" i="1"/>
  <c r="G596" i="1"/>
  <c r="G904" i="1"/>
  <c r="G869" i="1"/>
  <c r="G968" i="1"/>
  <c r="G29" i="1"/>
  <c r="G969" i="1"/>
  <c r="G722" i="1"/>
  <c r="G521" i="1"/>
  <c r="G905" i="1"/>
  <c r="G906" i="1"/>
  <c r="G795" i="1"/>
  <c r="G81" i="1"/>
  <c r="G455" i="1"/>
  <c r="G870" i="1"/>
  <c r="G625" i="1"/>
  <c r="G561" i="1"/>
  <c r="G648" i="1"/>
  <c r="G317" i="1"/>
  <c r="G30" i="1"/>
  <c r="G248" i="1"/>
  <c r="G283" i="1"/>
  <c r="G31" i="1"/>
  <c r="G456" i="1"/>
  <c r="G597" i="1"/>
  <c r="G421" i="1"/>
  <c r="G249" i="1"/>
  <c r="G250" i="1"/>
  <c r="G871" i="1"/>
  <c r="G82" i="1"/>
  <c r="G598" i="1"/>
  <c r="G353" i="1"/>
  <c r="G907" i="1"/>
  <c r="G156" i="1"/>
  <c r="G522" i="1"/>
  <c r="G386" i="1"/>
  <c r="G599" i="1"/>
  <c r="G32" i="1"/>
  <c r="G33" i="1"/>
  <c r="G758" i="1"/>
  <c r="G970" i="1"/>
  <c r="G284" i="1"/>
  <c r="G649" i="1"/>
  <c r="G818" i="1"/>
  <c r="G562" i="1"/>
  <c r="G563" i="1"/>
  <c r="G34" i="1"/>
  <c r="G796" i="1"/>
  <c r="G121" i="1"/>
  <c r="G650" i="1"/>
  <c r="G908" i="1"/>
  <c r="G318" i="1"/>
  <c r="G651" i="1"/>
  <c r="G457" i="1"/>
  <c r="G83" i="1"/>
  <c r="G354" i="1"/>
  <c r="G652" i="1"/>
  <c r="G971" i="1"/>
  <c r="G626" i="1"/>
  <c r="G759" i="1"/>
  <c r="G819" i="1"/>
  <c r="G35" i="1"/>
  <c r="G909" i="1"/>
  <c r="G36" i="1"/>
  <c r="G122" i="1"/>
  <c r="G157" i="1"/>
  <c r="G564" i="1"/>
  <c r="G942" i="1"/>
  <c r="G319" i="1"/>
  <c r="G820" i="1"/>
  <c r="G355" i="1"/>
  <c r="G356" i="1"/>
  <c r="G387" i="1"/>
  <c r="G996" i="1"/>
  <c r="G972" i="1"/>
  <c r="G186" i="1"/>
  <c r="G681" i="1"/>
  <c r="G797" i="1"/>
  <c r="G872" i="1"/>
  <c r="G187" i="1"/>
  <c r="G422" i="1"/>
  <c r="G821" i="1"/>
  <c r="G943" i="1"/>
  <c r="G158" i="1"/>
  <c r="G220" i="1"/>
  <c r="G458" i="1"/>
  <c r="G822" i="1"/>
  <c r="G423" i="1"/>
  <c r="G823" i="1"/>
  <c r="G159" i="1"/>
  <c r="G123" i="1"/>
  <c r="G798" i="1"/>
  <c r="G682" i="1"/>
  <c r="G221" i="1"/>
  <c r="G873" i="1"/>
  <c r="G188" i="1"/>
  <c r="G84" i="1"/>
  <c r="G388" i="1"/>
  <c r="G997" i="1"/>
  <c r="G760" i="1"/>
  <c r="G124" i="1"/>
  <c r="G874" i="1"/>
  <c r="G875" i="1"/>
  <c r="G459" i="1"/>
  <c r="G761" i="1"/>
  <c r="G189" i="1"/>
  <c r="G845" i="1"/>
  <c r="G910" i="1"/>
  <c r="G320" i="1"/>
  <c r="G125" i="1"/>
  <c r="G998" i="1"/>
  <c r="G876" i="1"/>
  <c r="G999" i="1"/>
  <c r="G653" i="1"/>
  <c r="G190" i="1"/>
  <c r="G191" i="1"/>
  <c r="G799" i="1"/>
  <c r="G424" i="1"/>
  <c r="G683" i="1"/>
  <c r="G1000" i="1"/>
  <c r="G846" i="1"/>
  <c r="G762" i="1"/>
  <c r="G973" i="1"/>
  <c r="G877" i="1"/>
  <c r="G251" i="1"/>
  <c r="G600" i="1"/>
  <c r="G479" i="1"/>
  <c r="G911" i="1"/>
  <c r="G252" i="1"/>
  <c r="G944" i="1"/>
  <c r="G523" i="1"/>
  <c r="G565" i="1"/>
  <c r="G222" i="1"/>
  <c r="G654" i="1"/>
  <c r="G480" i="1"/>
  <c r="G425" i="1"/>
  <c r="G912" i="1"/>
  <c r="G566" i="1"/>
  <c r="G481" i="1"/>
  <c r="G800" i="1"/>
  <c r="G37" i="1"/>
  <c r="G389" i="1"/>
  <c r="G974" i="1"/>
  <c r="G253" i="1"/>
  <c r="G192" i="1"/>
  <c r="G63" i="1"/>
  <c r="G126" i="1"/>
  <c r="G321" i="1"/>
  <c r="G482" i="1"/>
  <c r="G723" i="1"/>
  <c r="G567" i="1"/>
  <c r="G357" i="1"/>
  <c r="G38" i="1"/>
  <c r="G1001" i="1"/>
  <c r="G975" i="1"/>
  <c r="G524" i="1"/>
  <c r="G127" i="1"/>
  <c r="G627" i="1"/>
  <c r="G601" i="1"/>
  <c r="G322" i="1"/>
  <c r="G913" i="1"/>
  <c r="G525" i="1"/>
  <c r="G285" i="1"/>
  <c r="G64" i="1"/>
  <c r="G568" i="1"/>
  <c r="G945" i="1"/>
  <c r="G85" i="1"/>
  <c r="G946" i="1"/>
  <c r="G684" i="1"/>
  <c r="G390" i="1"/>
  <c r="G878" i="1"/>
  <c r="G947" i="1"/>
  <c r="G879" i="1"/>
  <c r="G763" i="1"/>
  <c r="G391" i="1"/>
  <c r="G358" i="1"/>
  <c r="G426" i="1"/>
  <c r="G460" i="1"/>
  <c r="G286" i="1"/>
  <c r="G685" i="1"/>
  <c r="G628" i="1"/>
  <c r="G392" i="1"/>
  <c r="G483" i="1"/>
  <c r="G724" i="1"/>
  <c r="G569" i="1"/>
  <c r="G484" i="1"/>
  <c r="G393" i="1"/>
  <c r="G602" i="1"/>
  <c r="G914" i="1"/>
  <c r="G193" i="1"/>
  <c r="G287" i="1"/>
  <c r="G915" i="1"/>
  <c r="G128" i="1"/>
  <c r="G359" i="1"/>
  <c r="G360" i="1"/>
  <c r="G86" i="1"/>
  <c r="G223" i="1"/>
  <c r="G461" i="1"/>
  <c r="G254" i="1"/>
  <c r="G129" i="1"/>
  <c r="G824" i="1"/>
  <c r="G603" i="1"/>
  <c r="G570" i="1"/>
  <c r="G87" i="1"/>
  <c r="G801" i="1"/>
  <c r="E323" i="1"/>
  <c r="E655" i="1"/>
  <c r="E976" i="1"/>
  <c r="E88" i="1"/>
  <c r="E571" i="1"/>
  <c r="E130" i="1"/>
  <c r="E485" i="1"/>
  <c r="E880" i="1"/>
  <c r="E572" i="1"/>
  <c r="E2" i="1"/>
  <c r="E629" i="1"/>
  <c r="E324" i="1"/>
  <c r="E65" i="1"/>
  <c r="E131" i="1"/>
  <c r="E526" i="1"/>
  <c r="E255" i="1"/>
  <c r="E847" i="1"/>
  <c r="E573" i="1"/>
  <c r="E825" i="1"/>
  <c r="E224" i="1"/>
  <c r="E462" i="1"/>
  <c r="E3" i="1"/>
  <c r="E325" i="1"/>
  <c r="E725" i="1"/>
  <c r="E361" i="1"/>
  <c r="E160" i="1"/>
  <c r="E39" i="1"/>
  <c r="E427" i="1"/>
  <c r="E194" i="1"/>
  <c r="E486" i="1"/>
  <c r="E527" i="1"/>
  <c r="E574" i="1"/>
  <c r="E132" i="1"/>
  <c r="E225" i="1"/>
  <c r="E394" i="1"/>
  <c r="E726" i="1"/>
  <c r="E656" i="1"/>
  <c r="E89" i="1"/>
  <c r="E764" i="1"/>
  <c r="E133" i="1"/>
  <c r="E40" i="1"/>
  <c r="E916" i="1"/>
  <c r="E727" i="1"/>
  <c r="E66" i="1"/>
  <c r="E528" i="1"/>
  <c r="E765" i="1"/>
  <c r="E195" i="1"/>
  <c r="E529" i="1"/>
  <c r="E395" i="1"/>
  <c r="E362" i="1"/>
  <c r="E288" i="1"/>
  <c r="E604" i="1"/>
  <c r="E657" i="1"/>
  <c r="E977" i="1"/>
  <c r="E487" i="1"/>
  <c r="E90" i="1"/>
  <c r="E658" i="1"/>
  <c r="E826" i="1"/>
  <c r="E488" i="1"/>
  <c r="E802" i="1"/>
  <c r="E630" i="1"/>
  <c r="E161" i="1"/>
  <c r="E728" i="1"/>
  <c r="E659" i="1"/>
  <c r="E729" i="1"/>
  <c r="E67" i="1"/>
  <c r="E363" i="1"/>
  <c r="E256" i="1"/>
  <c r="E68" i="1"/>
  <c r="E730" i="1"/>
  <c r="E428" i="1"/>
  <c r="E978" i="1"/>
  <c r="E463" i="1"/>
  <c r="E4" i="1"/>
  <c r="E803" i="1"/>
  <c r="E917" i="1"/>
  <c r="E766" i="1"/>
  <c r="E226" i="1"/>
  <c r="E575" i="1"/>
  <c r="E489" i="1"/>
  <c r="E429" i="1"/>
  <c r="E196" i="1"/>
  <c r="E767" i="1"/>
  <c r="E257" i="1"/>
  <c r="E490" i="1"/>
  <c r="E326" i="1"/>
  <c r="E258" i="1"/>
  <c r="E491" i="1"/>
  <c r="E530" i="1"/>
  <c r="E162" i="1"/>
  <c r="E979" i="1"/>
  <c r="E918" i="1"/>
  <c r="E686" i="1"/>
  <c r="E768" i="1"/>
  <c r="E605" i="1"/>
  <c r="E259" i="1"/>
  <c r="E769" i="1"/>
  <c r="E687" i="1"/>
  <c r="E289" i="1"/>
  <c r="E396" i="1"/>
  <c r="E631" i="1"/>
  <c r="E492" i="1"/>
  <c r="E430" i="1"/>
  <c r="E464" i="1"/>
  <c r="E632" i="1"/>
  <c r="E576" i="1"/>
  <c r="E227" i="1"/>
  <c r="E431" i="1"/>
  <c r="E660" i="1"/>
  <c r="E633" i="1"/>
  <c r="E260" i="1"/>
  <c r="E531" i="1"/>
  <c r="E731" i="1"/>
  <c r="E688" i="1"/>
  <c r="E732" i="1"/>
  <c r="E770" i="1"/>
  <c r="E881" i="1"/>
  <c r="E228" i="1"/>
  <c r="E804" i="1"/>
  <c r="E661" i="1"/>
  <c r="E882" i="1"/>
  <c r="E229" i="1"/>
  <c r="E432" i="1"/>
  <c r="E5" i="1"/>
  <c r="E197" i="1"/>
  <c r="E261" i="1"/>
  <c r="E827" i="1"/>
  <c r="E805" i="1"/>
  <c r="E806" i="1"/>
  <c r="E230" i="1"/>
  <c r="E493" i="1"/>
  <c r="E733" i="1"/>
  <c r="E231" i="1"/>
  <c r="E397" i="1"/>
  <c r="E198" i="1"/>
  <c r="E465" i="1"/>
  <c r="E364" i="1"/>
  <c r="E689" i="1"/>
  <c r="E883" i="1"/>
  <c r="E134" i="1"/>
  <c r="E807" i="1"/>
  <c r="E690" i="1"/>
  <c r="E771" i="1"/>
  <c r="E634" i="1"/>
  <c r="E828" i="1"/>
  <c r="E691" i="1"/>
  <c r="E980" i="1"/>
  <c r="E262" i="1"/>
  <c r="E433" i="1"/>
  <c r="E848" i="1"/>
  <c r="E734" i="1"/>
  <c r="E948" i="1"/>
  <c r="E949" i="1"/>
  <c r="E434" i="1"/>
  <c r="E692" i="1"/>
  <c r="E263" i="1"/>
  <c r="E6" i="1"/>
  <c r="E849" i="1"/>
  <c r="E327" i="1"/>
  <c r="E91" i="1"/>
  <c r="E199" i="1"/>
  <c r="E494" i="1"/>
  <c r="E884" i="1"/>
  <c r="E92" i="1"/>
  <c r="E981" i="1"/>
  <c r="E398" i="1"/>
  <c r="E693" i="1"/>
  <c r="E495" i="1"/>
  <c r="E496" i="1"/>
  <c r="E532" i="1"/>
  <c r="E662" i="1"/>
  <c r="E829" i="1"/>
  <c r="E7" i="1"/>
  <c r="E950" i="1"/>
  <c r="E735" i="1"/>
  <c r="E8" i="1"/>
  <c r="E93" i="1"/>
  <c r="E497" i="1"/>
  <c r="E885" i="1"/>
  <c r="E135" i="1"/>
  <c r="E919" i="1"/>
  <c r="E606" i="1"/>
  <c r="E498" i="1"/>
  <c r="E920" i="1"/>
  <c r="E399" i="1"/>
  <c r="E328" i="1"/>
  <c r="E290" i="1"/>
  <c r="E951" i="1"/>
  <c r="E850" i="1"/>
  <c r="E851" i="1"/>
  <c r="E163" i="1"/>
  <c r="E400" i="1"/>
  <c r="E9" i="1"/>
  <c r="E694" i="1"/>
  <c r="E921" i="1"/>
  <c r="E772" i="1"/>
  <c r="E886" i="1"/>
  <c r="E435" i="1"/>
  <c r="E200" i="1"/>
  <c r="E577" i="1"/>
  <c r="E365" i="1"/>
  <c r="E366" i="1"/>
  <c r="E164" i="1"/>
  <c r="E367" i="1"/>
  <c r="E773" i="1"/>
  <c r="E201" i="1"/>
  <c r="E466" i="1"/>
  <c r="E607" i="1"/>
  <c r="E533" i="1"/>
  <c r="E41" i="1"/>
  <c r="E534" i="1"/>
  <c r="E695" i="1"/>
  <c r="E94" i="1"/>
  <c r="E401" i="1"/>
  <c r="E578" i="1"/>
  <c r="E696" i="1"/>
  <c r="E402" i="1"/>
  <c r="E368" i="1"/>
  <c r="E952" i="1"/>
  <c r="E369" i="1"/>
  <c r="E10" i="1"/>
  <c r="E232" i="1"/>
  <c r="E887" i="1"/>
  <c r="E11" i="1"/>
  <c r="E202" i="1"/>
  <c r="E808" i="1"/>
  <c r="E329" i="1"/>
  <c r="E809" i="1"/>
  <c r="E736" i="1"/>
  <c r="E291" i="1"/>
  <c r="E922" i="1"/>
  <c r="E830" i="1"/>
  <c r="E774" i="1"/>
  <c r="E831" i="1"/>
  <c r="E436" i="1"/>
  <c r="E923" i="1"/>
  <c r="E832" i="1"/>
  <c r="E982" i="1"/>
  <c r="E579" i="1"/>
  <c r="E535" i="1"/>
  <c r="E264" i="1"/>
  <c r="E370" i="1"/>
  <c r="E499" i="1"/>
  <c r="E697" i="1"/>
  <c r="E953" i="1"/>
  <c r="E775" i="1"/>
  <c r="E698" i="1"/>
  <c r="E265" i="1"/>
  <c r="E699" i="1"/>
  <c r="E266" i="1"/>
  <c r="E95" i="1"/>
  <c r="E536" i="1"/>
  <c r="E924" i="1"/>
  <c r="E292" i="1"/>
  <c r="E776" i="1"/>
  <c r="E42" i="1"/>
  <c r="E737" i="1"/>
  <c r="E165" i="1"/>
  <c r="E166" i="1"/>
  <c r="E330" i="1"/>
  <c r="E403" i="1"/>
  <c r="E293" i="1"/>
  <c r="E167" i="1"/>
  <c r="E43" i="1"/>
  <c r="E810" i="1"/>
  <c r="E580" i="1"/>
  <c r="E888" i="1"/>
  <c r="E437" i="1"/>
  <c r="E777" i="1"/>
  <c r="E331" i="1"/>
  <c r="E852" i="1"/>
  <c r="E44" i="1"/>
  <c r="E738" i="1"/>
  <c r="E136" i="1"/>
  <c r="E853" i="1"/>
  <c r="E925" i="1"/>
  <c r="E954" i="1"/>
  <c r="E833" i="1"/>
  <c r="E168" i="1"/>
  <c r="E700" i="1"/>
  <c r="E371" i="1"/>
  <c r="E233" i="1"/>
  <c r="E137" i="1"/>
  <c r="E404" i="1"/>
  <c r="E45" i="1"/>
  <c r="E701" i="1"/>
  <c r="E537" i="1"/>
  <c r="E889" i="1"/>
  <c r="E538" i="1"/>
  <c r="E267" i="1"/>
  <c r="E702" i="1"/>
  <c r="E268" i="1"/>
  <c r="E608" i="1"/>
  <c r="E12" i="1"/>
  <c r="E739" i="1"/>
  <c r="E467" i="1"/>
  <c r="E438" i="1"/>
  <c r="E500" i="1"/>
  <c r="E539" i="1"/>
  <c r="E926" i="1"/>
  <c r="E372" i="1"/>
  <c r="E955" i="1"/>
  <c r="E69" i="1"/>
  <c r="E581" i="1"/>
  <c r="E234" i="1"/>
  <c r="E663" i="1"/>
  <c r="E373" i="1"/>
  <c r="E740" i="1"/>
  <c r="E983" i="1"/>
  <c r="E927" i="1"/>
  <c r="E778" i="1"/>
  <c r="E13" i="1"/>
  <c r="E294" i="1"/>
  <c r="E138" i="1"/>
  <c r="E96" i="1"/>
  <c r="E405" i="1"/>
  <c r="E406" i="1"/>
  <c r="E14" i="1"/>
  <c r="E984" i="1"/>
  <c r="E203" i="1"/>
  <c r="E295" i="1"/>
  <c r="E139" i="1"/>
  <c r="E741" i="1"/>
  <c r="E407" i="1"/>
  <c r="E956" i="1"/>
  <c r="E204" i="1"/>
  <c r="E205" i="1"/>
  <c r="E834" i="1"/>
  <c r="E501" i="1"/>
  <c r="E468" i="1"/>
  <c r="E332" i="1"/>
  <c r="E540" i="1"/>
  <c r="E46" i="1"/>
  <c r="E742" i="1"/>
  <c r="E835" i="1"/>
  <c r="E408" i="1"/>
  <c r="E582" i="1"/>
  <c r="E333" i="1"/>
  <c r="E140" i="1"/>
  <c r="E502" i="1"/>
  <c r="E928" i="1"/>
  <c r="E503" i="1"/>
  <c r="E635" i="1"/>
  <c r="E583" i="1"/>
  <c r="E664" i="1"/>
  <c r="E665" i="1"/>
  <c r="E296" i="1"/>
  <c r="E890" i="1"/>
  <c r="E97" i="1"/>
  <c r="E836" i="1"/>
  <c r="E666" i="1"/>
  <c r="E584" i="1"/>
  <c r="E269" i="1"/>
  <c r="E504" i="1"/>
  <c r="E703" i="1"/>
  <c r="E297" i="1"/>
  <c r="E15" i="1"/>
  <c r="E609" i="1"/>
  <c r="E141" i="1"/>
  <c r="E206" i="1"/>
  <c r="E439" i="1"/>
  <c r="E957" i="1"/>
  <c r="E541" i="1"/>
  <c r="E929" i="1"/>
  <c r="E667" i="1"/>
  <c r="E743" i="1"/>
  <c r="E668" i="1"/>
  <c r="E891" i="1"/>
  <c r="E207" i="1"/>
  <c r="E610" i="1"/>
  <c r="E98" i="1"/>
  <c r="E469" i="1"/>
  <c r="E142" i="1"/>
  <c r="E985" i="1"/>
  <c r="E298" i="1"/>
  <c r="E99" i="1"/>
  <c r="E440" i="1"/>
  <c r="E542" i="1"/>
  <c r="E585" i="1"/>
  <c r="E958" i="1"/>
  <c r="E811" i="1"/>
  <c r="E470" i="1"/>
  <c r="E636" i="1"/>
  <c r="E374" i="1"/>
  <c r="E208" i="1"/>
  <c r="E505" i="1"/>
  <c r="E334" i="1"/>
  <c r="E543" i="1"/>
  <c r="E209" i="1"/>
  <c r="E959" i="1"/>
  <c r="E812" i="1"/>
  <c r="E744" i="1"/>
  <c r="E441" i="1"/>
  <c r="E854" i="1"/>
  <c r="E47" i="1"/>
  <c r="E704" i="1"/>
  <c r="E544" i="1"/>
  <c r="E70" i="1"/>
  <c r="E270" i="1"/>
  <c r="E506" i="1"/>
  <c r="E892" i="1"/>
  <c r="E986" i="1"/>
  <c r="E335" i="1"/>
  <c r="E375" i="1"/>
  <c r="E169" i="1"/>
  <c r="E779" i="1"/>
  <c r="E271" i="1"/>
  <c r="E837" i="1"/>
  <c r="E705" i="1"/>
  <c r="E442" i="1"/>
  <c r="E987" i="1"/>
  <c r="E443" i="1"/>
  <c r="E586" i="1"/>
  <c r="E930" i="1"/>
  <c r="E780" i="1"/>
  <c r="E143" i="1"/>
  <c r="E48" i="1"/>
  <c r="E893" i="1"/>
  <c r="E545" i="1"/>
  <c r="E16" i="1"/>
  <c r="E894" i="1"/>
  <c r="E336" i="1"/>
  <c r="E144" i="1"/>
  <c r="E855" i="1"/>
  <c r="E507" i="1"/>
  <c r="E49" i="1"/>
  <c r="E272" i="1"/>
  <c r="E706" i="1"/>
  <c r="E471" i="1"/>
  <c r="E273" i="1"/>
  <c r="E745" i="1"/>
  <c r="E587" i="1"/>
  <c r="E145" i="1"/>
  <c r="E508" i="1"/>
  <c r="E509" i="1"/>
  <c r="E781" i="1"/>
  <c r="E546" i="1"/>
  <c r="E444" i="1"/>
  <c r="E856" i="1"/>
  <c r="E611" i="1"/>
  <c r="E813" i="1"/>
  <c r="E50" i="1"/>
  <c r="E376" i="1"/>
  <c r="E472" i="1"/>
  <c r="E235" i="1"/>
  <c r="E71" i="1"/>
  <c r="E857" i="1"/>
  <c r="E100" i="1"/>
  <c r="E931" i="1"/>
  <c r="E746" i="1"/>
  <c r="E210" i="1"/>
  <c r="E170" i="1"/>
  <c r="E101" i="1"/>
  <c r="E588" i="1"/>
  <c r="E669" i="1"/>
  <c r="E51" i="1"/>
  <c r="E171" i="1"/>
  <c r="E473" i="1"/>
  <c r="E747" i="1"/>
  <c r="E146" i="1"/>
  <c r="E988" i="1"/>
  <c r="E707" i="1"/>
  <c r="E236" i="1"/>
  <c r="E708" i="1"/>
  <c r="E147" i="1"/>
  <c r="E409" i="1"/>
  <c r="E410" i="1"/>
  <c r="E299" i="1"/>
  <c r="E510" i="1"/>
  <c r="E102" i="1"/>
  <c r="E858" i="1"/>
  <c r="E547" i="1"/>
  <c r="E445" i="1"/>
  <c r="E511" i="1"/>
  <c r="E637" i="1"/>
  <c r="E670" i="1"/>
  <c r="E446" i="1"/>
  <c r="E211" i="1"/>
  <c r="E447" i="1"/>
  <c r="E612" i="1"/>
  <c r="E548" i="1"/>
  <c r="E52" i="1"/>
  <c r="E671" i="1"/>
  <c r="E103" i="1"/>
  <c r="E814" i="1"/>
  <c r="E274" i="1"/>
  <c r="E782" i="1"/>
  <c r="E411" i="1"/>
  <c r="E613" i="1"/>
  <c r="E783" i="1"/>
  <c r="E104" i="1"/>
  <c r="E212" i="1"/>
  <c r="E589" i="1"/>
  <c r="E960" i="1"/>
  <c r="E672" i="1"/>
  <c r="E237" i="1"/>
  <c r="E512" i="1"/>
  <c r="E275" i="1"/>
  <c r="E53" i="1"/>
  <c r="E172" i="1"/>
  <c r="E614" i="1"/>
  <c r="E615" i="1"/>
  <c r="E300" i="1"/>
  <c r="E173" i="1"/>
  <c r="E148" i="1"/>
  <c r="E337" i="1"/>
  <c r="E859" i="1"/>
  <c r="E513" i="1"/>
  <c r="E17" i="1"/>
  <c r="E961" i="1"/>
  <c r="E860" i="1"/>
  <c r="E474" i="1"/>
  <c r="E18" i="1"/>
  <c r="E412" i="1"/>
  <c r="E673" i="1"/>
  <c r="E105" i="1"/>
  <c r="E895" i="1"/>
  <c r="E106" i="1"/>
  <c r="E107" i="1"/>
  <c r="E549" i="1"/>
  <c r="E896" i="1"/>
  <c r="E475" i="1"/>
  <c r="E54" i="1"/>
  <c r="E550" i="1"/>
  <c r="E989" i="1"/>
  <c r="E238" i="1"/>
  <c r="E861" i="1"/>
  <c r="E590" i="1"/>
  <c r="E108" i="1"/>
  <c r="E338" i="1"/>
  <c r="E862" i="1"/>
  <c r="E932" i="1"/>
  <c r="E514" i="1"/>
  <c r="E174" i="1"/>
  <c r="E748" i="1"/>
  <c r="E674" i="1"/>
  <c r="E377" i="1"/>
  <c r="E276" i="1"/>
  <c r="E616" i="1"/>
  <c r="E339" i="1"/>
  <c r="E933" i="1"/>
  <c r="E109" i="1"/>
  <c r="E675" i="1"/>
  <c r="E110" i="1"/>
  <c r="E301" i="1"/>
  <c r="E111" i="1"/>
  <c r="E448" i="1"/>
  <c r="E617" i="1"/>
  <c r="E19" i="1"/>
  <c r="E676" i="1"/>
  <c r="E340" i="1"/>
  <c r="E277" i="1"/>
  <c r="E72" i="1"/>
  <c r="E213" i="1"/>
  <c r="E515" i="1"/>
  <c r="E112" i="1"/>
  <c r="E449" i="1"/>
  <c r="E962" i="1"/>
  <c r="E378" i="1"/>
  <c r="E934" i="1"/>
  <c r="E784" i="1"/>
  <c r="E341" i="1"/>
  <c r="E302" i="1"/>
  <c r="E55" i="1"/>
  <c r="E709" i="1"/>
  <c r="E785" i="1"/>
  <c r="E239" i="1"/>
  <c r="E935" i="1"/>
  <c r="E591" i="1"/>
  <c r="E897" i="1"/>
  <c r="E214" i="1"/>
  <c r="E342" i="1"/>
  <c r="E278" i="1"/>
  <c r="E113" i="1"/>
  <c r="E898" i="1"/>
  <c r="E551" i="1"/>
  <c r="E838" i="1"/>
  <c r="E279" i="1"/>
  <c r="E710" i="1"/>
  <c r="E73" i="1"/>
  <c r="E990" i="1"/>
  <c r="E963" i="1"/>
  <c r="E677" i="1"/>
  <c r="E175" i="1"/>
  <c r="E964" i="1"/>
  <c r="E711" i="1"/>
  <c r="E638" i="1"/>
  <c r="E639" i="1"/>
  <c r="E592" i="1"/>
  <c r="E863" i="1"/>
  <c r="E786" i="1"/>
  <c r="E476" i="1"/>
  <c r="E593" i="1"/>
  <c r="E413" i="1"/>
  <c r="E303" i="1"/>
  <c r="E176" i="1"/>
  <c r="E839" i="1"/>
  <c r="E840" i="1"/>
  <c r="E841" i="1"/>
  <c r="E936" i="1"/>
  <c r="E379" i="1"/>
  <c r="E114" i="1"/>
  <c r="E618" i="1"/>
  <c r="E380" i="1"/>
  <c r="E304" i="1"/>
  <c r="E787" i="1"/>
  <c r="E516" i="1"/>
  <c r="E56" i="1"/>
  <c r="E414" i="1"/>
  <c r="E864" i="1"/>
  <c r="E788" i="1"/>
  <c r="E552" i="1"/>
  <c r="E343" i="1"/>
  <c r="E749" i="1"/>
  <c r="E553" i="1"/>
  <c r="E750" i="1"/>
  <c r="E305" i="1"/>
  <c r="E991" i="1"/>
  <c r="E74" i="1"/>
  <c r="E177" i="1"/>
  <c r="E554" i="1"/>
  <c r="E75" i="1"/>
  <c r="E712" i="1"/>
  <c r="E306" i="1"/>
  <c r="E450" i="1"/>
  <c r="E842" i="1"/>
  <c r="E937" i="1"/>
  <c r="E555" i="1"/>
  <c r="E20" i="1"/>
  <c r="E640" i="1"/>
  <c r="E415" i="1"/>
  <c r="E713" i="1"/>
  <c r="E344" i="1"/>
  <c r="E21" i="1"/>
  <c r="E594" i="1"/>
  <c r="E280" i="1"/>
  <c r="E751" i="1"/>
  <c r="E556" i="1"/>
  <c r="E115" i="1"/>
  <c r="E714" i="1"/>
  <c r="E815" i="1"/>
  <c r="E619" i="1"/>
  <c r="E116" i="1"/>
  <c r="E517" i="1"/>
  <c r="E899" i="1"/>
  <c r="E789" i="1"/>
  <c r="E620" i="1"/>
  <c r="E416" i="1"/>
  <c r="E641" i="1"/>
  <c r="E417" i="1"/>
  <c r="E715" i="1"/>
  <c r="E281" i="1"/>
  <c r="E716" i="1"/>
  <c r="E992" i="1"/>
  <c r="E149" i="1"/>
  <c r="E307" i="1"/>
  <c r="E621" i="1"/>
  <c r="E752" i="1"/>
  <c r="E993" i="1"/>
  <c r="E418" i="1"/>
  <c r="E117" i="1"/>
  <c r="E308" i="1"/>
  <c r="E215" i="1"/>
  <c r="E240" i="1"/>
  <c r="E965" i="1"/>
  <c r="E57" i="1"/>
  <c r="E381" i="1"/>
  <c r="E241" i="1"/>
  <c r="E518" i="1"/>
  <c r="E150" i="1"/>
  <c r="E76" i="1"/>
  <c r="E77" i="1"/>
  <c r="E717" i="1"/>
  <c r="E216" i="1"/>
  <c r="E178" i="1"/>
  <c r="E790" i="1"/>
  <c r="E382" i="1"/>
  <c r="E179" i="1"/>
  <c r="E642" i="1"/>
  <c r="E791" i="1"/>
  <c r="E345" i="1"/>
  <c r="E816" i="1"/>
  <c r="E383" i="1"/>
  <c r="E753" i="1"/>
  <c r="E309" i="1"/>
  <c r="E217" i="1"/>
  <c r="E242" i="1"/>
  <c r="E218" i="1"/>
  <c r="E310" i="1"/>
  <c r="E311" i="1"/>
  <c r="E151" i="1"/>
  <c r="E865" i="1"/>
  <c r="E346" i="1"/>
  <c r="E900" i="1"/>
  <c r="E78" i="1"/>
  <c r="E347" i="1"/>
  <c r="E348" i="1"/>
  <c r="E966" i="1"/>
  <c r="E718" i="1"/>
  <c r="E180" i="1"/>
  <c r="E557" i="1"/>
  <c r="E967" i="1"/>
  <c r="E419" i="1"/>
  <c r="E643" i="1"/>
  <c r="E243" i="1"/>
  <c r="E866" i="1"/>
  <c r="E938" i="1"/>
  <c r="E58" i="1"/>
  <c r="E719" i="1"/>
  <c r="E678" i="1"/>
  <c r="E244" i="1"/>
  <c r="E595" i="1"/>
  <c r="E843" i="1"/>
  <c r="E817" i="1"/>
  <c r="E867" i="1"/>
  <c r="E181" i="1"/>
  <c r="E451" i="1"/>
  <c r="E79" i="1"/>
  <c r="E644" i="1"/>
  <c r="E477" i="1"/>
  <c r="E478" i="1"/>
  <c r="E59" i="1"/>
  <c r="E754" i="1"/>
  <c r="E152" i="1"/>
  <c r="E844" i="1"/>
  <c r="E755" i="1"/>
  <c r="E60" i="1"/>
  <c r="E153" i="1"/>
  <c r="E22" i="1"/>
  <c r="E519" i="1"/>
  <c r="E23" i="1"/>
  <c r="E182" i="1"/>
  <c r="E720" i="1"/>
  <c r="E245" i="1"/>
  <c r="E118" i="1"/>
  <c r="E679" i="1"/>
  <c r="E183" i="1"/>
  <c r="E901" i="1"/>
  <c r="E558" i="1"/>
  <c r="E24" i="1"/>
  <c r="E939" i="1"/>
  <c r="E868" i="1"/>
  <c r="E219" i="1"/>
  <c r="E25" i="1"/>
  <c r="E792" i="1"/>
  <c r="E119" i="1"/>
  <c r="E312" i="1"/>
  <c r="E246" i="1"/>
  <c r="E313" i="1"/>
  <c r="E622" i="1"/>
  <c r="E26" i="1"/>
  <c r="E120" i="1"/>
  <c r="E184" i="1"/>
  <c r="E452" i="1"/>
  <c r="E645" i="1"/>
  <c r="E940" i="1"/>
  <c r="E185" i="1"/>
  <c r="E623" i="1"/>
  <c r="E994" i="1"/>
  <c r="E756" i="1"/>
  <c r="E453" i="1"/>
  <c r="E902" i="1"/>
  <c r="E559" i="1"/>
  <c r="E646" i="1"/>
  <c r="E314" i="1"/>
  <c r="E247" i="1"/>
  <c r="E315" i="1"/>
  <c r="E757" i="1"/>
  <c r="E420" i="1"/>
  <c r="E624" i="1"/>
  <c r="E154" i="1"/>
  <c r="E349" i="1"/>
  <c r="E27" i="1"/>
  <c r="E647" i="1"/>
  <c r="E903" i="1"/>
  <c r="E316" i="1"/>
  <c r="E793" i="1"/>
  <c r="E520" i="1"/>
  <c r="E995" i="1"/>
  <c r="E384" i="1"/>
  <c r="E80" i="1"/>
  <c r="E28" i="1"/>
  <c r="E454" i="1"/>
  <c r="E680" i="1"/>
  <c r="E61" i="1"/>
  <c r="E385" i="1"/>
  <c r="E794" i="1"/>
  <c r="E350" i="1"/>
  <c r="E941" i="1"/>
  <c r="E351" i="1"/>
  <c r="E155" i="1"/>
  <c r="E560" i="1"/>
  <c r="E62" i="1"/>
  <c r="E282" i="1"/>
  <c r="E721" i="1"/>
  <c r="E352" i="1"/>
  <c r="E596" i="1"/>
  <c r="E904" i="1"/>
  <c r="E869" i="1"/>
  <c r="E968" i="1"/>
  <c r="E29" i="1"/>
  <c r="E969" i="1"/>
  <c r="E722" i="1"/>
  <c r="E521" i="1"/>
  <c r="E905" i="1"/>
  <c r="E906" i="1"/>
  <c r="E795" i="1"/>
  <c r="E81" i="1"/>
  <c r="E455" i="1"/>
  <c r="E870" i="1"/>
  <c r="E625" i="1"/>
  <c r="E561" i="1"/>
  <c r="E648" i="1"/>
  <c r="E317" i="1"/>
  <c r="E30" i="1"/>
  <c r="E248" i="1"/>
  <c r="E283" i="1"/>
  <c r="E31" i="1"/>
  <c r="E456" i="1"/>
  <c r="E597" i="1"/>
  <c r="E421" i="1"/>
  <c r="E249" i="1"/>
  <c r="E250" i="1"/>
  <c r="E871" i="1"/>
  <c r="E82" i="1"/>
  <c r="E598" i="1"/>
  <c r="E353" i="1"/>
  <c r="E907" i="1"/>
  <c r="E156" i="1"/>
  <c r="E522" i="1"/>
  <c r="E386" i="1"/>
  <c r="E599" i="1"/>
  <c r="E32" i="1"/>
  <c r="E33" i="1"/>
  <c r="E758" i="1"/>
  <c r="E970" i="1"/>
  <c r="E284" i="1"/>
  <c r="E649" i="1"/>
  <c r="E818" i="1"/>
  <c r="E562" i="1"/>
  <c r="E563" i="1"/>
  <c r="E34" i="1"/>
  <c r="E796" i="1"/>
  <c r="E121" i="1"/>
  <c r="E650" i="1"/>
  <c r="E908" i="1"/>
  <c r="E318" i="1"/>
  <c r="E651" i="1"/>
  <c r="E457" i="1"/>
  <c r="E83" i="1"/>
  <c r="E354" i="1"/>
  <c r="E652" i="1"/>
  <c r="E971" i="1"/>
  <c r="E626" i="1"/>
  <c r="E759" i="1"/>
  <c r="E819" i="1"/>
  <c r="E35" i="1"/>
  <c r="E909" i="1"/>
  <c r="E36" i="1"/>
  <c r="E122" i="1"/>
  <c r="E157" i="1"/>
  <c r="E564" i="1"/>
  <c r="E942" i="1"/>
  <c r="E319" i="1"/>
  <c r="E820" i="1"/>
  <c r="E355" i="1"/>
  <c r="E356" i="1"/>
  <c r="E387" i="1"/>
  <c r="E996" i="1"/>
  <c r="E972" i="1"/>
  <c r="E186" i="1"/>
  <c r="E681" i="1"/>
  <c r="E797" i="1"/>
  <c r="E872" i="1"/>
  <c r="E187" i="1"/>
  <c r="E422" i="1"/>
  <c r="E821" i="1"/>
  <c r="E943" i="1"/>
  <c r="E158" i="1"/>
  <c r="E220" i="1"/>
  <c r="E458" i="1"/>
  <c r="E822" i="1"/>
  <c r="E423" i="1"/>
  <c r="E823" i="1"/>
  <c r="E159" i="1"/>
  <c r="E123" i="1"/>
  <c r="E798" i="1"/>
  <c r="E682" i="1"/>
  <c r="E221" i="1"/>
  <c r="E873" i="1"/>
  <c r="E188" i="1"/>
  <c r="E84" i="1"/>
  <c r="E388" i="1"/>
  <c r="E997" i="1"/>
  <c r="E760" i="1"/>
  <c r="E124" i="1"/>
  <c r="E874" i="1"/>
  <c r="E875" i="1"/>
  <c r="E459" i="1"/>
  <c r="E761" i="1"/>
  <c r="E189" i="1"/>
  <c r="E845" i="1"/>
  <c r="E910" i="1"/>
  <c r="E320" i="1"/>
  <c r="E125" i="1"/>
  <c r="E998" i="1"/>
  <c r="E876" i="1"/>
  <c r="E999" i="1"/>
  <c r="E653" i="1"/>
  <c r="E190" i="1"/>
  <c r="E191" i="1"/>
  <c r="E799" i="1"/>
  <c r="E424" i="1"/>
  <c r="E683" i="1"/>
  <c r="E1000" i="1"/>
  <c r="E846" i="1"/>
  <c r="E762" i="1"/>
  <c r="E973" i="1"/>
  <c r="E877" i="1"/>
  <c r="E251" i="1"/>
  <c r="E600" i="1"/>
  <c r="E479" i="1"/>
  <c r="E911" i="1"/>
  <c r="E252" i="1"/>
  <c r="E944" i="1"/>
  <c r="E523" i="1"/>
  <c r="E565" i="1"/>
  <c r="E222" i="1"/>
  <c r="E654" i="1"/>
  <c r="E480" i="1"/>
  <c r="E425" i="1"/>
  <c r="E912" i="1"/>
  <c r="E566" i="1"/>
  <c r="E481" i="1"/>
  <c r="E800" i="1"/>
  <c r="E37" i="1"/>
  <c r="E389" i="1"/>
  <c r="E974" i="1"/>
  <c r="E253" i="1"/>
  <c r="E192" i="1"/>
  <c r="E63" i="1"/>
  <c r="E126" i="1"/>
  <c r="E321" i="1"/>
  <c r="E482" i="1"/>
  <c r="E723" i="1"/>
  <c r="E567" i="1"/>
  <c r="E357" i="1"/>
  <c r="E38" i="1"/>
  <c r="E1001" i="1"/>
  <c r="E975" i="1"/>
  <c r="E524" i="1"/>
  <c r="E127" i="1"/>
  <c r="E627" i="1"/>
  <c r="E601" i="1"/>
  <c r="E322" i="1"/>
  <c r="E913" i="1"/>
  <c r="E525" i="1"/>
  <c r="E285" i="1"/>
  <c r="E64" i="1"/>
  <c r="E568" i="1"/>
  <c r="E945" i="1"/>
  <c r="E85" i="1"/>
  <c r="E946" i="1"/>
  <c r="E684" i="1"/>
  <c r="E390" i="1"/>
  <c r="E878" i="1"/>
  <c r="E947" i="1"/>
  <c r="E879" i="1"/>
  <c r="E763" i="1"/>
  <c r="E391" i="1"/>
  <c r="E358" i="1"/>
  <c r="E426" i="1"/>
  <c r="E460" i="1"/>
  <c r="E286" i="1"/>
  <c r="E685" i="1"/>
  <c r="E628" i="1"/>
  <c r="E392" i="1"/>
  <c r="E483" i="1"/>
  <c r="E724" i="1"/>
  <c r="E569" i="1"/>
  <c r="E484" i="1"/>
  <c r="E393" i="1"/>
  <c r="E602" i="1"/>
  <c r="E914" i="1"/>
  <c r="E193" i="1"/>
  <c r="E287" i="1"/>
  <c r="E915" i="1"/>
  <c r="E128" i="1"/>
  <c r="E359" i="1"/>
  <c r="E360" i="1"/>
  <c r="E86" i="1"/>
  <c r="E223" i="1"/>
  <c r="E461" i="1"/>
  <c r="E254" i="1"/>
  <c r="E129" i="1"/>
  <c r="E824" i="1"/>
  <c r="E603" i="1"/>
  <c r="E570" i="1"/>
  <c r="E87" i="1"/>
  <c r="E801" i="1"/>
  <c r="F3" i="6"/>
  <c r="F4" i="6"/>
  <c r="F5" i="6"/>
  <c r="F6" i="6"/>
  <c r="F7" i="6"/>
  <c r="C100" i="6" s="1"/>
  <c r="U323" i="1"/>
  <c r="U655" i="1"/>
  <c r="U976" i="1"/>
  <c r="U88" i="1"/>
  <c r="U571" i="1"/>
  <c r="U130" i="1"/>
  <c r="U485" i="1"/>
  <c r="U880" i="1"/>
  <c r="U572" i="1"/>
  <c r="U2" i="1"/>
  <c r="U629" i="1"/>
  <c r="U324" i="1"/>
  <c r="U65" i="1"/>
  <c r="U131" i="1"/>
  <c r="U526" i="1"/>
  <c r="U255" i="1"/>
  <c r="U847" i="1"/>
  <c r="U573" i="1"/>
  <c r="U825" i="1"/>
  <c r="U224" i="1"/>
  <c r="U462" i="1"/>
  <c r="U3" i="1"/>
  <c r="U325" i="1"/>
  <c r="U725" i="1"/>
  <c r="U361" i="1"/>
  <c r="U160" i="1"/>
  <c r="U39" i="1"/>
  <c r="U427" i="1"/>
  <c r="U194" i="1"/>
  <c r="U486" i="1"/>
  <c r="U527" i="1"/>
  <c r="U574" i="1"/>
  <c r="U132" i="1"/>
  <c r="U225" i="1"/>
  <c r="U394" i="1"/>
  <c r="U726" i="1"/>
  <c r="U656" i="1"/>
  <c r="U89" i="1"/>
  <c r="U764" i="1"/>
  <c r="U133" i="1"/>
  <c r="U40" i="1"/>
  <c r="U916" i="1"/>
  <c r="U727" i="1"/>
  <c r="U66" i="1"/>
  <c r="U528" i="1"/>
  <c r="U765" i="1"/>
  <c r="U195" i="1"/>
  <c r="U529" i="1"/>
  <c r="U395" i="1"/>
  <c r="U362" i="1"/>
  <c r="U288" i="1"/>
  <c r="U604" i="1"/>
  <c r="U657" i="1"/>
  <c r="U977" i="1"/>
  <c r="U487" i="1"/>
  <c r="U90" i="1"/>
  <c r="U658" i="1"/>
  <c r="U826" i="1"/>
  <c r="U488" i="1"/>
  <c r="U802" i="1"/>
  <c r="U630" i="1"/>
  <c r="U161" i="1"/>
  <c r="U728" i="1"/>
  <c r="U659" i="1"/>
  <c r="U729" i="1"/>
  <c r="U67" i="1"/>
  <c r="U363" i="1"/>
  <c r="U256" i="1"/>
  <c r="U68" i="1"/>
  <c r="U730" i="1"/>
  <c r="U428" i="1"/>
  <c r="U978" i="1"/>
  <c r="U463" i="1"/>
  <c r="U4" i="1"/>
  <c r="U803" i="1"/>
  <c r="U917" i="1"/>
  <c r="U766" i="1"/>
  <c r="U226" i="1"/>
  <c r="U575" i="1"/>
  <c r="U489" i="1"/>
  <c r="U429" i="1"/>
  <c r="U196" i="1"/>
  <c r="U767" i="1"/>
  <c r="U257" i="1"/>
  <c r="U490" i="1"/>
  <c r="U326" i="1"/>
  <c r="U258" i="1"/>
  <c r="U491" i="1"/>
  <c r="U530" i="1"/>
  <c r="U162" i="1"/>
  <c r="U979" i="1"/>
  <c r="U918" i="1"/>
  <c r="U686" i="1"/>
  <c r="U768" i="1"/>
  <c r="U605" i="1"/>
  <c r="U259" i="1"/>
  <c r="U769" i="1"/>
  <c r="U687" i="1"/>
  <c r="U289" i="1"/>
  <c r="U396" i="1"/>
  <c r="U631" i="1"/>
  <c r="U492" i="1"/>
  <c r="U430" i="1"/>
  <c r="U464" i="1"/>
  <c r="U632" i="1"/>
  <c r="U576" i="1"/>
  <c r="U227" i="1"/>
  <c r="U431" i="1"/>
  <c r="U660" i="1"/>
  <c r="U633" i="1"/>
  <c r="U260" i="1"/>
  <c r="U531" i="1"/>
  <c r="U731" i="1"/>
  <c r="U688" i="1"/>
  <c r="U732" i="1"/>
  <c r="U770" i="1"/>
  <c r="U881" i="1"/>
  <c r="U228" i="1"/>
  <c r="U804" i="1"/>
  <c r="U661" i="1"/>
  <c r="U882" i="1"/>
  <c r="U229" i="1"/>
  <c r="U432" i="1"/>
  <c r="U5" i="1"/>
  <c r="U197" i="1"/>
  <c r="U261" i="1"/>
  <c r="U827" i="1"/>
  <c r="U805" i="1"/>
  <c r="U806" i="1"/>
  <c r="U230" i="1"/>
  <c r="U493" i="1"/>
  <c r="U733" i="1"/>
  <c r="U231" i="1"/>
  <c r="U397" i="1"/>
  <c r="U198" i="1"/>
  <c r="U465" i="1"/>
  <c r="U364" i="1"/>
  <c r="U689" i="1"/>
  <c r="U883" i="1"/>
  <c r="U134" i="1"/>
  <c r="U807" i="1"/>
  <c r="U690" i="1"/>
  <c r="U771" i="1"/>
  <c r="U634" i="1"/>
  <c r="U828" i="1"/>
  <c r="U691" i="1"/>
  <c r="U980" i="1"/>
  <c r="U262" i="1"/>
  <c r="U433" i="1"/>
  <c r="U848" i="1"/>
  <c r="U734" i="1"/>
  <c r="U948" i="1"/>
  <c r="U949" i="1"/>
  <c r="U434" i="1"/>
  <c r="U692" i="1"/>
  <c r="U263" i="1"/>
  <c r="U6" i="1"/>
  <c r="U849" i="1"/>
  <c r="U327" i="1"/>
  <c r="U91" i="1"/>
  <c r="U199" i="1"/>
  <c r="U494" i="1"/>
  <c r="U884" i="1"/>
  <c r="U92" i="1"/>
  <c r="U981" i="1"/>
  <c r="U398" i="1"/>
  <c r="U693" i="1"/>
  <c r="U495" i="1"/>
  <c r="U496" i="1"/>
  <c r="U532" i="1"/>
  <c r="U662" i="1"/>
  <c r="U829" i="1"/>
  <c r="U7" i="1"/>
  <c r="U950" i="1"/>
  <c r="U735" i="1"/>
  <c r="U8" i="1"/>
  <c r="U93" i="1"/>
  <c r="U497" i="1"/>
  <c r="U885" i="1"/>
  <c r="U135" i="1"/>
  <c r="U919" i="1"/>
  <c r="U606" i="1"/>
  <c r="U498" i="1"/>
  <c r="U920" i="1"/>
  <c r="U399" i="1"/>
  <c r="U328" i="1"/>
  <c r="U290" i="1"/>
  <c r="U951" i="1"/>
  <c r="U850" i="1"/>
  <c r="U851" i="1"/>
  <c r="U163" i="1"/>
  <c r="U400" i="1"/>
  <c r="U9" i="1"/>
  <c r="U694" i="1"/>
  <c r="U921" i="1"/>
  <c r="U772" i="1"/>
  <c r="U886" i="1"/>
  <c r="U435" i="1"/>
  <c r="U200" i="1"/>
  <c r="U577" i="1"/>
  <c r="U365" i="1"/>
  <c r="U366" i="1"/>
  <c r="U164" i="1"/>
  <c r="U367" i="1"/>
  <c r="U773" i="1"/>
  <c r="U201" i="1"/>
  <c r="U466" i="1"/>
  <c r="U607" i="1"/>
  <c r="U533" i="1"/>
  <c r="U41" i="1"/>
  <c r="U534" i="1"/>
  <c r="U695" i="1"/>
  <c r="U94" i="1"/>
  <c r="U401" i="1"/>
  <c r="U578" i="1"/>
  <c r="U696" i="1"/>
  <c r="U402" i="1"/>
  <c r="U368" i="1"/>
  <c r="U952" i="1"/>
  <c r="U369" i="1"/>
  <c r="U10" i="1"/>
  <c r="U232" i="1"/>
  <c r="U887" i="1"/>
  <c r="U11" i="1"/>
  <c r="U202" i="1"/>
  <c r="U808" i="1"/>
  <c r="U329" i="1"/>
  <c r="U809" i="1"/>
  <c r="U736" i="1"/>
  <c r="U291" i="1"/>
  <c r="U922" i="1"/>
  <c r="U830" i="1"/>
  <c r="U774" i="1"/>
  <c r="U831" i="1"/>
  <c r="U436" i="1"/>
  <c r="U923" i="1"/>
  <c r="U832" i="1"/>
  <c r="U982" i="1"/>
  <c r="U579" i="1"/>
  <c r="U535" i="1"/>
  <c r="U264" i="1"/>
  <c r="U370" i="1"/>
  <c r="U499" i="1"/>
  <c r="U697" i="1"/>
  <c r="U953" i="1"/>
  <c r="U775" i="1"/>
  <c r="U698" i="1"/>
  <c r="U265" i="1"/>
  <c r="U699" i="1"/>
  <c r="U266" i="1"/>
  <c r="U95" i="1"/>
  <c r="U536" i="1"/>
  <c r="U924" i="1"/>
  <c r="U292" i="1"/>
  <c r="U776" i="1"/>
  <c r="U42" i="1"/>
  <c r="U737" i="1"/>
  <c r="U165" i="1"/>
  <c r="U166" i="1"/>
  <c r="U330" i="1"/>
  <c r="U403" i="1"/>
  <c r="U293" i="1"/>
  <c r="U167" i="1"/>
  <c r="U43" i="1"/>
  <c r="U810" i="1"/>
  <c r="U580" i="1"/>
  <c r="U888" i="1"/>
  <c r="U437" i="1"/>
  <c r="U777" i="1"/>
  <c r="U331" i="1"/>
  <c r="U852" i="1"/>
  <c r="U44" i="1"/>
  <c r="U738" i="1"/>
  <c r="U136" i="1"/>
  <c r="U853" i="1"/>
  <c r="U925" i="1"/>
  <c r="U954" i="1"/>
  <c r="U833" i="1"/>
  <c r="U168" i="1"/>
  <c r="U700" i="1"/>
  <c r="U371" i="1"/>
  <c r="U233" i="1"/>
  <c r="U137" i="1"/>
  <c r="U404" i="1"/>
  <c r="U45" i="1"/>
  <c r="U701" i="1"/>
  <c r="U537" i="1"/>
  <c r="U889" i="1"/>
  <c r="U538" i="1"/>
  <c r="U267" i="1"/>
  <c r="U702" i="1"/>
  <c r="U268" i="1"/>
  <c r="U608" i="1"/>
  <c r="U12" i="1"/>
  <c r="U739" i="1"/>
  <c r="U467" i="1"/>
  <c r="U438" i="1"/>
  <c r="U500" i="1"/>
  <c r="U539" i="1"/>
  <c r="U926" i="1"/>
  <c r="U372" i="1"/>
  <c r="U955" i="1"/>
  <c r="U69" i="1"/>
  <c r="U581" i="1"/>
  <c r="U234" i="1"/>
  <c r="U663" i="1"/>
  <c r="U373" i="1"/>
  <c r="U740" i="1"/>
  <c r="U983" i="1"/>
  <c r="U927" i="1"/>
  <c r="U778" i="1"/>
  <c r="U13" i="1"/>
  <c r="U294" i="1"/>
  <c r="U138" i="1"/>
  <c r="U96" i="1"/>
  <c r="U405" i="1"/>
  <c r="U406" i="1"/>
  <c r="U14" i="1"/>
  <c r="U984" i="1"/>
  <c r="U203" i="1"/>
  <c r="U295" i="1"/>
  <c r="U139" i="1"/>
  <c r="U741" i="1"/>
  <c r="U407" i="1"/>
  <c r="U956" i="1"/>
  <c r="U204" i="1"/>
  <c r="U205" i="1"/>
  <c r="U834" i="1"/>
  <c r="U501" i="1"/>
  <c r="U468" i="1"/>
  <c r="U332" i="1"/>
  <c r="U540" i="1"/>
  <c r="U46" i="1"/>
  <c r="U742" i="1"/>
  <c r="U835" i="1"/>
  <c r="U408" i="1"/>
  <c r="U582" i="1"/>
  <c r="U333" i="1"/>
  <c r="U140" i="1"/>
  <c r="U502" i="1"/>
  <c r="U928" i="1"/>
  <c r="U503" i="1"/>
  <c r="U635" i="1"/>
  <c r="U583" i="1"/>
  <c r="U664" i="1"/>
  <c r="U665" i="1"/>
  <c r="U296" i="1"/>
  <c r="U890" i="1"/>
  <c r="U97" i="1"/>
  <c r="U836" i="1"/>
  <c r="U666" i="1"/>
  <c r="U584" i="1"/>
  <c r="U269" i="1"/>
  <c r="U504" i="1"/>
  <c r="U703" i="1"/>
  <c r="U297" i="1"/>
  <c r="U15" i="1"/>
  <c r="U609" i="1"/>
  <c r="U141" i="1"/>
  <c r="U206" i="1"/>
  <c r="U439" i="1"/>
  <c r="U957" i="1"/>
  <c r="U541" i="1"/>
  <c r="U929" i="1"/>
  <c r="U667" i="1"/>
  <c r="U743" i="1"/>
  <c r="U668" i="1"/>
  <c r="U891" i="1"/>
  <c r="U207" i="1"/>
  <c r="U610" i="1"/>
  <c r="U98" i="1"/>
  <c r="U469" i="1"/>
  <c r="U142" i="1"/>
  <c r="U985" i="1"/>
  <c r="U298" i="1"/>
  <c r="U99" i="1"/>
  <c r="U440" i="1"/>
  <c r="U542" i="1"/>
  <c r="U585" i="1"/>
  <c r="U958" i="1"/>
  <c r="U811" i="1"/>
  <c r="U470" i="1"/>
  <c r="U636" i="1"/>
  <c r="U374" i="1"/>
  <c r="U208" i="1"/>
  <c r="U505" i="1"/>
  <c r="U334" i="1"/>
  <c r="U543" i="1"/>
  <c r="U209" i="1"/>
  <c r="U959" i="1"/>
  <c r="U812" i="1"/>
  <c r="U744" i="1"/>
  <c r="U441" i="1"/>
  <c r="U854" i="1"/>
  <c r="U47" i="1"/>
  <c r="U704" i="1"/>
  <c r="U544" i="1"/>
  <c r="U70" i="1"/>
  <c r="U270" i="1"/>
  <c r="U506" i="1"/>
  <c r="U892" i="1"/>
  <c r="U986" i="1"/>
  <c r="U335" i="1"/>
  <c r="U375" i="1"/>
  <c r="U169" i="1"/>
  <c r="U779" i="1"/>
  <c r="U271" i="1"/>
  <c r="U837" i="1"/>
  <c r="U705" i="1"/>
  <c r="U442" i="1"/>
  <c r="U987" i="1"/>
  <c r="U443" i="1"/>
  <c r="U586" i="1"/>
  <c r="U930" i="1"/>
  <c r="U780" i="1"/>
  <c r="U143" i="1"/>
  <c r="U48" i="1"/>
  <c r="U893" i="1"/>
  <c r="U545" i="1"/>
  <c r="U16" i="1"/>
  <c r="U894" i="1"/>
  <c r="U336" i="1"/>
  <c r="U144" i="1"/>
  <c r="U855" i="1"/>
  <c r="U507" i="1"/>
  <c r="U49" i="1"/>
  <c r="U272" i="1"/>
  <c r="U706" i="1"/>
  <c r="U471" i="1"/>
  <c r="U273" i="1"/>
  <c r="U745" i="1"/>
  <c r="U587" i="1"/>
  <c r="U145" i="1"/>
  <c r="U508" i="1"/>
  <c r="U509" i="1"/>
  <c r="U781" i="1"/>
  <c r="U546" i="1"/>
  <c r="U444" i="1"/>
  <c r="U856" i="1"/>
  <c r="U611" i="1"/>
  <c r="U813" i="1"/>
  <c r="U50" i="1"/>
  <c r="U376" i="1"/>
  <c r="U472" i="1"/>
  <c r="U235" i="1"/>
  <c r="U71" i="1"/>
  <c r="U857" i="1"/>
  <c r="U100" i="1"/>
  <c r="U931" i="1"/>
  <c r="U746" i="1"/>
  <c r="U210" i="1"/>
  <c r="U170" i="1"/>
  <c r="U101" i="1"/>
  <c r="U588" i="1"/>
  <c r="U669" i="1"/>
  <c r="U51" i="1"/>
  <c r="U171" i="1"/>
  <c r="U473" i="1"/>
  <c r="U747" i="1"/>
  <c r="U146" i="1"/>
  <c r="U988" i="1"/>
  <c r="U707" i="1"/>
  <c r="U236" i="1"/>
  <c r="U708" i="1"/>
  <c r="U147" i="1"/>
  <c r="U409" i="1"/>
  <c r="U410" i="1"/>
  <c r="U299" i="1"/>
  <c r="U510" i="1"/>
  <c r="U102" i="1"/>
  <c r="U858" i="1"/>
  <c r="U547" i="1"/>
  <c r="U445" i="1"/>
  <c r="U511" i="1"/>
  <c r="U637" i="1"/>
  <c r="U670" i="1"/>
  <c r="U446" i="1"/>
  <c r="U211" i="1"/>
  <c r="U447" i="1"/>
  <c r="U612" i="1"/>
  <c r="U548" i="1"/>
  <c r="U52" i="1"/>
  <c r="U671" i="1"/>
  <c r="U103" i="1"/>
  <c r="U814" i="1"/>
  <c r="U274" i="1"/>
  <c r="U782" i="1"/>
  <c r="U411" i="1"/>
  <c r="U613" i="1"/>
  <c r="U783" i="1"/>
  <c r="U104" i="1"/>
  <c r="U212" i="1"/>
  <c r="U589" i="1"/>
  <c r="U960" i="1"/>
  <c r="U672" i="1"/>
  <c r="U237" i="1"/>
  <c r="U512" i="1"/>
  <c r="U275" i="1"/>
  <c r="U53" i="1"/>
  <c r="U172" i="1"/>
  <c r="U614" i="1"/>
  <c r="U615" i="1"/>
  <c r="U300" i="1"/>
  <c r="U173" i="1"/>
  <c r="U148" i="1"/>
  <c r="U337" i="1"/>
  <c r="U859" i="1"/>
  <c r="U513" i="1"/>
  <c r="U17" i="1"/>
  <c r="U961" i="1"/>
  <c r="U860" i="1"/>
  <c r="U474" i="1"/>
  <c r="U18" i="1"/>
  <c r="U412" i="1"/>
  <c r="U673" i="1"/>
  <c r="U105" i="1"/>
  <c r="U895" i="1"/>
  <c r="U106" i="1"/>
  <c r="U107" i="1"/>
  <c r="U549" i="1"/>
  <c r="U896" i="1"/>
  <c r="U475" i="1"/>
  <c r="U54" i="1"/>
  <c r="U550" i="1"/>
  <c r="U989" i="1"/>
  <c r="U238" i="1"/>
  <c r="U861" i="1"/>
  <c r="U590" i="1"/>
  <c r="U108" i="1"/>
  <c r="U338" i="1"/>
  <c r="U862" i="1"/>
  <c r="U932" i="1"/>
  <c r="U514" i="1"/>
  <c r="U174" i="1"/>
  <c r="U748" i="1"/>
  <c r="U674" i="1"/>
  <c r="U377" i="1"/>
  <c r="U276" i="1"/>
  <c r="U616" i="1"/>
  <c r="U339" i="1"/>
  <c r="U933" i="1"/>
  <c r="U109" i="1"/>
  <c r="U675" i="1"/>
  <c r="U110" i="1"/>
  <c r="U301" i="1"/>
  <c r="U111" i="1"/>
  <c r="U448" i="1"/>
  <c r="U617" i="1"/>
  <c r="U19" i="1"/>
  <c r="U676" i="1"/>
  <c r="U340" i="1"/>
  <c r="U277" i="1"/>
  <c r="U72" i="1"/>
  <c r="U213" i="1"/>
  <c r="U515" i="1"/>
  <c r="U112" i="1"/>
  <c r="U449" i="1"/>
  <c r="U962" i="1"/>
  <c r="U378" i="1"/>
  <c r="U934" i="1"/>
  <c r="U784" i="1"/>
  <c r="U341" i="1"/>
  <c r="U302" i="1"/>
  <c r="U55" i="1"/>
  <c r="U709" i="1"/>
  <c r="U785" i="1"/>
  <c r="U239" i="1"/>
  <c r="U935" i="1"/>
  <c r="U591" i="1"/>
  <c r="U897" i="1"/>
  <c r="U214" i="1"/>
  <c r="U342" i="1"/>
  <c r="U278" i="1"/>
  <c r="U113" i="1"/>
  <c r="U898" i="1"/>
  <c r="U551" i="1"/>
  <c r="U838" i="1"/>
  <c r="U279" i="1"/>
  <c r="U710" i="1"/>
  <c r="U73" i="1"/>
  <c r="U990" i="1"/>
  <c r="U963" i="1"/>
  <c r="U677" i="1"/>
  <c r="U175" i="1"/>
  <c r="U964" i="1"/>
  <c r="U711" i="1"/>
  <c r="U638" i="1"/>
  <c r="U639" i="1"/>
  <c r="U592" i="1"/>
  <c r="U863" i="1"/>
  <c r="U786" i="1"/>
  <c r="U476" i="1"/>
  <c r="U593" i="1"/>
  <c r="U413" i="1"/>
  <c r="U303" i="1"/>
  <c r="U176" i="1"/>
  <c r="U839" i="1"/>
  <c r="U840" i="1"/>
  <c r="U841" i="1"/>
  <c r="U936" i="1"/>
  <c r="U379" i="1"/>
  <c r="U114" i="1"/>
  <c r="U618" i="1"/>
  <c r="U380" i="1"/>
  <c r="U304" i="1"/>
  <c r="U787" i="1"/>
  <c r="U516" i="1"/>
  <c r="U56" i="1"/>
  <c r="U414" i="1"/>
  <c r="U864" i="1"/>
  <c r="U788" i="1"/>
  <c r="U552" i="1"/>
  <c r="U343" i="1"/>
  <c r="U749" i="1"/>
  <c r="U553" i="1"/>
  <c r="U750" i="1"/>
  <c r="U305" i="1"/>
  <c r="U991" i="1"/>
  <c r="U74" i="1"/>
  <c r="U177" i="1"/>
  <c r="U554" i="1"/>
  <c r="U75" i="1"/>
  <c r="U712" i="1"/>
  <c r="U306" i="1"/>
  <c r="U450" i="1"/>
  <c r="U842" i="1"/>
  <c r="U937" i="1"/>
  <c r="U555" i="1"/>
  <c r="U20" i="1"/>
  <c r="U640" i="1"/>
  <c r="U415" i="1"/>
  <c r="U713" i="1"/>
  <c r="U344" i="1"/>
  <c r="U21" i="1"/>
  <c r="U594" i="1"/>
  <c r="U280" i="1"/>
  <c r="U751" i="1"/>
  <c r="U556" i="1"/>
  <c r="U115" i="1"/>
  <c r="U714" i="1"/>
  <c r="U815" i="1"/>
  <c r="U619" i="1"/>
  <c r="U116" i="1"/>
  <c r="U517" i="1"/>
  <c r="U899" i="1"/>
  <c r="U789" i="1"/>
  <c r="U620" i="1"/>
  <c r="U416" i="1"/>
  <c r="U641" i="1"/>
  <c r="U417" i="1"/>
  <c r="U715" i="1"/>
  <c r="U281" i="1"/>
  <c r="U716" i="1"/>
  <c r="U992" i="1"/>
  <c r="U149" i="1"/>
  <c r="U307" i="1"/>
  <c r="U621" i="1"/>
  <c r="U752" i="1"/>
  <c r="U993" i="1"/>
  <c r="U418" i="1"/>
  <c r="U117" i="1"/>
  <c r="U308" i="1"/>
  <c r="U215" i="1"/>
  <c r="U240" i="1"/>
  <c r="U965" i="1"/>
  <c r="U57" i="1"/>
  <c r="U381" i="1"/>
  <c r="U241" i="1"/>
  <c r="U518" i="1"/>
  <c r="U150" i="1"/>
  <c r="U76" i="1"/>
  <c r="U77" i="1"/>
  <c r="U717" i="1"/>
  <c r="U216" i="1"/>
  <c r="U178" i="1"/>
  <c r="U790" i="1"/>
  <c r="U382" i="1"/>
  <c r="U179" i="1"/>
  <c r="U642" i="1"/>
  <c r="U791" i="1"/>
  <c r="U345" i="1"/>
  <c r="U816" i="1"/>
  <c r="U383" i="1"/>
  <c r="U753" i="1"/>
  <c r="U309" i="1"/>
  <c r="U217" i="1"/>
  <c r="U242" i="1"/>
  <c r="U218" i="1"/>
  <c r="U310" i="1"/>
  <c r="U311" i="1"/>
  <c r="U151" i="1"/>
  <c r="U865" i="1"/>
  <c r="U346" i="1"/>
  <c r="U900" i="1"/>
  <c r="U78" i="1"/>
  <c r="U347" i="1"/>
  <c r="U348" i="1"/>
  <c r="U966" i="1"/>
  <c r="U718" i="1"/>
  <c r="U180" i="1"/>
  <c r="U557" i="1"/>
  <c r="U967" i="1"/>
  <c r="U419" i="1"/>
  <c r="U643" i="1"/>
  <c r="U243" i="1"/>
  <c r="U866" i="1"/>
  <c r="U938" i="1"/>
  <c r="U58" i="1"/>
  <c r="U719" i="1"/>
  <c r="U678" i="1"/>
  <c r="U244" i="1"/>
  <c r="U595" i="1"/>
  <c r="U843" i="1"/>
  <c r="U817" i="1"/>
  <c r="U867" i="1"/>
  <c r="U181" i="1"/>
  <c r="U451" i="1"/>
  <c r="U79" i="1"/>
  <c r="U644" i="1"/>
  <c r="U477" i="1"/>
  <c r="U478" i="1"/>
  <c r="U59" i="1"/>
  <c r="U754" i="1"/>
  <c r="U152" i="1"/>
  <c r="U844" i="1"/>
  <c r="U755" i="1"/>
  <c r="U60" i="1"/>
  <c r="U153" i="1"/>
  <c r="U22" i="1"/>
  <c r="U519" i="1"/>
  <c r="U23" i="1"/>
  <c r="U182" i="1"/>
  <c r="U720" i="1"/>
  <c r="U245" i="1"/>
  <c r="U118" i="1"/>
  <c r="U679" i="1"/>
  <c r="U183" i="1"/>
  <c r="U901" i="1"/>
  <c r="U558" i="1"/>
  <c r="U24" i="1"/>
  <c r="U939" i="1"/>
  <c r="U868" i="1"/>
  <c r="U219" i="1"/>
  <c r="U25" i="1"/>
  <c r="U792" i="1"/>
  <c r="U119" i="1"/>
  <c r="U312" i="1"/>
  <c r="U246" i="1"/>
  <c r="U313" i="1"/>
  <c r="U622" i="1"/>
  <c r="U26" i="1"/>
  <c r="U120" i="1"/>
  <c r="U184" i="1"/>
  <c r="U452" i="1"/>
  <c r="U645" i="1"/>
  <c r="U940" i="1"/>
  <c r="U185" i="1"/>
  <c r="U623" i="1"/>
  <c r="U994" i="1"/>
  <c r="U756" i="1"/>
  <c r="U453" i="1"/>
  <c r="U902" i="1"/>
  <c r="U559" i="1"/>
  <c r="U646" i="1"/>
  <c r="U314" i="1"/>
  <c r="U247" i="1"/>
  <c r="U315" i="1"/>
  <c r="U757" i="1"/>
  <c r="U420" i="1"/>
  <c r="U624" i="1"/>
  <c r="U154" i="1"/>
  <c r="U349" i="1"/>
  <c r="U27" i="1"/>
  <c r="U647" i="1"/>
  <c r="U903" i="1"/>
  <c r="U316" i="1"/>
  <c r="U793" i="1"/>
  <c r="U520" i="1"/>
  <c r="U995" i="1"/>
  <c r="U384" i="1"/>
  <c r="U80" i="1"/>
  <c r="U28" i="1"/>
  <c r="U454" i="1"/>
  <c r="U680" i="1"/>
  <c r="U61" i="1"/>
  <c r="U385" i="1"/>
  <c r="U794" i="1"/>
  <c r="U350" i="1"/>
  <c r="U941" i="1"/>
  <c r="U351" i="1"/>
  <c r="U155" i="1"/>
  <c r="U560" i="1"/>
  <c r="U62" i="1"/>
  <c r="U282" i="1"/>
  <c r="U721" i="1"/>
  <c r="U352" i="1"/>
  <c r="U596" i="1"/>
  <c r="U904" i="1"/>
  <c r="U869" i="1"/>
  <c r="U968" i="1"/>
  <c r="U29" i="1"/>
  <c r="U969" i="1"/>
  <c r="U722" i="1"/>
  <c r="U521" i="1"/>
  <c r="U905" i="1"/>
  <c r="U906" i="1"/>
  <c r="U795" i="1"/>
  <c r="U81" i="1"/>
  <c r="U455" i="1"/>
  <c r="U870" i="1"/>
  <c r="U625" i="1"/>
  <c r="U561" i="1"/>
  <c r="U648" i="1"/>
  <c r="U317" i="1"/>
  <c r="U30" i="1"/>
  <c r="U248" i="1"/>
  <c r="U283" i="1"/>
  <c r="U31" i="1"/>
  <c r="U456" i="1"/>
  <c r="U597" i="1"/>
  <c r="U421" i="1"/>
  <c r="U249" i="1"/>
  <c r="U250" i="1"/>
  <c r="U871" i="1"/>
  <c r="U82" i="1"/>
  <c r="U598" i="1"/>
  <c r="U353" i="1"/>
  <c r="U907" i="1"/>
  <c r="U156" i="1"/>
  <c r="U522" i="1"/>
  <c r="U386" i="1"/>
  <c r="U599" i="1"/>
  <c r="U32" i="1"/>
  <c r="U33" i="1"/>
  <c r="U758" i="1"/>
  <c r="U970" i="1"/>
  <c r="U284" i="1"/>
  <c r="U649" i="1"/>
  <c r="U818" i="1"/>
  <c r="U562" i="1"/>
  <c r="U563" i="1"/>
  <c r="U34" i="1"/>
  <c r="U796" i="1"/>
  <c r="U121" i="1"/>
  <c r="U650" i="1"/>
  <c r="U908" i="1"/>
  <c r="U318" i="1"/>
  <c r="U651" i="1"/>
  <c r="U457" i="1"/>
  <c r="U83" i="1"/>
  <c r="U354" i="1"/>
  <c r="U652" i="1"/>
  <c r="U971" i="1"/>
  <c r="U626" i="1"/>
  <c r="U759" i="1"/>
  <c r="U819" i="1"/>
  <c r="U35" i="1"/>
  <c r="U909" i="1"/>
  <c r="U36" i="1"/>
  <c r="U122" i="1"/>
  <c r="U157" i="1"/>
  <c r="U564" i="1"/>
  <c r="U942" i="1"/>
  <c r="U319" i="1"/>
  <c r="U820" i="1"/>
  <c r="U355" i="1"/>
  <c r="U356" i="1"/>
  <c r="U387" i="1"/>
  <c r="U996" i="1"/>
  <c r="U972" i="1"/>
  <c r="U186" i="1"/>
  <c r="U681" i="1"/>
  <c r="U797" i="1"/>
  <c r="U872" i="1"/>
  <c r="U187" i="1"/>
  <c r="U422" i="1"/>
  <c r="U821" i="1"/>
  <c r="U943" i="1"/>
  <c r="U158" i="1"/>
  <c r="U220" i="1"/>
  <c r="U458" i="1"/>
  <c r="U822" i="1"/>
  <c r="U423" i="1"/>
  <c r="U823" i="1"/>
  <c r="U159" i="1"/>
  <c r="U123" i="1"/>
  <c r="U798" i="1"/>
  <c r="U682" i="1"/>
  <c r="U221" i="1"/>
  <c r="U873" i="1"/>
  <c r="U188" i="1"/>
  <c r="U84" i="1"/>
  <c r="U388" i="1"/>
  <c r="U997" i="1"/>
  <c r="U760" i="1"/>
  <c r="U124" i="1"/>
  <c r="U874" i="1"/>
  <c r="U875" i="1"/>
  <c r="U459" i="1"/>
  <c r="U761" i="1"/>
  <c r="U189" i="1"/>
  <c r="U845" i="1"/>
  <c r="U910" i="1"/>
  <c r="U320" i="1"/>
  <c r="U125" i="1"/>
  <c r="U998" i="1"/>
  <c r="U876" i="1"/>
  <c r="U999" i="1"/>
  <c r="U653" i="1"/>
  <c r="U190" i="1"/>
  <c r="U191" i="1"/>
  <c r="U799" i="1"/>
  <c r="U424" i="1"/>
  <c r="U683" i="1"/>
  <c r="U1000" i="1"/>
  <c r="U846" i="1"/>
  <c r="U762" i="1"/>
  <c r="U973" i="1"/>
  <c r="U877" i="1"/>
  <c r="U251" i="1"/>
  <c r="U600" i="1"/>
  <c r="U479" i="1"/>
  <c r="U911" i="1"/>
  <c r="U252" i="1"/>
  <c r="U944" i="1"/>
  <c r="U523" i="1"/>
  <c r="U565" i="1"/>
  <c r="U222" i="1"/>
  <c r="U654" i="1"/>
  <c r="U480" i="1"/>
  <c r="U425" i="1"/>
  <c r="U912" i="1"/>
  <c r="U566" i="1"/>
  <c r="U481" i="1"/>
  <c r="U800" i="1"/>
  <c r="U37" i="1"/>
  <c r="U389" i="1"/>
  <c r="U974" i="1"/>
  <c r="U253" i="1"/>
  <c r="U192" i="1"/>
  <c r="U63" i="1"/>
  <c r="U126" i="1"/>
  <c r="U321" i="1"/>
  <c r="U482" i="1"/>
  <c r="U723" i="1"/>
  <c r="U567" i="1"/>
  <c r="U357" i="1"/>
  <c r="U38" i="1"/>
  <c r="U1001" i="1"/>
  <c r="U975" i="1"/>
  <c r="U524" i="1"/>
  <c r="U127" i="1"/>
  <c r="U627" i="1"/>
  <c r="U601" i="1"/>
  <c r="U322" i="1"/>
  <c r="U913" i="1"/>
  <c r="U525" i="1"/>
  <c r="U285" i="1"/>
  <c r="U64" i="1"/>
  <c r="U568" i="1"/>
  <c r="U945" i="1"/>
  <c r="U85" i="1"/>
  <c r="U946" i="1"/>
  <c r="U684" i="1"/>
  <c r="U390" i="1"/>
  <c r="U878" i="1"/>
  <c r="U947" i="1"/>
  <c r="U879" i="1"/>
  <c r="U763" i="1"/>
  <c r="U391" i="1"/>
  <c r="U358" i="1"/>
  <c r="U426" i="1"/>
  <c r="U460" i="1"/>
  <c r="U286" i="1"/>
  <c r="U685" i="1"/>
  <c r="U628" i="1"/>
  <c r="U392" i="1"/>
  <c r="U483" i="1"/>
  <c r="U724" i="1"/>
  <c r="U569" i="1"/>
  <c r="U484" i="1"/>
  <c r="U393" i="1"/>
  <c r="U602" i="1"/>
  <c r="U914" i="1"/>
  <c r="U193" i="1"/>
  <c r="U287" i="1"/>
  <c r="U915" i="1"/>
  <c r="U128" i="1"/>
  <c r="U359" i="1"/>
  <c r="U360" i="1"/>
  <c r="U86" i="1"/>
  <c r="U223" i="1"/>
  <c r="U461" i="1"/>
  <c r="U254" i="1"/>
  <c r="U129" i="1"/>
  <c r="U824" i="1"/>
  <c r="U603" i="1"/>
  <c r="U570" i="1"/>
  <c r="U87" i="1"/>
  <c r="U801" i="1"/>
  <c r="T801" i="1" l="1"/>
  <c r="T87" i="1"/>
  <c r="T570" i="1"/>
  <c r="T603" i="1"/>
  <c r="T824" i="1"/>
  <c r="T129" i="1"/>
  <c r="T254" i="1"/>
  <c r="T461" i="1"/>
  <c r="T223" i="1"/>
  <c r="T86" i="1"/>
  <c r="T360" i="1"/>
  <c r="T128" i="1"/>
  <c r="T915" i="1"/>
  <c r="T287" i="1"/>
  <c r="T193" i="1"/>
  <c r="T914" i="1"/>
  <c r="T602" i="1"/>
  <c r="T393" i="1"/>
  <c r="T484" i="1"/>
  <c r="T569" i="1"/>
  <c r="T724" i="1"/>
  <c r="T483" i="1"/>
  <c r="T628" i="1"/>
  <c r="T685" i="1"/>
  <c r="T286" i="1"/>
  <c r="T460" i="1"/>
  <c r="T426" i="1"/>
  <c r="T358" i="1"/>
  <c r="T391" i="1"/>
  <c r="T763" i="1"/>
  <c r="T879" i="1"/>
  <c r="T947" i="1"/>
  <c r="T878" i="1"/>
  <c r="T684" i="1"/>
  <c r="T946" i="1"/>
  <c r="T85" i="1"/>
  <c r="T945" i="1"/>
  <c r="T568" i="1"/>
  <c r="T64" i="1"/>
  <c r="T285" i="1"/>
  <c r="T525" i="1"/>
  <c r="T913" i="1"/>
  <c r="T322" i="1"/>
  <c r="T601" i="1"/>
  <c r="T127" i="1"/>
  <c r="T524" i="1"/>
  <c r="T975" i="1"/>
  <c r="T1001" i="1"/>
  <c r="T38" i="1"/>
  <c r="T357" i="1"/>
  <c r="T567" i="1"/>
  <c r="T723" i="1"/>
  <c r="T482" i="1"/>
  <c r="T321" i="1"/>
  <c r="T126" i="1"/>
  <c r="T192" i="1"/>
  <c r="T253" i="1"/>
  <c r="T974" i="1"/>
  <c r="T389" i="1"/>
  <c r="T37" i="1"/>
  <c r="T800" i="1"/>
  <c r="T481" i="1"/>
  <c r="T566" i="1"/>
  <c r="T912" i="1"/>
  <c r="T425" i="1"/>
  <c r="T480" i="1"/>
  <c r="T222" i="1"/>
  <c r="T565" i="1"/>
  <c r="T523" i="1"/>
  <c r="T944" i="1"/>
  <c r="T252" i="1"/>
  <c r="T911" i="1"/>
  <c r="T479" i="1"/>
  <c r="T600" i="1"/>
  <c r="T251" i="1"/>
  <c r="T877" i="1"/>
  <c r="T973" i="1"/>
  <c r="T846" i="1"/>
  <c r="T1000" i="1"/>
  <c r="T683" i="1"/>
  <c r="T424" i="1"/>
  <c r="T799" i="1"/>
  <c r="T191" i="1"/>
  <c r="T190" i="1"/>
  <c r="T653" i="1"/>
  <c r="T999" i="1"/>
  <c r="T876" i="1"/>
  <c r="T998" i="1"/>
  <c r="T320" i="1"/>
  <c r="T910" i="1"/>
  <c r="T845" i="1"/>
  <c r="T189" i="1"/>
  <c r="T761" i="1"/>
  <c r="T459" i="1"/>
  <c r="T875" i="1"/>
  <c r="T874" i="1"/>
  <c r="T124" i="1"/>
  <c r="T760" i="1"/>
  <c r="T997" i="1"/>
  <c r="T84" i="1"/>
  <c r="T188" i="1"/>
  <c r="T873" i="1"/>
  <c r="T221" i="1"/>
  <c r="T682" i="1"/>
  <c r="T798" i="1"/>
  <c r="T123" i="1"/>
  <c r="T159" i="1"/>
  <c r="T823" i="1"/>
  <c r="T423" i="1"/>
  <c r="T822" i="1"/>
  <c r="T220" i="1"/>
  <c r="T158" i="1"/>
  <c r="T943" i="1"/>
  <c r="T821" i="1"/>
  <c r="T422" i="1"/>
  <c r="T187" i="1"/>
  <c r="T872" i="1"/>
  <c r="T797" i="1"/>
  <c r="T681" i="1"/>
  <c r="T186" i="1"/>
  <c r="T972" i="1"/>
  <c r="T387" i="1"/>
  <c r="T356" i="1"/>
  <c r="T355" i="1"/>
  <c r="T820" i="1"/>
  <c r="T319" i="1"/>
  <c r="T942" i="1"/>
  <c r="T564" i="1"/>
  <c r="T157" i="1"/>
  <c r="T122" i="1"/>
  <c r="T36" i="1"/>
  <c r="T909" i="1"/>
  <c r="T819" i="1"/>
  <c r="T759" i="1"/>
  <c r="T626" i="1"/>
  <c r="T971" i="1"/>
  <c r="T652" i="1"/>
  <c r="T354" i="1"/>
  <c r="T83" i="1"/>
  <c r="T457" i="1"/>
  <c r="T651" i="1"/>
  <c r="T318" i="1"/>
  <c r="T908" i="1"/>
  <c r="T121" i="1"/>
  <c r="T796" i="1"/>
  <c r="T34" i="1"/>
  <c r="T563" i="1"/>
  <c r="T562" i="1"/>
  <c r="T818" i="1"/>
  <c r="T649" i="1"/>
  <c r="T284" i="1"/>
  <c r="T970" i="1"/>
  <c r="T758" i="1"/>
  <c r="T33" i="1"/>
  <c r="T599" i="1"/>
  <c r="T386" i="1"/>
  <c r="T522" i="1"/>
  <c r="T156" i="1"/>
  <c r="T907" i="1"/>
  <c r="T353" i="1"/>
  <c r="T598" i="1"/>
  <c r="T82" i="1"/>
  <c r="T871" i="1"/>
  <c r="T250" i="1"/>
  <c r="T249" i="1"/>
  <c r="T597" i="1"/>
  <c r="T456" i="1"/>
  <c r="T31" i="1"/>
  <c r="T283" i="1"/>
  <c r="T248" i="1"/>
  <c r="T30" i="1"/>
  <c r="T317" i="1"/>
  <c r="T648" i="1"/>
  <c r="T561" i="1"/>
  <c r="T625" i="1"/>
  <c r="T870" i="1"/>
  <c r="T81" i="1"/>
  <c r="T795" i="1"/>
  <c r="T906" i="1"/>
  <c r="T905" i="1"/>
  <c r="T521" i="1"/>
  <c r="T722" i="1"/>
  <c r="T969" i="1"/>
  <c r="T29" i="1"/>
  <c r="T968" i="1"/>
  <c r="T869" i="1"/>
  <c r="T904" i="1"/>
  <c r="T352" i="1"/>
  <c r="T721" i="1"/>
  <c r="T282" i="1"/>
  <c r="T62" i="1"/>
  <c r="T560" i="1"/>
  <c r="T155" i="1"/>
  <c r="T351" i="1"/>
  <c r="T941" i="1"/>
  <c r="T350" i="1"/>
  <c r="T794" i="1"/>
  <c r="T385" i="1"/>
  <c r="T680" i="1"/>
  <c r="T454" i="1"/>
  <c r="T28" i="1"/>
  <c r="T80" i="1"/>
  <c r="T384" i="1"/>
  <c r="T995" i="1"/>
  <c r="T520" i="1"/>
  <c r="T793" i="1"/>
  <c r="T316" i="1"/>
  <c r="T903" i="1"/>
  <c r="T647" i="1"/>
  <c r="T349" i="1"/>
  <c r="T154" i="1"/>
  <c r="T624" i="1"/>
  <c r="T420" i="1"/>
  <c r="T757" i="1"/>
  <c r="T315" i="1"/>
  <c r="T247" i="1"/>
  <c r="T314" i="1"/>
  <c r="T646" i="1"/>
  <c r="T559" i="1"/>
  <c r="T902" i="1"/>
  <c r="T756" i="1"/>
  <c r="T994" i="1"/>
  <c r="T623" i="1"/>
  <c r="T185" i="1"/>
  <c r="T940" i="1"/>
  <c r="T645" i="1"/>
  <c r="T452" i="1"/>
  <c r="T184" i="1"/>
  <c r="T120" i="1"/>
  <c r="T26" i="1"/>
  <c r="T622" i="1"/>
  <c r="T246" i="1"/>
  <c r="T312" i="1"/>
  <c r="T119" i="1"/>
  <c r="T792" i="1"/>
  <c r="T25" i="1"/>
  <c r="T219" i="1"/>
  <c r="T868" i="1"/>
  <c r="T939" i="1"/>
  <c r="T24" i="1"/>
  <c r="T558" i="1"/>
  <c r="T901" i="1"/>
  <c r="T679" i="1"/>
  <c r="T118" i="1"/>
  <c r="T245" i="1"/>
  <c r="T720" i="1"/>
  <c r="T182" i="1"/>
  <c r="T23" i="1"/>
  <c r="T519" i="1"/>
  <c r="T22" i="1"/>
  <c r="T153" i="1"/>
  <c r="T60" i="1"/>
  <c r="T755" i="1"/>
  <c r="T152" i="1"/>
  <c r="T754" i="1"/>
  <c r="T59" i="1"/>
  <c r="T478" i="1"/>
  <c r="T477" i="1"/>
  <c r="T644" i="1"/>
  <c r="T79" i="1"/>
  <c r="T451" i="1"/>
  <c r="T181" i="1"/>
  <c r="T867" i="1"/>
  <c r="T817" i="1"/>
  <c r="T595" i="1"/>
  <c r="T244" i="1"/>
  <c r="T678" i="1"/>
  <c r="T719" i="1"/>
  <c r="T58" i="1"/>
  <c r="T938" i="1"/>
  <c r="T866" i="1"/>
  <c r="T243" i="1"/>
  <c r="T643" i="1"/>
  <c r="T419" i="1"/>
  <c r="T967" i="1"/>
  <c r="T180" i="1"/>
  <c r="T718" i="1"/>
  <c r="T966" i="1"/>
  <c r="T348" i="1"/>
  <c r="T347" i="1"/>
  <c r="T78" i="1"/>
  <c r="T900" i="1"/>
  <c r="T346" i="1"/>
  <c r="T865" i="1"/>
  <c r="T151" i="1"/>
  <c r="T311" i="1"/>
  <c r="T218" i="1"/>
  <c r="T242" i="1"/>
  <c r="T217" i="1"/>
  <c r="T309" i="1"/>
  <c r="T753" i="1"/>
  <c r="T383" i="1"/>
  <c r="T816" i="1"/>
  <c r="T345" i="1"/>
  <c r="T791" i="1"/>
  <c r="T642" i="1"/>
  <c r="T179" i="1"/>
  <c r="T790" i="1"/>
  <c r="T178" i="1"/>
  <c r="T216" i="1"/>
  <c r="T717" i="1"/>
  <c r="T77" i="1"/>
  <c r="T76" i="1"/>
  <c r="T150" i="1"/>
  <c r="T518" i="1"/>
  <c r="T241" i="1"/>
  <c r="T381" i="1"/>
  <c r="T57" i="1"/>
  <c r="T240" i="1"/>
  <c r="T215" i="1"/>
  <c r="T308" i="1"/>
  <c r="T117" i="1"/>
  <c r="T418" i="1"/>
  <c r="T993" i="1"/>
  <c r="T752" i="1"/>
  <c r="T621" i="1"/>
  <c r="T307" i="1"/>
  <c r="T149" i="1"/>
  <c r="T992" i="1"/>
  <c r="T281" i="1"/>
  <c r="T715" i="1"/>
  <c r="T417" i="1"/>
  <c r="T641" i="1"/>
  <c r="T416" i="1"/>
  <c r="T620" i="1"/>
  <c r="T789" i="1"/>
  <c r="T899" i="1"/>
  <c r="T517" i="1"/>
  <c r="T116" i="1"/>
  <c r="T619" i="1"/>
  <c r="T714" i="1"/>
  <c r="T115" i="1"/>
  <c r="T556" i="1"/>
  <c r="T751" i="1"/>
  <c r="T280" i="1"/>
  <c r="T594" i="1"/>
  <c r="T21" i="1"/>
  <c r="T344" i="1"/>
  <c r="T713" i="1"/>
  <c r="T415" i="1"/>
  <c r="T640" i="1"/>
  <c r="T555" i="1"/>
  <c r="T937" i="1"/>
  <c r="T842" i="1"/>
  <c r="T450" i="1"/>
  <c r="T306" i="1"/>
  <c r="T712" i="1"/>
  <c r="T75" i="1"/>
  <c r="T554" i="1"/>
  <c r="T177" i="1"/>
  <c r="T74" i="1"/>
  <c r="T991" i="1"/>
  <c r="T750" i="1"/>
  <c r="T553" i="1"/>
  <c r="T749" i="1"/>
  <c r="T343" i="1"/>
  <c r="T552" i="1"/>
  <c r="T788" i="1"/>
  <c r="T864" i="1"/>
  <c r="T414" i="1"/>
  <c r="T56" i="1"/>
  <c r="T516" i="1"/>
  <c r="T787" i="1"/>
  <c r="T380" i="1"/>
  <c r="T618" i="1"/>
  <c r="T114" i="1"/>
  <c r="T379" i="1"/>
  <c r="T936" i="1"/>
  <c r="T841" i="1"/>
  <c r="T840" i="1"/>
  <c r="T839" i="1"/>
  <c r="T176" i="1"/>
  <c r="T303" i="1"/>
  <c r="T413" i="1"/>
  <c r="T476" i="1"/>
  <c r="T786" i="1"/>
  <c r="T863" i="1"/>
  <c r="T592" i="1"/>
  <c r="T639" i="1"/>
  <c r="T638" i="1"/>
  <c r="T711" i="1"/>
  <c r="T964" i="1"/>
  <c r="T175" i="1"/>
  <c r="T677" i="1"/>
  <c r="T963" i="1"/>
  <c r="T73" i="1"/>
  <c r="T710" i="1"/>
  <c r="T279" i="1"/>
  <c r="T838" i="1"/>
  <c r="T551" i="1"/>
  <c r="T898" i="1"/>
  <c r="T113" i="1"/>
  <c r="T278" i="1"/>
  <c r="T342" i="1"/>
  <c r="T214" i="1"/>
  <c r="T897" i="1"/>
  <c r="T935" i="1"/>
  <c r="T239" i="1"/>
  <c r="T785" i="1"/>
  <c r="T709" i="1"/>
  <c r="T55" i="1"/>
  <c r="T302" i="1"/>
  <c r="T341" i="1"/>
  <c r="T784" i="1"/>
  <c r="T934" i="1"/>
  <c r="T378" i="1"/>
  <c r="T962" i="1"/>
  <c r="T112" i="1"/>
  <c r="T515" i="1"/>
  <c r="T213" i="1"/>
  <c r="T72" i="1"/>
  <c r="T277" i="1"/>
  <c r="T340" i="1"/>
  <c r="T676" i="1"/>
  <c r="T19" i="1"/>
  <c r="T617" i="1"/>
  <c r="T448" i="1"/>
  <c r="T111" i="1"/>
  <c r="T110" i="1"/>
  <c r="T675" i="1"/>
  <c r="T109" i="1"/>
  <c r="T933" i="1"/>
  <c r="T339" i="1"/>
  <c r="T616" i="1"/>
  <c r="T276" i="1"/>
  <c r="T377" i="1"/>
  <c r="T674" i="1"/>
  <c r="T748" i="1"/>
  <c r="T174" i="1"/>
  <c r="T932" i="1"/>
  <c r="T862" i="1"/>
  <c r="T338" i="1"/>
  <c r="T108" i="1"/>
  <c r="T590" i="1"/>
  <c r="T861" i="1"/>
  <c r="T238" i="1"/>
  <c r="T989" i="1"/>
  <c r="T550" i="1"/>
  <c r="T54" i="1"/>
  <c r="T475" i="1"/>
  <c r="T549" i="1"/>
  <c r="T107" i="1"/>
  <c r="T106" i="1"/>
  <c r="T895" i="1"/>
  <c r="T105" i="1"/>
  <c r="T673" i="1"/>
  <c r="T412" i="1"/>
  <c r="T18" i="1"/>
  <c r="T474" i="1"/>
  <c r="T860" i="1"/>
  <c r="T961" i="1"/>
  <c r="T513" i="1"/>
  <c r="T859" i="1"/>
  <c r="T337" i="1"/>
  <c r="T148" i="1"/>
  <c r="T173" i="1"/>
  <c r="T300" i="1"/>
  <c r="T615" i="1"/>
  <c r="T614" i="1"/>
  <c r="T172" i="1"/>
  <c r="T53" i="1"/>
  <c r="T275" i="1"/>
  <c r="T237" i="1"/>
  <c r="T672" i="1"/>
  <c r="T960" i="1"/>
  <c r="T589" i="1"/>
  <c r="T212" i="1"/>
  <c r="T104" i="1"/>
  <c r="T783" i="1"/>
  <c r="T613" i="1"/>
  <c r="T411" i="1"/>
  <c r="T782" i="1"/>
  <c r="T274" i="1"/>
  <c r="T103" i="1"/>
  <c r="T671" i="1"/>
  <c r="T52" i="1"/>
  <c r="T548" i="1"/>
  <c r="T612" i="1"/>
  <c r="T447" i="1"/>
  <c r="T211" i="1"/>
  <c r="T446" i="1"/>
  <c r="T670" i="1"/>
  <c r="T637" i="1"/>
  <c r="T511" i="1"/>
  <c r="T547" i="1"/>
  <c r="T858" i="1"/>
  <c r="T102" i="1"/>
  <c r="T510" i="1"/>
  <c r="T299" i="1"/>
  <c r="T410" i="1"/>
  <c r="T409" i="1"/>
  <c r="T147" i="1"/>
  <c r="T708" i="1"/>
  <c r="T236" i="1"/>
  <c r="T707" i="1"/>
  <c r="T146" i="1"/>
  <c r="T747" i="1"/>
  <c r="T473" i="1"/>
  <c r="T171" i="1"/>
  <c r="T51" i="1"/>
  <c r="T669" i="1"/>
  <c r="T588" i="1"/>
  <c r="T101" i="1"/>
  <c r="T170" i="1"/>
  <c r="T210" i="1"/>
  <c r="T746" i="1"/>
  <c r="T100" i="1"/>
  <c r="T857" i="1"/>
  <c r="T71" i="1"/>
  <c r="T235" i="1"/>
  <c r="T472" i="1"/>
  <c r="T376" i="1"/>
  <c r="T50" i="1"/>
  <c r="T813" i="1"/>
  <c r="T611" i="1"/>
  <c r="T856" i="1"/>
  <c r="T444" i="1"/>
  <c r="T781" i="1"/>
  <c r="T509" i="1"/>
  <c r="T508" i="1"/>
  <c r="T145" i="1"/>
  <c r="T587" i="1"/>
  <c r="T745" i="1"/>
  <c r="T273" i="1"/>
  <c r="T471" i="1"/>
  <c r="T706" i="1"/>
  <c r="T272" i="1"/>
  <c r="T49" i="1"/>
  <c r="T855" i="1"/>
  <c r="T144" i="1"/>
  <c r="T336" i="1"/>
  <c r="T894" i="1"/>
  <c r="T16" i="1"/>
  <c r="T545" i="1"/>
  <c r="T893" i="1"/>
  <c r="T48" i="1"/>
  <c r="T143" i="1"/>
  <c r="T780" i="1"/>
  <c r="T930" i="1"/>
  <c r="T443" i="1"/>
  <c r="T987" i="1"/>
  <c r="T442" i="1"/>
  <c r="T705" i="1"/>
  <c r="T837" i="1"/>
  <c r="T271" i="1"/>
  <c r="T779" i="1"/>
  <c r="T169" i="1"/>
  <c r="T375" i="1"/>
  <c r="T335" i="1"/>
  <c r="T986" i="1"/>
  <c r="T506" i="1"/>
  <c r="T270" i="1"/>
  <c r="T70" i="1"/>
  <c r="T704" i="1"/>
  <c r="T47" i="1"/>
  <c r="T854" i="1"/>
  <c r="T441" i="1"/>
  <c r="T744" i="1"/>
  <c r="T812" i="1"/>
  <c r="T959" i="1"/>
  <c r="T543" i="1"/>
  <c r="T334" i="1"/>
  <c r="T505" i="1"/>
  <c r="T374" i="1"/>
  <c r="T636" i="1"/>
  <c r="T470" i="1"/>
  <c r="T811" i="1"/>
  <c r="T958" i="1"/>
  <c r="T585" i="1"/>
  <c r="T542" i="1"/>
  <c r="T99" i="1"/>
  <c r="T298" i="1"/>
  <c r="T985" i="1"/>
  <c r="T469" i="1"/>
  <c r="T98" i="1"/>
  <c r="T610" i="1"/>
  <c r="T207" i="1"/>
  <c r="T891" i="1"/>
  <c r="T668" i="1"/>
  <c r="T743" i="1"/>
  <c r="T929" i="1"/>
  <c r="T541" i="1"/>
  <c r="T957" i="1"/>
  <c r="T206" i="1"/>
  <c r="T141" i="1"/>
  <c r="T609" i="1"/>
  <c r="T15" i="1"/>
  <c r="T297" i="1"/>
  <c r="T703" i="1"/>
  <c r="T504" i="1"/>
  <c r="T584" i="1"/>
  <c r="T666" i="1"/>
  <c r="T836" i="1"/>
  <c r="T890" i="1"/>
  <c r="T296" i="1"/>
  <c r="T665" i="1"/>
  <c r="T664" i="1"/>
  <c r="T583" i="1"/>
  <c r="T635" i="1"/>
  <c r="T503" i="1"/>
  <c r="T502" i="1"/>
  <c r="T140" i="1"/>
  <c r="T333" i="1"/>
  <c r="T408" i="1"/>
  <c r="T835" i="1"/>
  <c r="T742" i="1"/>
  <c r="T46" i="1"/>
  <c r="T540" i="1"/>
  <c r="T332" i="1"/>
  <c r="T468" i="1"/>
  <c r="T834" i="1"/>
  <c r="T205" i="1"/>
  <c r="T204" i="1"/>
  <c r="T407" i="1"/>
  <c r="T741" i="1"/>
  <c r="T139" i="1"/>
  <c r="T295" i="1"/>
  <c r="T203" i="1"/>
  <c r="T984" i="1"/>
  <c r="T14" i="1"/>
  <c r="T405" i="1"/>
  <c r="T96" i="1"/>
  <c r="T138" i="1"/>
  <c r="T13" i="1"/>
  <c r="T778" i="1"/>
  <c r="T927" i="1"/>
  <c r="T983" i="1"/>
  <c r="T740" i="1"/>
  <c r="T373" i="1"/>
  <c r="T663" i="1"/>
  <c r="T581" i="1"/>
  <c r="T69" i="1"/>
  <c r="T955" i="1"/>
  <c r="T926" i="1"/>
  <c r="T539" i="1"/>
  <c r="T500" i="1"/>
  <c r="T438" i="1"/>
  <c r="T467" i="1"/>
  <c r="T739" i="1"/>
  <c r="T12" i="1"/>
  <c r="T268" i="1"/>
  <c r="T702" i="1"/>
  <c r="T267" i="1"/>
  <c r="T889" i="1"/>
  <c r="T537" i="1"/>
  <c r="T701" i="1"/>
  <c r="T45" i="1"/>
  <c r="T404" i="1"/>
  <c r="T137" i="1"/>
  <c r="T233" i="1"/>
  <c r="T700" i="1"/>
  <c r="T168" i="1"/>
  <c r="T833" i="1"/>
  <c r="T925" i="1"/>
  <c r="T853" i="1"/>
  <c r="T136" i="1"/>
  <c r="T738" i="1"/>
  <c r="T44" i="1"/>
  <c r="T852" i="1"/>
  <c r="T331" i="1"/>
  <c r="T437" i="1"/>
  <c r="T888" i="1"/>
  <c r="T580" i="1"/>
  <c r="T43" i="1"/>
  <c r="T167" i="1"/>
  <c r="T293" i="1"/>
  <c r="T403" i="1"/>
  <c r="T330" i="1"/>
  <c r="T166" i="1"/>
  <c r="T165" i="1"/>
  <c r="T42" i="1"/>
  <c r="T776" i="1"/>
  <c r="T292" i="1"/>
  <c r="T536" i="1"/>
  <c r="T95" i="1"/>
  <c r="T266" i="1"/>
  <c r="T699" i="1"/>
  <c r="T265" i="1"/>
  <c r="T698" i="1"/>
  <c r="T775" i="1"/>
  <c r="T697" i="1"/>
  <c r="T499" i="1"/>
  <c r="T370" i="1"/>
  <c r="T535" i="1"/>
  <c r="T579" i="1"/>
  <c r="T982" i="1"/>
  <c r="T832" i="1"/>
  <c r="T923" i="1"/>
  <c r="T436" i="1"/>
  <c r="T831" i="1"/>
  <c r="T830" i="1"/>
  <c r="T922" i="1"/>
  <c r="T291" i="1"/>
  <c r="T809" i="1"/>
  <c r="T329" i="1"/>
  <c r="T808" i="1"/>
  <c r="T202" i="1"/>
  <c r="T11" i="1"/>
  <c r="T887" i="1"/>
  <c r="T232" i="1"/>
  <c r="T369" i="1"/>
  <c r="T952" i="1"/>
  <c r="T368" i="1"/>
  <c r="T696" i="1"/>
  <c r="T578" i="1"/>
  <c r="T401" i="1"/>
  <c r="T94" i="1"/>
  <c r="T695" i="1"/>
  <c r="T534" i="1"/>
  <c r="T41" i="1"/>
  <c r="T607" i="1"/>
  <c r="T466" i="1"/>
  <c r="T201" i="1"/>
  <c r="T367" i="1"/>
  <c r="T164" i="1"/>
  <c r="T366" i="1"/>
  <c r="T365" i="1"/>
  <c r="T577" i="1"/>
  <c r="T200" i="1"/>
  <c r="T435" i="1"/>
  <c r="T772" i="1"/>
  <c r="T921" i="1"/>
  <c r="T694" i="1"/>
  <c r="T400" i="1"/>
  <c r="T163" i="1"/>
  <c r="T851" i="1"/>
  <c r="T850" i="1"/>
  <c r="T951" i="1"/>
  <c r="T290" i="1"/>
  <c r="T328" i="1"/>
  <c r="T920" i="1"/>
  <c r="T498" i="1"/>
  <c r="T606" i="1"/>
  <c r="T135" i="1"/>
  <c r="T885" i="1"/>
  <c r="T497" i="1"/>
  <c r="T93" i="1"/>
  <c r="T8" i="1"/>
  <c r="T735" i="1"/>
  <c r="T950" i="1"/>
  <c r="T829" i="1"/>
  <c r="T662" i="1"/>
  <c r="T532" i="1"/>
  <c r="T495" i="1"/>
  <c r="T693" i="1"/>
  <c r="T398" i="1"/>
  <c r="T981" i="1"/>
  <c r="T92" i="1"/>
  <c r="T884" i="1"/>
  <c r="T494" i="1"/>
  <c r="T91" i="1"/>
  <c r="T327" i="1"/>
  <c r="T849" i="1"/>
  <c r="T263" i="1"/>
  <c r="T692" i="1"/>
  <c r="T434" i="1"/>
  <c r="T949" i="1"/>
  <c r="T948" i="1"/>
  <c r="T734" i="1"/>
  <c r="T848" i="1"/>
  <c r="T262" i="1"/>
  <c r="T980" i="1"/>
  <c r="T691" i="1"/>
  <c r="T634" i="1"/>
  <c r="T771" i="1"/>
  <c r="T690" i="1"/>
  <c r="T807" i="1"/>
  <c r="T134" i="1"/>
  <c r="T883" i="1"/>
  <c r="T689" i="1"/>
  <c r="T465" i="1"/>
  <c r="T198" i="1"/>
  <c r="T397" i="1"/>
  <c r="T733" i="1"/>
  <c r="T493" i="1"/>
  <c r="T230" i="1"/>
  <c r="T806" i="1"/>
  <c r="T805" i="1"/>
  <c r="T827" i="1"/>
  <c r="T261" i="1"/>
  <c r="T5" i="1"/>
  <c r="T432" i="1"/>
  <c r="T229" i="1"/>
  <c r="T661" i="1"/>
  <c r="T804" i="1"/>
  <c r="T228" i="1"/>
  <c r="T881" i="1"/>
  <c r="T770" i="1"/>
  <c r="T732" i="1"/>
  <c r="T688" i="1"/>
  <c r="T531" i="1"/>
  <c r="T260" i="1"/>
  <c r="T633" i="1"/>
  <c r="T431" i="1"/>
  <c r="T227" i="1"/>
  <c r="T576" i="1"/>
  <c r="T632" i="1"/>
  <c r="T464" i="1"/>
  <c r="T430" i="1"/>
  <c r="T492" i="1"/>
  <c r="T396" i="1"/>
  <c r="T289" i="1"/>
  <c r="T687" i="1"/>
  <c r="T259" i="1"/>
  <c r="T605" i="1"/>
  <c r="T768" i="1"/>
  <c r="T686" i="1"/>
  <c r="T918" i="1"/>
  <c r="T979" i="1"/>
  <c r="T162" i="1"/>
  <c r="T491" i="1"/>
  <c r="T258" i="1"/>
  <c r="T326" i="1"/>
  <c r="T257" i="1"/>
  <c r="T767" i="1"/>
  <c r="T196" i="1"/>
  <c r="T429" i="1"/>
  <c r="T489" i="1"/>
  <c r="T575" i="1"/>
  <c r="T226" i="1"/>
  <c r="T917" i="1"/>
  <c r="T803" i="1"/>
  <c r="T4" i="1"/>
  <c r="T978" i="1"/>
  <c r="T428" i="1"/>
  <c r="T730" i="1"/>
  <c r="T68" i="1"/>
  <c r="T256" i="1"/>
  <c r="T363" i="1"/>
  <c r="T67" i="1"/>
  <c r="T659" i="1"/>
  <c r="T728" i="1"/>
  <c r="T161" i="1"/>
  <c r="T802" i="1"/>
  <c r="T488" i="1"/>
  <c r="T826" i="1"/>
  <c r="T658" i="1"/>
  <c r="T90" i="1"/>
  <c r="T487" i="1"/>
  <c r="T977" i="1"/>
  <c r="T604" i="1"/>
  <c r="T288" i="1"/>
  <c r="T362" i="1"/>
  <c r="T529" i="1"/>
  <c r="T195" i="1"/>
  <c r="T765" i="1"/>
  <c r="T528" i="1"/>
  <c r="T66" i="1"/>
  <c r="T727" i="1"/>
  <c r="T916" i="1"/>
  <c r="T133" i="1"/>
  <c r="T764" i="1"/>
  <c r="T89" i="1"/>
  <c r="T726" i="1"/>
  <c r="T394" i="1"/>
  <c r="T225" i="1"/>
  <c r="T132" i="1"/>
  <c r="T574" i="1"/>
  <c r="T527" i="1"/>
  <c r="T486" i="1"/>
  <c r="T427" i="1"/>
  <c r="T39" i="1"/>
  <c r="T160" i="1"/>
  <c r="T725" i="1"/>
  <c r="T325" i="1"/>
  <c r="T3" i="1"/>
  <c r="T462" i="1"/>
  <c r="T224" i="1"/>
  <c r="T825" i="1"/>
  <c r="T573" i="1"/>
  <c r="T255" i="1"/>
  <c r="T526" i="1"/>
  <c r="T131" i="1"/>
  <c r="T324" i="1"/>
  <c r="T629" i="1"/>
  <c r="T2" i="1"/>
  <c r="T572" i="1"/>
  <c r="T880" i="1"/>
  <c r="T485" i="1"/>
  <c r="T130" i="1"/>
  <c r="T88" i="1"/>
  <c r="T976" i="1"/>
  <c r="T655" i="1"/>
  <c r="B107" i="3"/>
  <c r="C107" i="3" s="1"/>
  <c r="T359" i="1"/>
  <c r="T392" i="1"/>
  <c r="T390" i="1"/>
  <c r="T627" i="1"/>
  <c r="T63" i="1"/>
  <c r="T654" i="1"/>
  <c r="T762" i="1"/>
  <c r="T125" i="1"/>
  <c r="T388" i="1"/>
  <c r="T458" i="1"/>
  <c r="T996" i="1"/>
  <c r="T35" i="1"/>
  <c r="T650" i="1"/>
  <c r="T32" i="1"/>
  <c r="T421" i="1"/>
  <c r="T455" i="1"/>
  <c r="T596" i="1"/>
  <c r="T61" i="1"/>
  <c r="T27" i="1"/>
  <c r="T453" i="1"/>
  <c r="T313" i="1"/>
  <c r="T183" i="1"/>
  <c r="T844" i="1"/>
  <c r="T843" i="1"/>
  <c r="T557" i="1"/>
  <c r="T310" i="1"/>
  <c r="T382" i="1"/>
  <c r="T965" i="1"/>
  <c r="T716" i="1"/>
  <c r="T815" i="1"/>
  <c r="T20" i="1"/>
  <c r="T305" i="1"/>
  <c r="T304" i="1"/>
  <c r="T593" i="1"/>
  <c r="T990" i="1"/>
  <c r="T591" i="1"/>
  <c r="T449" i="1"/>
  <c r="T301" i="1"/>
  <c r="T514" i="1"/>
  <c r="T896" i="1"/>
  <c r="T17" i="1"/>
  <c r="T512" i="1"/>
  <c r="T814" i="1"/>
  <c r="T445" i="1"/>
  <c r="T988" i="1"/>
  <c r="T931" i="1"/>
  <c r="T546" i="1"/>
  <c r="T507" i="1"/>
  <c r="T586" i="1"/>
  <c r="T892" i="1"/>
  <c r="T209" i="1"/>
  <c r="T440" i="1"/>
  <c r="T667" i="1"/>
  <c r="T269" i="1"/>
  <c r="T928" i="1"/>
  <c r="T501" i="1"/>
  <c r="T406" i="1"/>
  <c r="T234" i="1"/>
  <c r="T608" i="1"/>
  <c r="T371" i="1"/>
  <c r="T777" i="1"/>
  <c r="T737" i="1"/>
  <c r="T953" i="1"/>
  <c r="T774" i="1"/>
  <c r="T10" i="1"/>
  <c r="T533" i="1"/>
  <c r="T886" i="1"/>
  <c r="T399" i="1"/>
  <c r="T7" i="1"/>
  <c r="T199" i="1"/>
  <c r="T433" i="1"/>
  <c r="T364" i="1"/>
  <c r="T197" i="1"/>
  <c r="T731" i="1"/>
  <c r="T631" i="1"/>
  <c r="T530" i="1"/>
  <c r="T766" i="1"/>
  <c r="T729" i="1"/>
  <c r="T657" i="1"/>
  <c r="T40" i="1"/>
  <c r="T194" i="1"/>
  <c r="T847" i="1"/>
  <c r="T571" i="1"/>
  <c r="T544" i="1"/>
  <c r="T208" i="1"/>
  <c r="T142" i="1"/>
  <c r="T439" i="1"/>
  <c r="T97" i="1"/>
  <c r="T582" i="1"/>
  <c r="T956" i="1"/>
  <c r="T294" i="1"/>
  <c r="T372" i="1"/>
  <c r="T538" i="1"/>
  <c r="T954" i="1"/>
  <c r="T810" i="1"/>
  <c r="T924" i="1"/>
  <c r="T264" i="1"/>
  <c r="T736" i="1"/>
  <c r="T402" i="1"/>
  <c r="T773" i="1"/>
  <c r="T9" i="1"/>
  <c r="T919" i="1"/>
  <c r="T496" i="1"/>
  <c r="T6" i="1"/>
  <c r="T828" i="1"/>
  <c r="T231" i="1"/>
  <c r="T882" i="1"/>
  <c r="T660" i="1"/>
  <c r="T769" i="1"/>
  <c r="T490" i="1"/>
  <c r="T463" i="1"/>
  <c r="T630" i="1"/>
  <c r="T395" i="1"/>
  <c r="T656" i="1"/>
  <c r="T361" i="1"/>
  <c r="T65" i="1"/>
  <c r="T323" i="1"/>
</calcChain>
</file>

<file path=xl/sharedStrings.xml><?xml version="1.0" encoding="utf-8"?>
<sst xmlns="http://schemas.openxmlformats.org/spreadsheetml/2006/main" count="4416" uniqueCount="1075">
  <si>
    <t>Cancellation Status</t>
  </si>
  <si>
    <t>Count of Lead ID</t>
  </si>
  <si>
    <t>No</t>
  </si>
  <si>
    <t>Yes</t>
  </si>
  <si>
    <t>Grand Total</t>
  </si>
  <si>
    <t>Lead ID</t>
  </si>
  <si>
    <t>Store Name</t>
  </si>
  <si>
    <t>Lead Type</t>
  </si>
  <si>
    <t>Lead Date</t>
  </si>
  <si>
    <t>Is Lead</t>
  </si>
  <si>
    <t>Pre-Booking Date</t>
  </si>
  <si>
    <t>Is Pre-Booked</t>
  </si>
  <si>
    <t>Booking Date</t>
  </si>
  <si>
    <t>Is Booked</t>
  </si>
  <si>
    <t>Delivery Date</t>
  </si>
  <si>
    <t>Delivery Confirmed</t>
  </si>
  <si>
    <t>Is Delivered</t>
  </si>
  <si>
    <t>Cancellation Reason</t>
  </si>
  <si>
    <t>Service Follow-up Date</t>
  </si>
  <si>
    <t>TAT Pre-Booking (Days)</t>
  </si>
  <si>
    <t>TAT Booking (Days)</t>
  </si>
  <si>
    <t>TAT Delivery (Days)</t>
  </si>
  <si>
    <t>Customer Rating</t>
  </si>
  <si>
    <t>Current Stage</t>
  </si>
  <si>
    <t>NPS Category</t>
  </si>
  <si>
    <t>L1009</t>
  </si>
  <si>
    <t>Mumbai MBC</t>
  </si>
  <si>
    <t>Warm</t>
  </si>
  <si>
    <t>L1021</t>
  </si>
  <si>
    <t>Bangalore MBC</t>
  </si>
  <si>
    <t>Hot</t>
  </si>
  <si>
    <t>L1073</t>
  </si>
  <si>
    <t>Delhi MBC</t>
  </si>
  <si>
    <t>Cold</t>
  </si>
  <si>
    <t>Price</t>
  </si>
  <si>
    <t>L1123</t>
  </si>
  <si>
    <t>L1156</t>
  </si>
  <si>
    <t>Financing Issue</t>
  </si>
  <si>
    <t>L1172</t>
  </si>
  <si>
    <t>Chennai MBC</t>
  </si>
  <si>
    <t>L1175</t>
  </si>
  <si>
    <t>L1192</t>
  </si>
  <si>
    <t>Changed Mind</t>
  </si>
  <si>
    <t>L1220</t>
  </si>
  <si>
    <t>L1223</t>
  </si>
  <si>
    <t>L1293</t>
  </si>
  <si>
    <t>L1311</t>
  </si>
  <si>
    <t>L1317</t>
  </si>
  <si>
    <t>L1356</t>
  </si>
  <si>
    <t>L1419</t>
  </si>
  <si>
    <t>L1508</t>
  </si>
  <si>
    <t>L1512</t>
  </si>
  <si>
    <t>Other</t>
  </si>
  <si>
    <t>L1548</t>
  </si>
  <si>
    <t>L1628</t>
  </si>
  <si>
    <t>Model Unavailable</t>
  </si>
  <si>
    <t>L1633</t>
  </si>
  <si>
    <t>L1728</t>
  </si>
  <si>
    <t>L1730</t>
  </si>
  <si>
    <t>L1739</t>
  </si>
  <si>
    <t>L1743</t>
  </si>
  <si>
    <t>L1750</t>
  </si>
  <si>
    <t>L1772</t>
  </si>
  <si>
    <t>L1781</t>
  </si>
  <si>
    <t>L1800</t>
  </si>
  <si>
    <t>L1814</t>
  </si>
  <si>
    <t>L1817</t>
  </si>
  <si>
    <t>L1832</t>
  </si>
  <si>
    <t>L1833</t>
  </si>
  <si>
    <t>L1841</t>
  </si>
  <si>
    <t>L1856</t>
  </si>
  <si>
    <t>L1858</t>
  </si>
  <si>
    <t>L1935</t>
  </si>
  <si>
    <t>L1947</t>
  </si>
  <si>
    <t>L1026</t>
  </si>
  <si>
    <t>L1040</t>
  </si>
  <si>
    <t>L1209</t>
  </si>
  <si>
    <t>L1255</t>
  </si>
  <si>
    <t>L1263</t>
  </si>
  <si>
    <t>L1271</t>
  </si>
  <si>
    <t>L1284</t>
  </si>
  <si>
    <t>L1332</t>
  </si>
  <si>
    <t>L1394</t>
  </si>
  <si>
    <t>L1416</t>
  </si>
  <si>
    <t>L1425</t>
  </si>
  <si>
    <t>L1441</t>
  </si>
  <si>
    <t>L1455</t>
  </si>
  <si>
    <t>L1481</t>
  </si>
  <si>
    <t>L1498</t>
  </si>
  <si>
    <t>L1522</t>
  </si>
  <si>
    <t>L1563</t>
  </si>
  <si>
    <t>L1607</t>
  </si>
  <si>
    <t>L1665</t>
  </si>
  <si>
    <t>L1707</t>
  </si>
  <si>
    <t>L1721</t>
  </si>
  <si>
    <t>L1726</t>
  </si>
  <si>
    <t>L1784</t>
  </si>
  <si>
    <t>L1792</t>
  </si>
  <si>
    <t>L1940</t>
  </si>
  <si>
    <t>L1958</t>
  </si>
  <si>
    <t>L1012</t>
  </si>
  <si>
    <t>L1043</t>
  </si>
  <si>
    <t>L1065</t>
  </si>
  <si>
    <t>L1068</t>
  </si>
  <si>
    <t>L1302</t>
  </si>
  <si>
    <t>L1397</t>
  </si>
  <si>
    <t>L1445</t>
  </si>
  <si>
    <t>L1552</t>
  </si>
  <si>
    <t>L1579</t>
  </si>
  <si>
    <t>L1618</t>
  </si>
  <si>
    <t>L1621</t>
  </si>
  <si>
    <t>L1670</t>
  </si>
  <si>
    <t>L1671</t>
  </si>
  <si>
    <t>L1694</t>
  </si>
  <si>
    <t>L1717</t>
  </si>
  <si>
    <t>L1780</t>
  </si>
  <si>
    <t>L1807</t>
  </si>
  <si>
    <t>L1824</t>
  </si>
  <si>
    <t>L1849</t>
  </si>
  <si>
    <t>L1891</t>
  </si>
  <si>
    <t>L1961</t>
  </si>
  <si>
    <t>L1990</t>
  </si>
  <si>
    <t>L1998</t>
  </si>
  <si>
    <t>L1003</t>
  </si>
  <si>
    <t>L1037</t>
  </si>
  <si>
    <t>L1055</t>
  </si>
  <si>
    <t>L1159</t>
  </si>
  <si>
    <t>L1163</t>
  </si>
  <si>
    <t>L1176</t>
  </si>
  <si>
    <t>L1212</t>
  </si>
  <si>
    <t>L1250</t>
  </si>
  <si>
    <t>L1314</t>
  </si>
  <si>
    <t>L1348</t>
  </si>
  <si>
    <t>L1370</t>
  </si>
  <si>
    <t>L1375</t>
  </si>
  <si>
    <t>L1447</t>
  </si>
  <si>
    <t>L1452</t>
  </si>
  <si>
    <t>L1469</t>
  </si>
  <si>
    <t>L1483</t>
  </si>
  <si>
    <t>L1490</t>
  </si>
  <si>
    <t>L1515</t>
  </si>
  <si>
    <t>L1517</t>
  </si>
  <si>
    <t>L1518</t>
  </si>
  <si>
    <t>L1528</t>
  </si>
  <si>
    <t>L1541</t>
  </si>
  <si>
    <t>L1543</t>
  </si>
  <si>
    <t>L1545</t>
  </si>
  <si>
    <t>L1555</t>
  </si>
  <si>
    <t>L1573</t>
  </si>
  <si>
    <t>L1601</t>
  </si>
  <si>
    <t>L1638</t>
  </si>
  <si>
    <t>L1642</t>
  </si>
  <si>
    <t>L1660</t>
  </si>
  <si>
    <t>L1734</t>
  </si>
  <si>
    <t>L1745</t>
  </si>
  <si>
    <t>L1751</t>
  </si>
  <si>
    <t>L1843</t>
  </si>
  <si>
    <t>L1859</t>
  </si>
  <si>
    <t>L1885</t>
  </si>
  <si>
    <t>L1895</t>
  </si>
  <si>
    <t>L1904</t>
  </si>
  <si>
    <t>L1941</t>
  </si>
  <si>
    <t>L1951</t>
  </si>
  <si>
    <t>L1987</t>
  </si>
  <si>
    <t>L1994</t>
  </si>
  <si>
    <t>L1005</t>
  </si>
  <si>
    <t>L1013</t>
  </si>
  <si>
    <t>L1032</t>
  </si>
  <si>
    <t>L1039</t>
  </si>
  <si>
    <t>L1139</t>
  </si>
  <si>
    <t>L1179</t>
  </si>
  <si>
    <t>L1273</t>
  </si>
  <si>
    <t>L1282</t>
  </si>
  <si>
    <t>L1313</t>
  </si>
  <si>
    <t>L1321</t>
  </si>
  <si>
    <t>L1338</t>
  </si>
  <si>
    <t>L1358</t>
  </si>
  <si>
    <t>L1372</t>
  </si>
  <si>
    <t>L1415</t>
  </si>
  <si>
    <t>L1422</t>
  </si>
  <si>
    <t>L1432</t>
  </si>
  <si>
    <t>L1459</t>
  </si>
  <si>
    <t>L1464</t>
  </si>
  <si>
    <t>L1504</t>
  </si>
  <si>
    <t>L1654</t>
  </si>
  <si>
    <t>L1669</t>
  </si>
  <si>
    <t>L1690</t>
  </si>
  <si>
    <t>L1723</t>
  </si>
  <si>
    <t>L1727</t>
  </si>
  <si>
    <t>L1770</t>
  </si>
  <si>
    <t>L1790</t>
  </si>
  <si>
    <t>L1828</t>
  </si>
  <si>
    <t>L1860</t>
  </si>
  <si>
    <t>L1878</t>
  </si>
  <si>
    <t>L1884</t>
  </si>
  <si>
    <t>L1025</t>
  </si>
  <si>
    <t>L1061</t>
  </si>
  <si>
    <t>L1089</t>
  </si>
  <si>
    <t>L1190</t>
  </si>
  <si>
    <t>L1202</t>
  </si>
  <si>
    <t>L1257</t>
  </si>
  <si>
    <t>L1258</t>
  </si>
  <si>
    <t>L1262</t>
  </si>
  <si>
    <t>L1278</t>
  </si>
  <si>
    <t>L1404</t>
  </si>
  <si>
    <t>L1451</t>
  </si>
  <si>
    <t>L1456</t>
  </si>
  <si>
    <t>L1499</t>
  </si>
  <si>
    <t>L1503</t>
  </si>
  <si>
    <t>L1533</t>
  </si>
  <si>
    <t>L1583</t>
  </si>
  <si>
    <t>L1595</t>
  </si>
  <si>
    <t>L1619</t>
  </si>
  <si>
    <t>L1674</t>
  </si>
  <si>
    <t>L1677</t>
  </si>
  <si>
    <t>L1699</t>
  </si>
  <si>
    <t>L1715</t>
  </si>
  <si>
    <t>L1731</t>
  </si>
  <si>
    <t>L1736</t>
  </si>
  <si>
    <t>L1752</t>
  </si>
  <si>
    <t>L1756</t>
  </si>
  <si>
    <t>L1870</t>
  </si>
  <si>
    <t>L1874</t>
  </si>
  <si>
    <t>L1890</t>
  </si>
  <si>
    <t>L1900</t>
  </si>
  <si>
    <t>L1909</t>
  </si>
  <si>
    <t>L1910</t>
  </si>
  <si>
    <t>L1939</t>
  </si>
  <si>
    <t>L1984</t>
  </si>
  <si>
    <t>L1028</t>
  </si>
  <si>
    <t>L1046</t>
  </si>
  <si>
    <t>L1081</t>
  </si>
  <si>
    <t>L1124</t>
  </si>
  <si>
    <t>L1134</t>
  </si>
  <si>
    <t>L1160</t>
  </si>
  <si>
    <t>L1198</t>
  </si>
  <si>
    <t>L1205</t>
  </si>
  <si>
    <t>L1224</t>
  </si>
  <si>
    <t>L1319</t>
  </si>
  <si>
    <t>L1325</t>
  </si>
  <si>
    <t>L1326</t>
  </si>
  <si>
    <t>L1359</t>
  </si>
  <si>
    <t>L1368</t>
  </si>
  <si>
    <t>L1384</t>
  </si>
  <si>
    <t>L1388</t>
  </si>
  <si>
    <t>L1450</t>
  </si>
  <si>
    <t>L1477</t>
  </si>
  <si>
    <t>L1491</t>
  </si>
  <si>
    <t>L1553</t>
  </si>
  <si>
    <t>L1570</t>
  </si>
  <si>
    <t>L1662</t>
  </si>
  <si>
    <t>L1673</t>
  </si>
  <si>
    <t>L1685</t>
  </si>
  <si>
    <t>L1687</t>
  </si>
  <si>
    <t>L1742</t>
  </si>
  <si>
    <t>L1879</t>
  </si>
  <si>
    <t>L1888</t>
  </si>
  <si>
    <t>L1927</t>
  </si>
  <si>
    <t>L1991</t>
  </si>
  <si>
    <t>L1019</t>
  </si>
  <si>
    <t>L1033</t>
  </si>
  <si>
    <t>L1077</t>
  </si>
  <si>
    <t>L1106</t>
  </si>
  <si>
    <t>L1117</t>
  </si>
  <si>
    <t>L1121</t>
  </si>
  <si>
    <t>L1129</t>
  </si>
  <si>
    <t>L1132</t>
  </si>
  <si>
    <t>L1221</t>
  </si>
  <si>
    <t>L1281</t>
  </si>
  <si>
    <t>L1304</t>
  </si>
  <si>
    <t>L1444</t>
  </si>
  <si>
    <t>L1462</t>
  </si>
  <si>
    <t>L1495</t>
  </si>
  <si>
    <t>L1525</t>
  </si>
  <si>
    <t>L1566</t>
  </si>
  <si>
    <t>L1663</t>
  </si>
  <si>
    <t>L1667</t>
  </si>
  <si>
    <t>L1686</t>
  </si>
  <si>
    <t>L1704</t>
  </si>
  <si>
    <t>L1710</t>
  </si>
  <si>
    <t>L1733</t>
  </si>
  <si>
    <t>L1747</t>
  </si>
  <si>
    <t>L1765</t>
  </si>
  <si>
    <t>L1815</t>
  </si>
  <si>
    <t>L1821</t>
  </si>
  <si>
    <t>L1822</t>
  </si>
  <si>
    <t>L1919</t>
  </si>
  <si>
    <t>L1923</t>
  </si>
  <si>
    <t>L1938</t>
  </si>
  <si>
    <t>L1993</t>
  </si>
  <si>
    <t>L1015</t>
  </si>
  <si>
    <t>L1067</t>
  </si>
  <si>
    <t>L1083</t>
  </si>
  <si>
    <t>L1086</t>
  </si>
  <si>
    <t>L1095</t>
  </si>
  <si>
    <t>L1110</t>
  </si>
  <si>
    <t>L1125</t>
  </si>
  <si>
    <t>L1147</t>
  </si>
  <si>
    <t>L1155</t>
  </si>
  <si>
    <t>L1240</t>
  </si>
  <si>
    <t>L1247</t>
  </si>
  <si>
    <t>L1249</t>
  </si>
  <si>
    <t>L1289</t>
  </si>
  <si>
    <t>L1291</t>
  </si>
  <si>
    <t>L1352</t>
  </si>
  <si>
    <t>L1398</t>
  </si>
  <si>
    <t>L1406</t>
  </si>
  <si>
    <t>L1426</t>
  </si>
  <si>
    <t>L1429</t>
  </si>
  <si>
    <t>L1485</t>
  </si>
  <si>
    <t>L1497</t>
  </si>
  <si>
    <t>L1537</t>
  </si>
  <si>
    <t>L1551</t>
  </si>
  <si>
    <t>L1572</t>
  </si>
  <si>
    <t>L1577</t>
  </si>
  <si>
    <t>L1635</t>
  </si>
  <si>
    <t>L1651</t>
  </si>
  <si>
    <t>L1793</t>
  </si>
  <si>
    <t>L1816</t>
  </si>
  <si>
    <t>L1836</t>
  </si>
  <si>
    <t>L1957</t>
  </si>
  <si>
    <t>L1973</t>
  </si>
  <si>
    <t>L1985</t>
  </si>
  <si>
    <t>L1050</t>
  </si>
  <si>
    <t>L1098</t>
  </si>
  <si>
    <t>L1186</t>
  </si>
  <si>
    <t>L1229</t>
  </si>
  <si>
    <t>L1253</t>
  </si>
  <si>
    <t>L1261</t>
  </si>
  <si>
    <t>L1312</t>
  </si>
  <si>
    <t>L1320</t>
  </si>
  <si>
    <t>L1346</t>
  </si>
  <si>
    <t>L1355</t>
  </si>
  <si>
    <t>L1374</t>
  </si>
  <si>
    <t>L1467</t>
  </si>
  <si>
    <t>L1502</t>
  </si>
  <si>
    <t>L1544</t>
  </si>
  <si>
    <t>L1562</t>
  </si>
  <si>
    <t>L1594</t>
  </si>
  <si>
    <t>L1604</t>
  </si>
  <si>
    <t>L1616</t>
  </si>
  <si>
    <t>L1623</t>
  </si>
  <si>
    <t>L1655</t>
  </si>
  <si>
    <t>L1661</t>
  </si>
  <si>
    <t>L1684</t>
  </si>
  <si>
    <t>L1688</t>
  </si>
  <si>
    <t>L1689</t>
  </si>
  <si>
    <t>L1746</t>
  </si>
  <si>
    <t>L1748</t>
  </si>
  <si>
    <t>L1764</t>
  </si>
  <si>
    <t>L1766</t>
  </si>
  <si>
    <t>L1775</t>
  </si>
  <si>
    <t>L1813</t>
  </si>
  <si>
    <t>L1846</t>
  </si>
  <si>
    <t>L1863</t>
  </si>
  <si>
    <t>L1903</t>
  </si>
  <si>
    <t>L1942</t>
  </si>
  <si>
    <t>L1954</t>
  </si>
  <si>
    <t>L1000</t>
  </si>
  <si>
    <t>L1011</t>
  </si>
  <si>
    <t>L1022</t>
  </si>
  <si>
    <t>L1085</t>
  </si>
  <si>
    <t>L1158</t>
  </si>
  <si>
    <t>L1185</t>
  </si>
  <si>
    <t>L1226</t>
  </si>
  <si>
    <t>L1259</t>
  </si>
  <si>
    <t>L1269</t>
  </si>
  <si>
    <t>L1330</t>
  </si>
  <si>
    <t>L1337</t>
  </si>
  <si>
    <t>L1386</t>
  </si>
  <si>
    <t>L1402</t>
  </si>
  <si>
    <t>L1421</t>
  </si>
  <si>
    <t>L1505</t>
  </si>
  <si>
    <t>L1529</t>
  </si>
  <si>
    <t>L1539</t>
  </si>
  <si>
    <t>L1550</t>
  </si>
  <si>
    <t>L1561</t>
  </si>
  <si>
    <t>L1571</t>
  </si>
  <si>
    <t>L1612</t>
  </si>
  <si>
    <t>L1632</t>
  </si>
  <si>
    <t>L1680</t>
  </si>
  <si>
    <t>L1692</t>
  </si>
  <si>
    <t>L1695</t>
  </si>
  <si>
    <t>L1696</t>
  </si>
  <si>
    <t>L1771</t>
  </si>
  <si>
    <t>L1787</t>
  </si>
  <si>
    <t>L1789</t>
  </si>
  <si>
    <t>L1795</t>
  </si>
  <si>
    <t>L1826</t>
  </si>
  <si>
    <t>L1850</t>
  </si>
  <si>
    <t>L1865</t>
  </si>
  <si>
    <t>L1866</t>
  </si>
  <si>
    <t>L1946</t>
  </si>
  <si>
    <t>L1970</t>
  </si>
  <si>
    <t>L1988</t>
  </si>
  <si>
    <t>L1989</t>
  </si>
  <si>
    <t>L1024</t>
  </si>
  <si>
    <t>L1049</t>
  </si>
  <si>
    <t>L1066</t>
  </si>
  <si>
    <t>L1136</t>
  </si>
  <si>
    <t>L1200</t>
  </si>
  <si>
    <t>L1201</t>
  </si>
  <si>
    <t>L1203</t>
  </si>
  <si>
    <t>L1217</t>
  </si>
  <si>
    <t>L1219</t>
  </si>
  <si>
    <t>L1241</t>
  </si>
  <si>
    <t>L1280</t>
  </si>
  <si>
    <t>L1300</t>
  </si>
  <si>
    <t>L1306</t>
  </si>
  <si>
    <t>L1383</t>
  </si>
  <si>
    <t>L1403</t>
  </si>
  <si>
    <t>L1442</t>
  </si>
  <si>
    <t>L1536</t>
  </si>
  <si>
    <t>L1558</t>
  </si>
  <si>
    <t>L1600</t>
  </si>
  <si>
    <t>L1603</t>
  </si>
  <si>
    <t>L1666</t>
  </si>
  <si>
    <t>L1676</t>
  </si>
  <si>
    <t>L1682</t>
  </si>
  <si>
    <t>L1779</t>
  </si>
  <si>
    <t>L1785</t>
  </si>
  <si>
    <t>L1830</t>
  </si>
  <si>
    <t>L1867</t>
  </si>
  <si>
    <t>L1892</t>
  </si>
  <si>
    <t>L1936</t>
  </si>
  <si>
    <t>L1964</t>
  </si>
  <si>
    <t>L1969</t>
  </si>
  <si>
    <t>L1976</t>
  </si>
  <si>
    <t>L1981</t>
  </si>
  <si>
    <t>L1034</t>
  </si>
  <si>
    <t>L1048</t>
  </si>
  <si>
    <t>L1099</t>
  </si>
  <si>
    <t>L1133</t>
  </si>
  <si>
    <t>L1165</t>
  </si>
  <si>
    <t>L1184</t>
  </si>
  <si>
    <t>L1191</t>
  </si>
  <si>
    <t>L1213</t>
  </si>
  <si>
    <t>L1216</t>
  </si>
  <si>
    <t>L1260</t>
  </si>
  <si>
    <t>L1283</t>
  </si>
  <si>
    <t>L1315</t>
  </si>
  <si>
    <t>L1316</t>
  </si>
  <si>
    <t>L1323</t>
  </si>
  <si>
    <t>L1335</t>
  </si>
  <si>
    <t>L1465</t>
  </si>
  <si>
    <t>L1466</t>
  </si>
  <si>
    <t>L1487</t>
  </si>
  <si>
    <t>L1513</t>
  </si>
  <si>
    <t>L1593</t>
  </si>
  <si>
    <t>L1608</t>
  </si>
  <si>
    <t>L1630</t>
  </si>
  <si>
    <t>L1647</t>
  </si>
  <si>
    <t>L1649</t>
  </si>
  <si>
    <t>L1659</t>
  </si>
  <si>
    <t>L1702</t>
  </si>
  <si>
    <t>L1768</t>
  </si>
  <si>
    <t>L1820</t>
  </si>
  <si>
    <t>L1875</t>
  </si>
  <si>
    <t>L1882</t>
  </si>
  <si>
    <t>L1912</t>
  </si>
  <si>
    <t>L1930</t>
  </si>
  <si>
    <t>L1971</t>
  </si>
  <si>
    <t>L1027</t>
  </si>
  <si>
    <t>L1070</t>
  </si>
  <si>
    <t>L1080</t>
  </si>
  <si>
    <t>L1102</t>
  </si>
  <si>
    <t>L1107</t>
  </si>
  <si>
    <t>L1122</t>
  </si>
  <si>
    <t>L1148</t>
  </si>
  <si>
    <t>L1153</t>
  </si>
  <si>
    <t>L1197</t>
  </si>
  <si>
    <t>L1234</t>
  </si>
  <si>
    <t>L1267</t>
  </si>
  <si>
    <t>L1296</t>
  </si>
  <si>
    <t>L1360</t>
  </si>
  <si>
    <t>L1376</t>
  </si>
  <si>
    <t>L1392</t>
  </si>
  <si>
    <t>L1409</t>
  </si>
  <si>
    <t>L1411</t>
  </si>
  <si>
    <t>L1437</t>
  </si>
  <si>
    <t>L1472</t>
  </si>
  <si>
    <t>L1476</t>
  </si>
  <si>
    <t>L1478</t>
  </si>
  <si>
    <t>L1546</t>
  </si>
  <si>
    <t>L1556</t>
  </si>
  <si>
    <t>L1624</t>
  </si>
  <si>
    <t>L1716</t>
  </si>
  <si>
    <t>L1753</t>
  </si>
  <si>
    <t>L1760</t>
  </si>
  <si>
    <t>L1782</t>
  </si>
  <si>
    <t>L1808</t>
  </si>
  <si>
    <t>L1818</t>
  </si>
  <si>
    <t>L1848</t>
  </si>
  <si>
    <t>L1880</t>
  </si>
  <si>
    <t>L1898</t>
  </si>
  <si>
    <t>L1972</t>
  </si>
  <si>
    <t>L1992</t>
  </si>
  <si>
    <t>L1020</t>
  </si>
  <si>
    <t>L1072</t>
  </si>
  <si>
    <t>L1103</t>
  </si>
  <si>
    <t>L1135</t>
  </si>
  <si>
    <t>L1206</t>
  </si>
  <si>
    <t>L1295</t>
  </si>
  <si>
    <t>L1329</t>
  </si>
  <si>
    <t>L1371</t>
  </si>
  <si>
    <t>L1381</t>
  </si>
  <si>
    <t>L1428</t>
  </si>
  <si>
    <t>L1443</t>
  </si>
  <si>
    <t>L1457</t>
  </si>
  <si>
    <t>L1511</t>
  </si>
  <si>
    <t>L1521</t>
  </si>
  <si>
    <t>L1591</t>
  </si>
  <si>
    <t>L1719</t>
  </si>
  <si>
    <t>L1720</t>
  </si>
  <si>
    <t>L1921</t>
  </si>
  <si>
    <t>L1929</t>
  </si>
  <si>
    <t>L1933</t>
  </si>
  <si>
    <t>L1943</t>
  </si>
  <si>
    <t>L1977</t>
  </si>
  <si>
    <t>L1980</t>
  </si>
  <si>
    <t>L1006</t>
  </si>
  <si>
    <t>L1029</t>
  </si>
  <si>
    <t>L1054</t>
  </si>
  <si>
    <t>L1058</t>
  </si>
  <si>
    <t>L1079</t>
  </si>
  <si>
    <t>L1084</t>
  </si>
  <si>
    <t>L1087</t>
  </si>
  <si>
    <t>L1101</t>
  </si>
  <si>
    <t>L1130</t>
  </si>
  <si>
    <t>L1161</t>
  </si>
  <si>
    <t>L1167</t>
  </si>
  <si>
    <t>L1168</t>
  </si>
  <si>
    <t>L1177</t>
  </si>
  <si>
    <t>L1182</t>
  </si>
  <si>
    <t>L1242</t>
  </si>
  <si>
    <t>L1297</t>
  </si>
  <si>
    <t>L1328</t>
  </si>
  <si>
    <t>L1339</t>
  </si>
  <si>
    <t>L1341</t>
  </si>
  <si>
    <t>L1353</t>
  </si>
  <si>
    <t>L1385</t>
  </si>
  <si>
    <t>L1399</t>
  </si>
  <si>
    <t>L1424</t>
  </si>
  <si>
    <t>L1433</t>
  </si>
  <si>
    <t>L1434</t>
  </si>
  <si>
    <t>L1468</t>
  </si>
  <si>
    <t>L1473</t>
  </si>
  <si>
    <t>L1496</t>
  </si>
  <si>
    <t>L1507</t>
  </si>
  <si>
    <t>L1532</t>
  </si>
  <si>
    <t>L1554</t>
  </si>
  <si>
    <t>L1606</t>
  </si>
  <si>
    <t>L1643</t>
  </si>
  <si>
    <t>L1668</t>
  </si>
  <si>
    <t>L1729</t>
  </si>
  <si>
    <t>L1777</t>
  </si>
  <si>
    <t>L1803</t>
  </si>
  <si>
    <t>L1829</t>
  </si>
  <si>
    <t>L1925</t>
  </si>
  <si>
    <t>L1950</t>
  </si>
  <si>
    <t>L1956</t>
  </si>
  <si>
    <t>L1014</t>
  </si>
  <si>
    <t>L1030</t>
  </si>
  <si>
    <t>L1044</t>
  </si>
  <si>
    <t>L1047</t>
  </si>
  <si>
    <t>L1088</t>
  </si>
  <si>
    <t>L1111</t>
  </si>
  <si>
    <t>L1169</t>
  </si>
  <si>
    <t>L1208</t>
  </si>
  <si>
    <t>L1210</t>
  </si>
  <si>
    <t>L1239</t>
  </si>
  <si>
    <t>L1251</t>
  </si>
  <si>
    <t>L1286</t>
  </si>
  <si>
    <t>L1288</t>
  </si>
  <si>
    <t>L1298</t>
  </si>
  <si>
    <t>L1331</t>
  </si>
  <si>
    <t>L1362</t>
  </si>
  <si>
    <t>L1377</t>
  </si>
  <si>
    <t>L1387</t>
  </si>
  <si>
    <t>L1396</t>
  </si>
  <si>
    <t>L1418</t>
  </si>
  <si>
    <t>L1436</t>
  </si>
  <si>
    <t>L1471</t>
  </si>
  <si>
    <t>L1480</t>
  </si>
  <si>
    <t>L1519</t>
  </si>
  <si>
    <t>L1523</t>
  </si>
  <si>
    <t>L1575</t>
  </si>
  <si>
    <t>L1611</t>
  </si>
  <si>
    <t>L1614</t>
  </si>
  <si>
    <t>L1620</t>
  </si>
  <si>
    <t>L1627</t>
  </si>
  <si>
    <t>L1637</t>
  </si>
  <si>
    <t>L1700</t>
  </si>
  <si>
    <t>L1738</t>
  </si>
  <si>
    <t>L1762</t>
  </si>
  <si>
    <t>L1791</t>
  </si>
  <si>
    <t>L1811</t>
  </si>
  <si>
    <t>L1839</t>
  </si>
  <si>
    <t>L1840</t>
  </si>
  <si>
    <t>L1861</t>
  </si>
  <si>
    <t>L1926</t>
  </si>
  <si>
    <t>L1932</t>
  </si>
  <si>
    <t>L1945</t>
  </si>
  <si>
    <t>L1959</t>
  </si>
  <si>
    <t>L1979</t>
  </si>
  <si>
    <t>L1997</t>
  </si>
  <si>
    <t>L1004</t>
  </si>
  <si>
    <t>L1008</t>
  </si>
  <si>
    <t>L1017</t>
  </si>
  <si>
    <t>L1031</t>
  </si>
  <si>
    <t>L1078</t>
  </si>
  <si>
    <t>L1105</t>
  </si>
  <si>
    <t>L1199</t>
  </si>
  <si>
    <t>L1214</t>
  </si>
  <si>
    <t>L1238</t>
  </si>
  <si>
    <t>L1265</t>
  </si>
  <si>
    <t>L1303</t>
  </si>
  <si>
    <t>L1336</t>
  </si>
  <si>
    <t>L1343</t>
  </si>
  <si>
    <t>L1351</t>
  </si>
  <si>
    <t>L1378</t>
  </si>
  <si>
    <t>L1412</t>
  </si>
  <si>
    <t>L1431</t>
  </si>
  <si>
    <t>L1453</t>
  </si>
  <si>
    <t>L1492</t>
  </si>
  <si>
    <t>L1527</t>
  </si>
  <si>
    <t>L1568</t>
  </si>
  <si>
    <t>L1588</t>
  </si>
  <si>
    <t>L1592</t>
  </si>
  <si>
    <t>L1634</t>
  </si>
  <si>
    <t>L1711</t>
  </si>
  <si>
    <t>L1796</t>
  </si>
  <si>
    <t>L1819</t>
  </si>
  <si>
    <t>L1825</t>
  </si>
  <si>
    <t>L1831</t>
  </si>
  <si>
    <t>L1920</t>
  </si>
  <si>
    <t>L1953</t>
  </si>
  <si>
    <t>L1982</t>
  </si>
  <si>
    <t>L1996</t>
  </si>
  <si>
    <t>L1051</t>
  </si>
  <si>
    <t>L1094</t>
  </si>
  <si>
    <t>L1181</t>
  </si>
  <si>
    <t>L1207</t>
  </si>
  <si>
    <t>L1292</t>
  </si>
  <si>
    <t>L1357</t>
  </si>
  <si>
    <t>L1369</t>
  </si>
  <si>
    <t>L1439</t>
  </si>
  <si>
    <t>L1479</t>
  </si>
  <si>
    <t>L1488</t>
  </si>
  <si>
    <t>L1500</t>
  </si>
  <si>
    <t>L1501</t>
  </si>
  <si>
    <t>L1538</t>
  </si>
  <si>
    <t>L1547</t>
  </si>
  <si>
    <t>L1602</t>
  </si>
  <si>
    <t>L1641</t>
  </si>
  <si>
    <t>L1646</t>
  </si>
  <si>
    <t>L1656</t>
  </si>
  <si>
    <t>L1749</t>
  </si>
  <si>
    <t>L1757</t>
  </si>
  <si>
    <t>L1769</t>
  </si>
  <si>
    <t>L1810</t>
  </si>
  <si>
    <t>L1853</t>
  </si>
  <si>
    <t>L1952</t>
  </si>
  <si>
    <t>L1975</t>
  </si>
  <si>
    <t>L1010</t>
  </si>
  <si>
    <t>L1060</t>
  </si>
  <si>
    <t>L1100</t>
  </si>
  <si>
    <t>L1104</t>
  </si>
  <si>
    <t>L1109</t>
  </si>
  <si>
    <t>L1143</t>
  </si>
  <si>
    <t>L1342</t>
  </si>
  <si>
    <t>L1382</t>
  </si>
  <si>
    <t>L1474</t>
  </si>
  <si>
    <t>L1586</t>
  </si>
  <si>
    <t>L1587</t>
  </si>
  <si>
    <t>L1629</t>
  </si>
  <si>
    <t>L1648</t>
  </si>
  <si>
    <t>L1678</t>
  </si>
  <si>
    <t>L1703</t>
  </si>
  <si>
    <t>L1718</t>
  </si>
  <si>
    <t>L1754</t>
  </si>
  <si>
    <t>L1763</t>
  </si>
  <si>
    <t>L1773</t>
  </si>
  <si>
    <t>L1812</t>
  </si>
  <si>
    <t>L1837</t>
  </si>
  <si>
    <t>L1844</t>
  </si>
  <si>
    <t>L1847</t>
  </si>
  <si>
    <t>L1851</t>
  </si>
  <si>
    <t>L1908</t>
  </si>
  <si>
    <t>L1928</t>
  </si>
  <si>
    <t>L1001</t>
  </si>
  <si>
    <t>L1036</t>
  </si>
  <si>
    <t>L1052</t>
  </si>
  <si>
    <t>L1056</t>
  </si>
  <si>
    <t>L1063</t>
  </si>
  <si>
    <t>L1108</t>
  </si>
  <si>
    <t>L1119</t>
  </si>
  <si>
    <t>L1170</t>
  </si>
  <si>
    <t>L1305</t>
  </si>
  <si>
    <t>L1344</t>
  </si>
  <si>
    <t>L1345</t>
  </si>
  <si>
    <t>L1350</t>
  </si>
  <si>
    <t>L1364</t>
  </si>
  <si>
    <t>L1366</t>
  </si>
  <si>
    <t>L1454</t>
  </si>
  <si>
    <t>L1475</t>
  </si>
  <si>
    <t>L1482</t>
  </si>
  <si>
    <t>L1494</t>
  </si>
  <si>
    <t>L1514</t>
  </si>
  <si>
    <t>L1535</t>
  </si>
  <si>
    <t>L1542</t>
  </si>
  <si>
    <t>L1549</t>
  </si>
  <si>
    <t>L1582</t>
  </si>
  <si>
    <t>L1709</t>
  </si>
  <si>
    <t>L1735</t>
  </si>
  <si>
    <t>L1783</t>
  </si>
  <si>
    <t>L1871</t>
  </si>
  <si>
    <t>L1887</t>
  </si>
  <si>
    <t>L1913</t>
  </si>
  <si>
    <t>L1963</t>
  </si>
  <si>
    <t>L1974</t>
  </si>
  <si>
    <t>L1092</t>
  </si>
  <si>
    <t>L1097</t>
  </si>
  <si>
    <t>L1113</t>
  </si>
  <si>
    <t>L1137</t>
  </si>
  <si>
    <t>L1141</t>
  </si>
  <si>
    <t>L1145</t>
  </si>
  <si>
    <t>L1154</t>
  </si>
  <si>
    <t>L1166</t>
  </si>
  <si>
    <t>L1193</t>
  </si>
  <si>
    <t>L1211</t>
  </si>
  <si>
    <t>L1215</t>
  </si>
  <si>
    <t>L1243</t>
  </si>
  <si>
    <t>L1246</t>
  </si>
  <si>
    <t>L1248</t>
  </si>
  <si>
    <t>L1279</t>
  </si>
  <si>
    <t>L1285</t>
  </si>
  <si>
    <t>L1290</t>
  </si>
  <si>
    <t>L1354</t>
  </si>
  <si>
    <t>L1395</t>
  </si>
  <si>
    <t>L1408</t>
  </si>
  <si>
    <t>L1427</t>
  </si>
  <si>
    <t>L1461</t>
  </si>
  <si>
    <t>L1463</t>
  </si>
  <si>
    <t>L1564</t>
  </si>
  <si>
    <t>L1578</t>
  </si>
  <si>
    <t>L1585</t>
  </si>
  <si>
    <t>L1622</t>
  </si>
  <si>
    <t>L1631</t>
  </si>
  <si>
    <t>L1639</t>
  </si>
  <si>
    <t>L1650</t>
  </si>
  <si>
    <t>L1652</t>
  </si>
  <si>
    <t>L1672</t>
  </si>
  <si>
    <t>L1698</t>
  </si>
  <si>
    <t>L1708</t>
  </si>
  <si>
    <t>L1732</t>
  </si>
  <si>
    <t>L1794</t>
  </si>
  <si>
    <t>L1802</t>
  </si>
  <si>
    <t>L1944</t>
  </si>
  <si>
    <t>L1978</t>
  </si>
  <si>
    <t>L1023</t>
  </si>
  <si>
    <t>L1035</t>
  </si>
  <si>
    <t>L1042</t>
  </si>
  <si>
    <t>L1062</t>
  </si>
  <si>
    <t>L1064</t>
  </si>
  <si>
    <t>L1069</t>
  </si>
  <si>
    <t>L1112</t>
  </si>
  <si>
    <t>L1114</t>
  </si>
  <si>
    <t>L1131</t>
  </si>
  <si>
    <t>L1150</t>
  </si>
  <si>
    <t>L1174</t>
  </si>
  <si>
    <t>L1228</t>
  </si>
  <si>
    <t>L1256</t>
  </si>
  <si>
    <t>L1272</t>
  </si>
  <si>
    <t>L1294</t>
  </si>
  <si>
    <t>L1307</t>
  </si>
  <si>
    <t>L1322</t>
  </si>
  <si>
    <t>L1333</t>
  </si>
  <si>
    <t>L1365</t>
  </si>
  <si>
    <t>L1391</t>
  </si>
  <si>
    <t>L1430</t>
  </si>
  <si>
    <t>L1449</t>
  </si>
  <si>
    <t>L1458</t>
  </si>
  <si>
    <t>L1534</t>
  </si>
  <si>
    <t>L1613</t>
  </si>
  <si>
    <t>L1615</t>
  </si>
  <si>
    <t>L1636</t>
  </si>
  <si>
    <t>L1657</t>
  </si>
  <si>
    <t>L1683</t>
  </si>
  <si>
    <t>L1722</t>
  </si>
  <si>
    <t>L1725</t>
  </si>
  <si>
    <t>L1759</t>
  </si>
  <si>
    <t>L1767</t>
  </si>
  <si>
    <t>L1834</t>
  </si>
  <si>
    <t>L1854</t>
  </si>
  <si>
    <t>L1894</t>
  </si>
  <si>
    <t>L1899</t>
  </si>
  <si>
    <t>L1916</t>
  </si>
  <si>
    <t>L1968</t>
  </si>
  <si>
    <t>L1038</t>
  </si>
  <si>
    <t>L1045</t>
  </si>
  <si>
    <t>L1076</t>
  </si>
  <si>
    <t>L1082</t>
  </si>
  <si>
    <t>L1093</t>
  </si>
  <si>
    <t>L1096</t>
  </si>
  <si>
    <t>L1115</t>
  </si>
  <si>
    <t>L1142</t>
  </si>
  <si>
    <t>L1195</t>
  </si>
  <si>
    <t>L1204</t>
  </si>
  <si>
    <t>L1232</t>
  </si>
  <si>
    <t>L1245</t>
  </si>
  <si>
    <t>L1254</t>
  </si>
  <si>
    <t>L1268</t>
  </si>
  <si>
    <t>L1310</t>
  </si>
  <si>
    <t>L1405</t>
  </si>
  <si>
    <t>L1414</t>
  </si>
  <si>
    <t>L1435</t>
  </si>
  <si>
    <t>L1486</t>
  </si>
  <si>
    <t>L1489</t>
  </si>
  <si>
    <t>L1560</t>
  </si>
  <si>
    <t>L1565</t>
  </si>
  <si>
    <t>L1590</t>
  </si>
  <si>
    <t>L1605</t>
  </si>
  <si>
    <t>L1610</t>
  </si>
  <si>
    <t>L1645</t>
  </si>
  <si>
    <t>L1675</t>
  </si>
  <si>
    <t>L1679</t>
  </si>
  <si>
    <t>L1744</t>
  </si>
  <si>
    <t>L1776</t>
  </si>
  <si>
    <t>L1786</t>
  </si>
  <si>
    <t>L1806</t>
  </si>
  <si>
    <t>L1842</t>
  </si>
  <si>
    <t>L1872</t>
  </si>
  <si>
    <t>L1886</t>
  </si>
  <si>
    <t>L1911</t>
  </si>
  <si>
    <t>L1934</t>
  </si>
  <si>
    <t>L1999</t>
  </si>
  <si>
    <t>L1059</t>
  </si>
  <si>
    <t>L1074</t>
  </si>
  <si>
    <t>L1118</t>
  </si>
  <si>
    <t>L1127</t>
  </si>
  <si>
    <t>L1128</t>
  </si>
  <si>
    <t>L1140</t>
  </si>
  <si>
    <t>L1225</t>
  </si>
  <si>
    <t>L1227</t>
  </si>
  <si>
    <t>L1264</t>
  </si>
  <si>
    <t>L1380</t>
  </si>
  <si>
    <t>L1390</t>
  </si>
  <si>
    <t>L1440</t>
  </si>
  <si>
    <t>L1484</t>
  </si>
  <si>
    <t>L1640</t>
  </si>
  <si>
    <t>L1681</t>
  </si>
  <si>
    <t>L1713</t>
  </si>
  <si>
    <t>L1838</t>
  </si>
  <si>
    <t>L1855</t>
  </si>
  <si>
    <t>L1864</t>
  </si>
  <si>
    <t>L1876</t>
  </si>
  <si>
    <t>L1881</t>
  </si>
  <si>
    <t>L1883</t>
  </si>
  <si>
    <t>L1995</t>
  </si>
  <si>
    <t>L1018</t>
  </si>
  <si>
    <t>L1057</t>
  </si>
  <si>
    <t>L1126</t>
  </si>
  <si>
    <t>L1144</t>
  </si>
  <si>
    <t>L1171</t>
  </si>
  <si>
    <t>L1231</t>
  </si>
  <si>
    <t>L1233</t>
  </si>
  <si>
    <t>L1236</t>
  </si>
  <si>
    <t>L1277</t>
  </si>
  <si>
    <t>L1327</t>
  </si>
  <si>
    <t>L1334</t>
  </si>
  <si>
    <t>L1349</t>
  </si>
  <si>
    <t>L1407</t>
  </si>
  <si>
    <t>L1576</t>
  </si>
  <si>
    <t>L1596</t>
  </si>
  <si>
    <t>L1597</t>
  </si>
  <si>
    <t>L1598</t>
  </si>
  <si>
    <t>L1625</t>
  </si>
  <si>
    <t>L1712</t>
  </si>
  <si>
    <t>L1724</t>
  </si>
  <si>
    <t>L1901</t>
  </si>
  <si>
    <t>L1915</t>
  </si>
  <si>
    <t>L1016</t>
  </si>
  <si>
    <t>L1149</t>
  </si>
  <si>
    <t>L1157</t>
  </si>
  <si>
    <t>L1188</t>
  </si>
  <si>
    <t>L1189</t>
  </si>
  <si>
    <t>L1270</t>
  </si>
  <si>
    <t>L1274</t>
  </si>
  <si>
    <t>L1393</t>
  </si>
  <si>
    <t>L1423</t>
  </si>
  <si>
    <t>L1438</t>
  </si>
  <si>
    <t>L1446</t>
  </si>
  <si>
    <t>L1470</t>
  </si>
  <si>
    <t>L1506</t>
  </si>
  <si>
    <t>L1510</t>
  </si>
  <si>
    <t>L1526</t>
  </si>
  <si>
    <t>L1530</t>
  </si>
  <si>
    <t>L1589</t>
  </si>
  <si>
    <t>L1609</t>
  </si>
  <si>
    <t>L1691</t>
  </si>
  <si>
    <t>L1705</t>
  </si>
  <si>
    <t>L1714</t>
  </si>
  <si>
    <t>L1741</t>
  </si>
  <si>
    <t>L1798</t>
  </si>
  <si>
    <t>L1809</t>
  </si>
  <si>
    <t>L1823</t>
  </si>
  <si>
    <t>L1873</t>
  </si>
  <si>
    <t>L1889</t>
  </si>
  <si>
    <t>L1896</t>
  </si>
  <si>
    <t>L1897</t>
  </si>
  <si>
    <t>L1906</t>
  </si>
  <si>
    <t>L1918</t>
  </si>
  <si>
    <t>L1965</t>
  </si>
  <si>
    <t>L1967</t>
  </si>
  <si>
    <t>L1007</t>
  </si>
  <si>
    <t>L1116</t>
  </si>
  <si>
    <t>L1120</t>
  </si>
  <si>
    <t>L1138</t>
  </si>
  <si>
    <t>L1162</t>
  </si>
  <si>
    <t>L1178</t>
  </si>
  <si>
    <t>L1196</t>
  </si>
  <si>
    <t>L1222</t>
  </si>
  <si>
    <t>L1266</t>
  </si>
  <si>
    <t>L1287</t>
  </si>
  <si>
    <t>L1347</t>
  </si>
  <si>
    <t>L1367</t>
  </si>
  <si>
    <t>L1400</t>
  </si>
  <si>
    <t>L1417</t>
  </si>
  <si>
    <t>L1420</t>
  </si>
  <si>
    <t>L1516</t>
  </si>
  <si>
    <t>L1520</t>
  </si>
  <si>
    <t>L1569</t>
  </si>
  <si>
    <t>L1574</t>
  </si>
  <si>
    <t>L1644</t>
  </si>
  <si>
    <t>L1693</t>
  </si>
  <si>
    <t>L1737</t>
  </si>
  <si>
    <t>L1761</t>
  </si>
  <si>
    <t>L1774</t>
  </si>
  <si>
    <t>L1797</t>
  </si>
  <si>
    <t>L1804</t>
  </si>
  <si>
    <t>L1805</t>
  </si>
  <si>
    <t>L1827</t>
  </si>
  <si>
    <t>L1845</t>
  </si>
  <si>
    <t>L1857</t>
  </si>
  <si>
    <t>L1902</t>
  </si>
  <si>
    <t>L1922</t>
  </si>
  <si>
    <t>L1931</t>
  </si>
  <si>
    <t>L1955</t>
  </si>
  <si>
    <t>L1983</t>
  </si>
  <si>
    <t>L1986</t>
  </si>
  <si>
    <t>L1041</t>
  </si>
  <si>
    <t>L1075</t>
  </si>
  <si>
    <t>L1091</t>
  </si>
  <si>
    <t>L1180</t>
  </si>
  <si>
    <t>L1183</t>
  </si>
  <si>
    <t>L1194</t>
  </si>
  <si>
    <t>L1230</t>
  </si>
  <si>
    <t>L1235</t>
  </si>
  <si>
    <t>L1252</t>
  </si>
  <si>
    <t>L1275</t>
  </si>
  <si>
    <t>L1299</t>
  </si>
  <si>
    <t>L1309</t>
  </si>
  <si>
    <t>L1340</t>
  </si>
  <si>
    <t>L1363</t>
  </si>
  <si>
    <t>L1413</t>
  </si>
  <si>
    <t>L1448</t>
  </si>
  <si>
    <t>L1531</t>
  </si>
  <si>
    <t>L1540</t>
  </si>
  <si>
    <t>L1559</t>
  </si>
  <si>
    <t>L1567</t>
  </si>
  <si>
    <t>L1599</t>
  </si>
  <si>
    <t>L1626</t>
  </si>
  <si>
    <t>L1706</t>
  </si>
  <si>
    <t>L1740</t>
  </si>
  <si>
    <t>L1755</t>
  </si>
  <si>
    <t>L1788</t>
  </si>
  <si>
    <t>L1862</t>
  </si>
  <si>
    <t>L1877</t>
  </si>
  <si>
    <t>L1924</t>
  </si>
  <si>
    <t>L1960</t>
  </si>
  <si>
    <t>L1962</t>
  </si>
  <si>
    <t>L1966</t>
  </si>
  <si>
    <t>L1151</t>
  </si>
  <si>
    <t>L1152</t>
  </si>
  <si>
    <t>L1173</t>
  </si>
  <si>
    <t>L1187</t>
  </si>
  <si>
    <t>L1218</t>
  </si>
  <si>
    <t>L1244</t>
  </si>
  <si>
    <t>L1276</t>
  </si>
  <si>
    <t>L1301</t>
  </si>
  <si>
    <t>L1324</t>
  </si>
  <si>
    <t>L1361</t>
  </si>
  <si>
    <t>L1379</t>
  </si>
  <si>
    <t>L1389</t>
  </si>
  <si>
    <t>L1493</t>
  </si>
  <si>
    <t>L1509</t>
  </si>
  <si>
    <t>L1557</t>
  </si>
  <si>
    <t>L1581</t>
  </si>
  <si>
    <t>L1584</t>
  </si>
  <si>
    <t>L1664</t>
  </si>
  <si>
    <t>L1697</t>
  </si>
  <si>
    <t>L1701</t>
  </si>
  <si>
    <t>L1799</t>
  </si>
  <si>
    <t>L1801</t>
  </si>
  <si>
    <t>L1835</t>
  </si>
  <si>
    <t>L1852</t>
  </si>
  <si>
    <t>L1869</t>
  </si>
  <si>
    <t>L1917</t>
  </si>
  <si>
    <t>L1937</t>
  </si>
  <si>
    <t>L1949</t>
  </si>
  <si>
    <t>L1002</t>
  </si>
  <si>
    <t>L1053</t>
  </si>
  <si>
    <t>L1071</t>
  </si>
  <si>
    <t>L1090</t>
  </si>
  <si>
    <t>L1146</t>
  </si>
  <si>
    <t>L1164</t>
  </si>
  <si>
    <t>L1237</t>
  </si>
  <si>
    <t>L1308</t>
  </si>
  <si>
    <t>L1318</t>
  </si>
  <si>
    <t>L1373</t>
  </si>
  <si>
    <t>L1401</t>
  </si>
  <si>
    <t>L1410</t>
  </si>
  <si>
    <t>L1460</t>
  </si>
  <si>
    <t>L1524</t>
  </si>
  <si>
    <t>L1580</t>
  </si>
  <si>
    <t>L1617</t>
  </si>
  <si>
    <t>L1653</t>
  </si>
  <si>
    <t>L1658</t>
  </si>
  <si>
    <t>L1758</t>
  </si>
  <si>
    <t>L1778</t>
  </si>
  <si>
    <t>L1868</t>
  </si>
  <si>
    <t>L1893</t>
  </si>
  <si>
    <t>L1905</t>
  </si>
  <si>
    <t>L1907</t>
  </si>
  <si>
    <t>L1914</t>
  </si>
  <si>
    <t>L1948</t>
  </si>
  <si>
    <t>Total Leads</t>
  </si>
  <si>
    <t>Total Pre-Booked</t>
  </si>
  <si>
    <t>Total Booked</t>
  </si>
  <si>
    <t>Total Deliveries Confirmed</t>
  </si>
  <si>
    <t>Total Delivered</t>
  </si>
  <si>
    <t>Pre-Booking Rate</t>
  </si>
  <si>
    <t>Booking Rate</t>
  </si>
  <si>
    <t>Delivery Confirmation Rate</t>
  </si>
  <si>
    <t>Delivery Rate</t>
  </si>
  <si>
    <t>Overall Conversion</t>
  </si>
  <si>
    <t>Overall Rate</t>
  </si>
  <si>
    <t>Pre-Booking (Avg Days)</t>
  </si>
  <si>
    <t>Booking (Avg Days)</t>
  </si>
  <si>
    <t>Delivery (Avg Days)</t>
  </si>
  <si>
    <t>Total Avg TAT</t>
  </si>
  <si>
    <t>Min Avg TAT</t>
  </si>
  <si>
    <t>Min Avg TAT Store</t>
  </si>
  <si>
    <t>Max Avg Days</t>
  </si>
  <si>
    <t>Stage (Max Days)</t>
  </si>
  <si>
    <t>Column Labels</t>
  </si>
  <si>
    <t>Row Labels</t>
  </si>
  <si>
    <t>Cold Lead %</t>
  </si>
  <si>
    <t>Hot Lead %</t>
  </si>
  <si>
    <t>High Potential Leads</t>
  </si>
  <si>
    <t>Delivered</t>
  </si>
  <si>
    <t>Total Cancellations</t>
  </si>
  <si>
    <t>Cancellation %</t>
  </si>
  <si>
    <t>Max Cancellation Count</t>
  </si>
  <si>
    <t>Reason</t>
  </si>
  <si>
    <t>Max Cancellation Count by City</t>
  </si>
  <si>
    <t>City</t>
  </si>
  <si>
    <t>Count of Customer Rating</t>
  </si>
  <si>
    <t>Detractor</t>
  </si>
  <si>
    <t>Passive</t>
  </si>
  <si>
    <t>Promoter</t>
  </si>
  <si>
    <t>NPS</t>
  </si>
  <si>
    <t>% of Promoters</t>
  </si>
  <si>
    <t>% of Detractors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</si>
</sst>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dd\-mm\-yyyy;@"/>
    <numFmt numFmtId="173" formatCode="dd\.mm\.yyyy;@"/>
    <numFmt numFmtId="174" formatCode="dd/mm/yy;@"/>
  </numFmts>
  <fonts count="9"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b/>
      <sz val="11"/>
      <color theme="1"/>
      <name val="Calibri"/>
      <scheme val="minor"/>
    </font>
    <font>
      <sz val="11"/>
      <color theme="1"/>
      <name val="Calibri"/>
      <scheme val="minor"/>
    </font>
    <font>
      <sz val="11"/>
      <color theme="1"/>
      <name val="Calibri"/>
    </font>
    <font>
      <b/>
      <sz val="11"/>
      <color theme="1"/>
      <name val="Calibri"/>
      <family val="2"/>
      <scheme val="minor"/>
    </font>
    <font>
      <sz val="11"/>
      <color theme="0"/>
      <name val="Calibri"/>
      <family val="2"/>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theme="6" tint="0.39997558519241921"/>
      </left>
      <right/>
      <top style="thin">
        <color theme="6" tint="0.39997558519241921"/>
      </top>
      <bottom/>
      <diagonal/>
    </border>
  </borders>
  <cellStyleXfs count="1">
    <xf numFmtId="0" fontId="0" fillId="0" borderId="0"/>
  </cellStyleXfs>
  <cellXfs count="32">
    <xf numFmtId="0" fontId="0" fillId="0" borderId="0" xfId="0"/>
    <xf numFmtId="0" fontId="3" fillId="0" borderId="1" xfId="0" applyFont="1" applyBorder="1" applyAlignment="1">
      <alignment horizontal="center" vertical="top"/>
    </xf>
    <xf numFmtId="0" fontId="4" fillId="0" borderId="0" xfId="0" applyFont="1"/>
    <xf numFmtId="0" fontId="5" fillId="0" borderId="0" xfId="0" applyFont="1"/>
    <xf numFmtId="164" fontId="6" fillId="0" borderId="0" xfId="0" applyNumberFormat="1" applyFont="1"/>
    <xf numFmtId="0" fontId="3" fillId="0" borderId="2"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 fontId="3" fillId="0" borderId="1" xfId="0" applyNumberFormat="1" applyFont="1" applyBorder="1" applyAlignment="1">
      <alignment horizontal="center" vertical="top"/>
    </xf>
    <xf numFmtId="1" fontId="6" fillId="0" borderId="0" xfId="0" applyNumberFormat="1" applyFont="1"/>
    <xf numFmtId="1" fontId="0" fillId="0" borderId="0" xfId="0" applyNumberFormat="1"/>
    <xf numFmtId="165" fontId="3" fillId="0" borderId="1" xfId="0" applyNumberFormat="1" applyFont="1" applyBorder="1" applyAlignment="1">
      <alignment horizontal="center" vertical="top"/>
    </xf>
    <xf numFmtId="165" fontId="6" fillId="0" borderId="0" xfId="0" applyNumberFormat="1" applyFont="1"/>
    <xf numFmtId="165" fontId="0" fillId="0" borderId="0" xfId="0" applyNumberFormat="1"/>
    <xf numFmtId="0" fontId="2" fillId="0" borderId="0" xfId="0" applyFont="1"/>
    <xf numFmtId="0" fontId="4" fillId="0" borderId="3" xfId="0" applyFont="1" applyBorder="1" applyAlignment="1">
      <alignment horizontal="left"/>
    </xf>
    <xf numFmtId="2" fontId="2" fillId="0" borderId="0" xfId="0" applyNumberFormat="1" applyFont="1"/>
    <xf numFmtId="0" fontId="5" fillId="0" borderId="0" xfId="0" applyFont="1" applyAlignment="1">
      <alignment wrapText="1"/>
    </xf>
    <xf numFmtId="0" fontId="3" fillId="0" borderId="1" xfId="0" applyFont="1" applyBorder="1" applyAlignment="1">
      <alignment horizontal="center" vertical="top" wrapText="1"/>
    </xf>
    <xf numFmtId="0" fontId="7" fillId="0" borderId="0" xfId="0" applyFont="1"/>
    <xf numFmtId="1" fontId="3" fillId="0" borderId="1" xfId="0" applyNumberFormat="1" applyFont="1" applyBorder="1" applyAlignment="1">
      <alignment horizontal="center" vertical="top" wrapText="1"/>
    </xf>
    <xf numFmtId="0" fontId="0" fillId="0" borderId="0" xfId="0" applyAlignment="1">
      <alignment wrapText="1"/>
    </xf>
    <xf numFmtId="0" fontId="0" fillId="0" borderId="0" xfId="0" applyNumberFormat="1"/>
    <xf numFmtId="0" fontId="8" fillId="0" borderId="0" xfId="0" applyFont="1"/>
    <xf numFmtId="0" fontId="7" fillId="0" borderId="0" xfId="0" applyNumberFormat="1" applyFont="1"/>
    <xf numFmtId="0" fontId="1" fillId="0" borderId="0" xfId="0" applyFont="1"/>
    <xf numFmtId="173" fontId="3" fillId="0" borderId="1" xfId="0" applyNumberFormat="1" applyFont="1" applyBorder="1" applyAlignment="1">
      <alignment horizontal="center" vertical="top"/>
    </xf>
    <xf numFmtId="174" fontId="3" fillId="0" borderId="1" xfId="0" applyNumberFormat="1" applyFont="1" applyBorder="1" applyAlignment="1">
      <alignment horizontal="center" vertical="top"/>
    </xf>
    <xf numFmtId="174" fontId="6" fillId="0" borderId="0" xfId="0" applyNumberFormat="1" applyFont="1"/>
    <xf numFmtId="174" fontId="0" fillId="0" borderId="0" xfId="0" applyNumberFormat="1"/>
  </cellXfs>
  <cellStyles count="1">
    <cellStyle name="Normal" xfId="0" builtinId="0"/>
  </cellStyles>
  <dxfs count="90">
    <dxf>
      <font>
        <b val="0"/>
        <i val="0"/>
        <strike val="0"/>
        <condense val="0"/>
        <extend val="0"/>
        <outline val="0"/>
        <shadow val="0"/>
        <u val="none"/>
        <vertAlign val="baseline"/>
        <sz val="11"/>
        <color theme="1"/>
        <name val="Calibri"/>
        <scheme val="none"/>
      </font>
      <numFmt numFmtId="174" formatCode="dd/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74" formatCode="dd/mm/yy;@"/>
      <alignment horizontal="general" vertical="bottom" textRotation="0" wrapText="0" indent="0" justifyLastLine="0" shrinkToFit="0" readingOrder="0"/>
    </dxf>
    <dxf>
      <font>
        <color theme="0"/>
      </font>
    </dxf>
    <dxf>
      <font>
        <b/>
        <family val="2"/>
      </font>
    </dxf>
    <dxf>
      <font>
        <color theme="0"/>
      </font>
    </dxf>
    <dxf>
      <font>
        <color theme="0"/>
      </font>
    </dxf>
    <dxf>
      <font>
        <b/>
        <family val="2"/>
      </font>
    </dxf>
    <dxf>
      <font>
        <color theme="0"/>
      </font>
    </dxf>
    <dxf>
      <font>
        <color theme="0"/>
      </font>
    </dxf>
    <dxf>
      <font>
        <b/>
        <family val="2"/>
      </font>
    </dxf>
    <dxf>
      <font>
        <color theme="0"/>
      </font>
    </dxf>
    <dxf>
      <font>
        <color theme="0"/>
      </font>
    </dxf>
    <dxf>
      <font>
        <b/>
        <family val="2"/>
      </font>
    </dxf>
    <dxf>
      <font>
        <color theme="0"/>
      </font>
    </dxf>
    <dxf>
      <font>
        <color theme="0"/>
      </font>
    </dxf>
    <dxf>
      <font>
        <b/>
        <family val="2"/>
      </font>
    </dxf>
    <dxf>
      <font>
        <color theme="0"/>
      </font>
    </dxf>
    <dxf>
      <font>
        <color theme="0"/>
      </font>
    </dxf>
    <dxf>
      <font>
        <b/>
        <family val="2"/>
      </font>
    </dxf>
    <dxf>
      <font>
        <color theme="0"/>
      </font>
    </dxf>
    <dxf>
      <font>
        <color theme="0"/>
      </font>
    </dxf>
    <dxf>
      <font>
        <b/>
        <family val="2"/>
      </font>
    </dxf>
    <dxf>
      <font>
        <color theme="0"/>
      </font>
    </dxf>
    <dxf>
      <font>
        <color theme="0"/>
      </font>
    </dxf>
    <dxf>
      <font>
        <b/>
        <family val="2"/>
      </font>
    </dxf>
    <dxf>
      <font>
        <color theme="0"/>
      </font>
    </dxf>
    <dxf>
      <font>
        <color theme="0"/>
      </font>
    </dxf>
    <dxf>
      <font>
        <b/>
        <family val="2"/>
      </font>
    </dxf>
    <dxf>
      <font>
        <color theme="0"/>
      </font>
    </dxf>
    <dxf>
      <font>
        <color theme="0"/>
      </font>
    </dxf>
    <dxf>
      <font>
        <b/>
        <family val="2"/>
      </font>
    </dxf>
    <dxf>
      <font>
        <color theme="0"/>
      </font>
    </dxf>
    <dxf>
      <font>
        <color rgb="FF9C0006"/>
      </font>
      <fill>
        <patternFill>
          <bgColor rgb="FFFFC7CE"/>
        </patternFill>
      </fill>
    </dxf>
    <dxf>
      <font>
        <color theme="0"/>
      </font>
    </dxf>
    <dxf>
      <font>
        <b/>
        <family val="2"/>
      </font>
    </dxf>
    <dxf>
      <font>
        <color theme="0"/>
      </font>
    </dxf>
    <dxf>
      <font>
        <color theme="0"/>
      </font>
    </dxf>
    <dxf>
      <font>
        <b/>
        <family val="2"/>
      </font>
    </dxf>
    <dxf>
      <font>
        <color theme="0"/>
      </font>
    </dxf>
    <dxf>
      <font>
        <color theme="0"/>
      </font>
    </dxf>
    <dxf>
      <font>
        <b/>
        <family val="2"/>
      </font>
    </dxf>
    <dxf>
      <font>
        <color theme="0"/>
      </font>
    </dxf>
    <dxf>
      <font>
        <color theme="0"/>
      </font>
    </dxf>
    <dxf>
      <font>
        <b/>
        <family val="2"/>
      </font>
    </dxf>
    <dxf>
      <font>
        <color theme="0"/>
      </font>
    </dxf>
    <dxf>
      <font>
        <color theme="0"/>
      </font>
    </dxf>
    <dxf>
      <font>
        <b/>
        <family val="2"/>
      </font>
    </dxf>
    <dxf>
      <font>
        <color theme="0"/>
      </font>
    </dxf>
    <dxf>
      <font>
        <color theme="0"/>
      </font>
    </dxf>
    <dxf>
      <font>
        <b/>
        <family val="2"/>
      </font>
    </dxf>
    <dxf>
      <font>
        <color theme="0"/>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family val="2"/>
      </font>
    </dxf>
    <dxf>
      <font>
        <color theme="0"/>
      </font>
    </dxf>
    <dxf>
      <numFmt numFmtId="14" formatCode="0.00%"/>
    </dxf>
    <dxf>
      <numFmt numFmtId="14" formatCode="0.00%"/>
    </dxf>
    <dxf>
      <numFmt numFmtId="14" formatCode="0.00%"/>
    </dxf>
    <dxf>
      <numFmt numFmtId="14" formatCode="0.00%"/>
    </dxf>
    <dxf>
      <numFmt numFmtId="14" formatCode="0.00%"/>
    </dxf>
    <dxf>
      <font>
        <color theme="0"/>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i val="0"/>
        <sz val="24"/>
        <name val="Calibri"/>
        <family val="2"/>
        <scheme val="major"/>
      </font>
      <fill>
        <gradientFill degree="90">
          <stop position="0">
            <color theme="0"/>
          </stop>
          <stop position="1">
            <color theme="0"/>
          </stop>
        </gradientFill>
      </fill>
    </dxf>
    <dxf>
      <font>
        <b/>
        <i val="0"/>
        <sz val="20"/>
        <name val="Calibri"/>
        <family val="2"/>
        <scheme val="major"/>
      </font>
      <fill>
        <gradientFill>
          <stop position="0">
            <color theme="0"/>
          </stop>
          <stop position="1">
            <color theme="0"/>
          </stop>
        </gradientFill>
      </fill>
      <border>
        <left style="thin">
          <color auto="1"/>
        </left>
        <right style="thin">
          <color auto="1"/>
        </right>
        <top style="thin">
          <color auto="1"/>
        </top>
        <bottom style="thin">
          <color auto="1"/>
        </bottom>
      </border>
    </dxf>
    <dxf>
      <fill>
        <gradientFill type="path" left="0.5" right="0.5" top="0.5" bottom="0.5">
          <stop position="0">
            <color rgb="FF92D050"/>
          </stop>
          <stop position="1">
            <color theme="8" tint="0.59999389629810485"/>
          </stop>
        </gradientFill>
      </fill>
      <border diagonalDown="1">
        <left style="thin">
          <color auto="1"/>
        </left>
        <right style="thin">
          <color auto="1"/>
        </right>
        <top style="thin">
          <color auto="1"/>
        </top>
        <bottom style="thin">
          <color auto="1"/>
        </bottom>
        <diagonal style="thin">
          <color auto="1"/>
        </diagonal>
      </border>
    </dxf>
    <dxf>
      <font>
        <b/>
        <i val="0"/>
        <sz val="20"/>
        <name val="Calibri"/>
        <family val="2"/>
        <scheme val="major"/>
      </font>
      <fill>
        <patternFill>
          <bgColor theme="6" tint="0.79998168889431442"/>
        </patternFill>
      </fill>
    </dxf>
    <dxf>
      <font>
        <b/>
        <i val="0"/>
        <sz val="20"/>
        <name val="Calibri"/>
        <family val="2"/>
        <scheme val="major"/>
      </font>
    </dxf>
  </dxfs>
  <tableStyles count="4" defaultTableStyle="TableStyleMedium2" defaultPivotStyle="PivotStyleLight16">
    <tableStyle name="Slicer Style 1" pivot="0" table="0" count="1" xr9:uid="{515222C6-3BD8-4954-9170-37D9B8EE983F}">
      <tableStyleElement type="wholeTable" dxfId="89"/>
    </tableStyle>
    <tableStyle name="Slicer Style 2" pivot="0" table="0" count="1" xr9:uid="{6302EE1E-0EE4-474C-B4DE-EF85BAC7A9F0}">
      <tableStyleElement type="wholeTable" dxfId="88"/>
    </tableStyle>
    <tableStyle name="Slicer Style 3" pivot="0" table="0" count="1" xr9:uid="{76665EA8-ABE0-4979-9F5C-98028A9DE9FD}">
      <tableStyleElement type="wholeTable" dxfId="87"/>
    </tableStyle>
    <tableStyle name="Slicer Style 4" pivot="0" table="0" count="6" xr9:uid="{75F035FB-7F1C-400D-8862-0F4BB9C75440}">
      <tableStyleElement type="wholeTable" dxfId="86"/>
      <tableStyleElement type="headerRow" dxfId="85"/>
    </tableStyle>
  </tableStyles>
  <colors>
    <mruColors>
      <color rgb="FFFA7A7A"/>
    </mruColors>
  </colors>
  <extLst>
    <ext xmlns:x14="http://schemas.microsoft.com/office/spreadsheetml/2009/9/main" uri="{46F421CA-312F-682f-3DD2-61675219B42D}">
      <x14:dxfs count="4">
        <dxf>
          <fill>
            <gradientFill degree="90">
              <stop position="0">
                <color theme="6" tint="0.40000610370189521"/>
              </stop>
              <stop position="1">
                <color theme="6" tint="0.40000610370189521"/>
              </stop>
            </gradientFill>
          </fill>
        </dxf>
        <dxf>
          <fill>
            <gradientFill degree="90">
              <stop position="0">
                <color theme="4" tint="0.59999389629810485"/>
              </stop>
              <stop position="1">
                <color theme="6" tint="0.40000610370189521"/>
              </stop>
            </gradientFill>
          </fill>
        </dxf>
        <dxf>
          <fill>
            <gradientFill degree="90">
              <stop position="0">
                <color theme="0"/>
              </stop>
              <stop position="1">
                <color theme="0"/>
              </stop>
            </gradientFill>
          </fill>
        </dxf>
        <dxf>
          <fill>
            <gradientFill degree="90">
              <stop position="0">
                <color theme="6" tint="0.40000610370189521"/>
              </stop>
              <stop position="1">
                <color theme="6" tint="0.40000610370189521"/>
              </stop>
            </gradient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TAT</a:t>
            </a:r>
            <a:r>
              <a:rPr lang="en-IN" b="1" baseline="0">
                <a:solidFill>
                  <a:schemeClr val="tx1"/>
                </a:solidFill>
              </a:rPr>
              <a:t> Performace by Stage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847727595471414"/>
          <c:y val="9.4680181829167306E-2"/>
          <c:w val="0.79211124588870929"/>
          <c:h val="0.77561278922849453"/>
        </c:manualLayout>
      </c:layout>
      <c:barChart>
        <c:barDir val="bar"/>
        <c:grouping val="clustered"/>
        <c:varyColors val="0"/>
        <c:ser>
          <c:idx val="0"/>
          <c:order val="0"/>
          <c:tx>
            <c:strRef>
              <c:f>'TAT Summary'!$B$100</c:f>
              <c:strCache>
                <c:ptCount val="1"/>
                <c:pt idx="0">
                  <c:v>Pre-Booking (Avg Days)</c:v>
                </c:pt>
              </c:strCache>
            </c:strRef>
          </c:tx>
          <c:spPr>
            <a:solidFill>
              <a:schemeClr val="accent3">
                <a:shade val="6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 Summary'!$A$101:$A$104</c:f>
              <c:strCache>
                <c:ptCount val="4"/>
                <c:pt idx="0">
                  <c:v>Bangalore MBC</c:v>
                </c:pt>
                <c:pt idx="1">
                  <c:v>Chennai MBC</c:v>
                </c:pt>
                <c:pt idx="2">
                  <c:v>Delhi MBC</c:v>
                </c:pt>
                <c:pt idx="3">
                  <c:v>Mumbai MBC</c:v>
                </c:pt>
              </c:strCache>
            </c:strRef>
          </c:cat>
          <c:val>
            <c:numRef>
              <c:f>'TAT Summary'!$B$101:$B$104</c:f>
              <c:numCache>
                <c:formatCode>0.00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0-7EF8-49E8-BDE1-58D2D86468C3}"/>
            </c:ext>
          </c:extLst>
        </c:ser>
        <c:ser>
          <c:idx val="1"/>
          <c:order val="1"/>
          <c:tx>
            <c:strRef>
              <c:f>'TAT Summary'!$C$100</c:f>
              <c:strCache>
                <c:ptCount val="1"/>
                <c:pt idx="0">
                  <c:v>Booking (Avg Days)</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 Summary'!$A$101:$A$104</c:f>
              <c:strCache>
                <c:ptCount val="4"/>
                <c:pt idx="0">
                  <c:v>Bangalore MBC</c:v>
                </c:pt>
                <c:pt idx="1">
                  <c:v>Chennai MBC</c:v>
                </c:pt>
                <c:pt idx="2">
                  <c:v>Delhi MBC</c:v>
                </c:pt>
                <c:pt idx="3">
                  <c:v>Mumbai MBC</c:v>
                </c:pt>
              </c:strCache>
            </c:strRef>
          </c:cat>
          <c:val>
            <c:numRef>
              <c:f>'TAT Summary'!$C$101:$C$104</c:f>
              <c:numCache>
                <c:formatCode>0.00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1-7EF8-49E8-BDE1-58D2D86468C3}"/>
            </c:ext>
          </c:extLst>
        </c:ser>
        <c:ser>
          <c:idx val="2"/>
          <c:order val="2"/>
          <c:tx>
            <c:strRef>
              <c:f>'TAT Summary'!$D$100</c:f>
              <c:strCache>
                <c:ptCount val="1"/>
                <c:pt idx="0">
                  <c:v>Delivery (Avg Days)</c:v>
                </c:pt>
              </c:strCache>
            </c:strRef>
          </c:tx>
          <c:spPr>
            <a:solidFill>
              <a:schemeClr val="accent3">
                <a:tint val="6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 Summary'!$A$101:$A$104</c:f>
              <c:strCache>
                <c:ptCount val="4"/>
                <c:pt idx="0">
                  <c:v>Bangalore MBC</c:v>
                </c:pt>
                <c:pt idx="1">
                  <c:v>Chennai MBC</c:v>
                </c:pt>
                <c:pt idx="2">
                  <c:v>Delhi MBC</c:v>
                </c:pt>
                <c:pt idx="3">
                  <c:v>Mumbai MBC</c:v>
                </c:pt>
              </c:strCache>
            </c:strRef>
          </c:cat>
          <c:val>
            <c:numRef>
              <c:f>'TAT Summary'!$D$101:$D$104</c:f>
              <c:numCache>
                <c:formatCode>0.00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2-7EF8-49E8-BDE1-58D2D86468C3}"/>
            </c:ext>
          </c:extLst>
        </c:ser>
        <c:dLbls>
          <c:dLblPos val="outEnd"/>
          <c:showLegendKey val="0"/>
          <c:showVal val="1"/>
          <c:showCatName val="0"/>
          <c:showSerName val="0"/>
          <c:showPercent val="0"/>
          <c:showBubbleSize val="0"/>
        </c:dLbls>
        <c:gapWidth val="182"/>
        <c:axId val="1257980512"/>
        <c:axId val="1257992512"/>
      </c:barChart>
      <c:catAx>
        <c:axId val="12579805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92512"/>
        <c:crosses val="autoZero"/>
        <c:auto val="1"/>
        <c:lblAlgn val="ctr"/>
        <c:lblOffset val="100"/>
        <c:noMultiLvlLbl val="0"/>
      </c:catAx>
      <c:valAx>
        <c:axId val="1257992512"/>
        <c:scaling>
          <c:orientation val="minMax"/>
        </c:scaling>
        <c:delete val="1"/>
        <c:axPos val="b"/>
        <c:numFmt formatCode="0.00" sourceLinked="1"/>
        <c:majorTickMark val="none"/>
        <c:minorTickMark val="none"/>
        <c:tickLblPos val="nextTo"/>
        <c:crossAx val="1257980512"/>
        <c:crosses val="autoZero"/>
        <c:crossBetween val="between"/>
      </c:valAx>
      <c:spPr>
        <a:noFill/>
        <a:ln>
          <a:noFill/>
        </a:ln>
        <a:effectLst/>
      </c:spPr>
    </c:plotArea>
    <c:legend>
      <c:legendPos val="b"/>
      <c:layout>
        <c:manualLayout>
          <c:xMode val="edge"/>
          <c:yMode val="edge"/>
          <c:x val="0"/>
          <c:y val="0.91157187043291599"/>
          <c:w val="1"/>
          <c:h val="6.3474941623454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Hot</a:t>
            </a:r>
            <a:r>
              <a:rPr lang="en-IN" b="1" baseline="0">
                <a:solidFill>
                  <a:schemeClr val="tx1"/>
                </a:solidFill>
              </a:rPr>
              <a:t>\Warm\Cold Lead Distribution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27883617827913354"/>
          <c:y val="0.12901150469270362"/>
          <c:w val="0.45168416447944004"/>
          <c:h val="0.85963518013926732"/>
        </c:manualLayout>
      </c:layout>
      <c:doughnutChart>
        <c:varyColors val="1"/>
        <c:ser>
          <c:idx val="0"/>
          <c:order val="0"/>
          <c:tx>
            <c:strRef>
              <c:f>'Lead Type Summary'!$P$100</c:f>
              <c:strCache>
                <c:ptCount val="1"/>
                <c:pt idx="0">
                  <c:v>Bangalore MBC</c:v>
                </c:pt>
              </c:strCache>
            </c:strRef>
          </c:tx>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6-A481-4787-AD70-0359F9CD5F2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D-A481-4787-AD70-0359F9CD5F27}"/>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11-A481-4787-AD70-0359F9CD5F27}"/>
              </c:ext>
            </c:extLst>
          </c:dPt>
          <c:dLbls>
            <c:dLbl>
              <c:idx val="1"/>
              <c:layout>
                <c:manualLayout>
                  <c:x val="-9.6948322536382758E-3"/>
                  <c:y val="-2.2628445381258192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D-A481-4787-AD70-0359F9CD5F27}"/>
                </c:ext>
              </c:extLst>
            </c:dLbl>
            <c:dLbl>
              <c:idx val="2"/>
              <c:layout>
                <c:manualLayout>
                  <c:x val="2.6660788697505013E-2"/>
                  <c:y val="1.1314222690628992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1-A481-4787-AD70-0359F9CD5F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'Lead Type Summary'!$O$101:$O$103</c:f>
              <c:strCache>
                <c:ptCount val="3"/>
                <c:pt idx="0">
                  <c:v>Cold</c:v>
                </c:pt>
                <c:pt idx="1">
                  <c:v>Hot</c:v>
                </c:pt>
                <c:pt idx="2">
                  <c:v>Warm</c:v>
                </c:pt>
              </c:strCache>
            </c:strRef>
          </c:cat>
          <c:val>
            <c:numRef>
              <c:f>'Lead Type Summary'!$P$101:$P$103</c:f>
              <c:numCache>
                <c:formatCode>General</c:formatCode>
                <c:ptCount val="3"/>
                <c:pt idx="0">
                  <c:v>51</c:v>
                </c:pt>
                <c:pt idx="1">
                  <c:v>80</c:v>
                </c:pt>
                <c:pt idx="2">
                  <c:v>132</c:v>
                </c:pt>
              </c:numCache>
            </c:numRef>
          </c:val>
          <c:extLst>
            <c:ext xmlns:c16="http://schemas.microsoft.com/office/drawing/2014/chart" uri="{C3380CC4-5D6E-409C-BE32-E72D297353CC}">
              <c16:uniqueId val="{00000000-A481-4787-AD70-0359F9CD5F27}"/>
            </c:ext>
          </c:extLst>
        </c:ser>
        <c:ser>
          <c:idx val="1"/>
          <c:order val="1"/>
          <c:tx>
            <c:strRef>
              <c:f>'Lead Type Summary'!$Q$100</c:f>
              <c:strCache>
                <c:ptCount val="1"/>
                <c:pt idx="0">
                  <c:v>Chennai MBC</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7-77F0-43CF-AF67-764DF6C06E4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F-A481-4787-AD70-0359F9CD5F27}"/>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C-A481-4787-AD70-0359F9CD5F27}"/>
              </c:ext>
            </c:extLst>
          </c:dPt>
          <c:dLbls>
            <c:dLbl>
              <c:idx val="1"/>
              <c:layout>
                <c:manualLayout>
                  <c:x val="-2.1813372570686006E-2"/>
                  <c:y val="-3.7714075635431588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F-A481-4787-AD70-0359F9CD5F27}"/>
                </c:ext>
              </c:extLst>
            </c:dLbl>
            <c:dLbl>
              <c:idx val="2"/>
              <c:layout>
                <c:manualLayout>
                  <c:x val="2.9084496760914513E-2"/>
                  <c:y val="-1.885703781771517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C-A481-4787-AD70-0359F9CD5F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'Lead Type Summary'!$O$101:$O$103</c:f>
              <c:strCache>
                <c:ptCount val="3"/>
                <c:pt idx="0">
                  <c:v>Cold</c:v>
                </c:pt>
                <c:pt idx="1">
                  <c:v>Hot</c:v>
                </c:pt>
                <c:pt idx="2">
                  <c:v>Warm</c:v>
                </c:pt>
              </c:strCache>
            </c:strRef>
          </c:cat>
          <c:val>
            <c:numRef>
              <c:f>'Lead Type Summary'!$Q$101:$Q$103</c:f>
              <c:numCache>
                <c:formatCode>General</c:formatCode>
                <c:ptCount val="3"/>
                <c:pt idx="0">
                  <c:v>39</c:v>
                </c:pt>
                <c:pt idx="1">
                  <c:v>70</c:v>
                </c:pt>
                <c:pt idx="2">
                  <c:v>103</c:v>
                </c:pt>
              </c:numCache>
            </c:numRef>
          </c:val>
          <c:extLst>
            <c:ext xmlns:c16="http://schemas.microsoft.com/office/drawing/2014/chart" uri="{C3380CC4-5D6E-409C-BE32-E72D297353CC}">
              <c16:uniqueId val="{00000001-A481-4787-AD70-0359F9CD5F27}"/>
            </c:ext>
          </c:extLst>
        </c:ser>
        <c:ser>
          <c:idx val="2"/>
          <c:order val="2"/>
          <c:tx>
            <c:strRef>
              <c:f>'Lead Type Summary'!$R$100</c:f>
              <c:strCache>
                <c:ptCount val="1"/>
                <c:pt idx="0">
                  <c:v>Delhi MBC</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D-77F0-43CF-AF67-764DF6C06E4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10-A481-4787-AD70-0359F9CD5F27}"/>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A-A481-4787-AD70-0359F9CD5F27}"/>
              </c:ext>
            </c:extLst>
          </c:dPt>
          <c:dLbls>
            <c:dLbl>
              <c:idx val="1"/>
              <c:layout>
                <c:manualLayout>
                  <c:x val="-3.8779329014552742E-2"/>
                  <c:y val="6.0342521016688327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A481-4787-AD70-0359F9CD5F27}"/>
                </c:ext>
              </c:extLst>
            </c:dLbl>
            <c:dLbl>
              <c:idx val="2"/>
              <c:layout>
                <c:manualLayout>
                  <c:x val="7.2642538366630696E-3"/>
                  <c:y val="-0.11286486512169619"/>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A481-4787-AD70-0359F9CD5F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'Lead Type Summary'!$O$101:$O$103</c:f>
              <c:strCache>
                <c:ptCount val="3"/>
                <c:pt idx="0">
                  <c:v>Cold</c:v>
                </c:pt>
                <c:pt idx="1">
                  <c:v>Hot</c:v>
                </c:pt>
                <c:pt idx="2">
                  <c:v>Warm</c:v>
                </c:pt>
              </c:strCache>
            </c:strRef>
          </c:cat>
          <c:val>
            <c:numRef>
              <c:f>'Lead Type Summary'!$R$101:$R$103</c:f>
              <c:numCache>
                <c:formatCode>General</c:formatCode>
                <c:ptCount val="3"/>
                <c:pt idx="0">
                  <c:v>51</c:v>
                </c:pt>
                <c:pt idx="1">
                  <c:v>70</c:v>
                </c:pt>
                <c:pt idx="2">
                  <c:v>142</c:v>
                </c:pt>
              </c:numCache>
            </c:numRef>
          </c:val>
          <c:extLst>
            <c:ext xmlns:c16="http://schemas.microsoft.com/office/drawing/2014/chart" uri="{C3380CC4-5D6E-409C-BE32-E72D297353CC}">
              <c16:uniqueId val="{00000002-A481-4787-AD70-0359F9CD5F27}"/>
            </c:ext>
          </c:extLst>
        </c:ser>
        <c:ser>
          <c:idx val="3"/>
          <c:order val="3"/>
          <c:tx>
            <c:strRef>
              <c:f>'Lead Type Summary'!$S$100</c:f>
              <c:strCache>
                <c:ptCount val="1"/>
                <c:pt idx="0">
                  <c:v>Mumbai MBC</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13-77F0-43CF-AF67-764DF6C06E4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E-A481-4787-AD70-0359F9CD5F27}"/>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B-A481-4787-AD70-0359F9CD5F27}"/>
              </c:ext>
            </c:extLst>
          </c:dPt>
          <c:dLbls>
            <c:dLbl>
              <c:idx val="1"/>
              <c:layout>
                <c:manualLayout>
                  <c:x val="-3.3931912887733742E-2"/>
                  <c:y val="7.1656743707317394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E-A481-4787-AD70-0359F9CD5F27}"/>
                </c:ext>
              </c:extLst>
            </c:dLbl>
            <c:dLbl>
              <c:idx val="2"/>
              <c:layout>
                <c:manualLayout>
                  <c:x val="-2.9084496760914558E-2"/>
                  <c:y val="-0.12445644959691968"/>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A481-4787-AD70-0359F9CD5F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'Lead Type Summary'!$O$101:$O$103</c:f>
              <c:strCache>
                <c:ptCount val="3"/>
                <c:pt idx="0">
                  <c:v>Cold</c:v>
                </c:pt>
                <c:pt idx="1">
                  <c:v>Hot</c:v>
                </c:pt>
                <c:pt idx="2">
                  <c:v>Warm</c:v>
                </c:pt>
              </c:strCache>
            </c:strRef>
          </c:cat>
          <c:val>
            <c:numRef>
              <c:f>'Lead Type Summary'!$S$101:$S$103</c:f>
              <c:numCache>
                <c:formatCode>General</c:formatCode>
                <c:ptCount val="3"/>
                <c:pt idx="0">
                  <c:v>47</c:v>
                </c:pt>
                <c:pt idx="1">
                  <c:v>83</c:v>
                </c:pt>
                <c:pt idx="2">
                  <c:v>132</c:v>
                </c:pt>
              </c:numCache>
            </c:numRef>
          </c:val>
          <c:extLst>
            <c:ext xmlns:c16="http://schemas.microsoft.com/office/drawing/2014/chart" uri="{C3380CC4-5D6E-409C-BE32-E72D297353CC}">
              <c16:uniqueId val="{00000005-A481-4787-AD70-0359F9CD5F2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0846766937820713"/>
          <c:y val="0.36321966906725217"/>
          <c:w val="9.4335014209501758E-2"/>
          <c:h val="0.192212566215429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[EPe BA intern assesment (1) (1).xlsx]NPS Summary!NPS</c:name>
    <c:fmtId val="4"/>
  </c:pivotSource>
  <c:chart>
    <c:title>
      <c:tx>
        <c:rich>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r>
              <a:rPr lang="en-IN" sz="1400">
                <a:solidFill>
                  <a:schemeClr val="tx1">
                    <a:lumMod val="95000"/>
                    <a:lumOff val="5000"/>
                  </a:schemeClr>
                </a:solidFill>
              </a:rPr>
              <a:t>Customer</a:t>
            </a:r>
            <a:r>
              <a:rPr lang="en-IN" sz="1400" baseline="0">
                <a:solidFill>
                  <a:schemeClr val="tx1">
                    <a:lumMod val="95000"/>
                    <a:lumOff val="5000"/>
                  </a:schemeClr>
                </a:solidFill>
              </a:rPr>
              <a:t> Rating Distribution</a:t>
            </a:r>
          </a:p>
        </c:rich>
      </c:tx>
      <c:layout>
        <c:manualLayout>
          <c:xMode val="edge"/>
          <c:yMode val="edge"/>
          <c:x val="5.5630389223203045E-3"/>
          <c:y val="4.3516100957354219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9268081119593796E-3"/>
              <c:y val="2.82186948853614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9224400884647049E-3"/>
              <c:y val="2.821869488536161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9268081119591624E-3"/>
              <c:y val="3.527336860670193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2.9265749373168269E-3"/>
              <c:y val="3.527336860670200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2851114959529043E-5"/>
              <c:y val="1.410934744268077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3084289601973216E-5"/>
              <c:y val="3.527281312058214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9613179590410087E-3"/>
              <c:y val="2.116402116402116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2.9613179590410087E-3"/>
              <c:y val="3.52733686067018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9613179590410087E-3"/>
              <c:y val="2.116402116402116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2.2851114959529043E-5"/>
              <c:y val="1.410934744268077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2.9265749373168269E-3"/>
              <c:y val="3.527336860670200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9224400884647049E-3"/>
              <c:y val="2.821869488536161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9613179590410087E-3"/>
              <c:y val="3.52733686067018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2.3084289601973216E-5"/>
              <c:y val="3.527281312058214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2.9268081119591624E-3"/>
              <c:y val="3.527336860670193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2.9268081119593796E-3"/>
              <c:y val="2.82186948853614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dLbl>
          <c:idx val="0"/>
          <c:layout>
            <c:manualLayout>
              <c:x val="-5.9533126825167962E-3"/>
              <c:y val="-9.2973691604477937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dLbl>
          <c:idx val="0"/>
          <c:layout>
            <c:manualLayout>
              <c:x val="-8.9374562901577779E-3"/>
              <c:y val="-3.2969442788319866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dLbl>
          <c:idx val="0"/>
          <c:layout>
            <c:manualLayout>
              <c:x val="-5.9879412895366231E-3"/>
              <c:y val="-3.8910932478088554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c:spPr>
        <c:dLbl>
          <c:idx val="0"/>
          <c:layout>
            <c:manualLayout>
              <c:x val="-5.9921528768768721E-3"/>
              <c:y val="-6.5942312041282446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3">
              <a:tint val="65000"/>
            </a:schemeClr>
          </a:solidFill>
          <a:ln>
            <a:noFill/>
          </a:ln>
          <a:effectLst/>
        </c:spPr>
        <c:dLbl>
          <c:idx val="0"/>
          <c:layout>
            <c:manualLayout>
              <c:x val="-5.9533126825167416E-3"/>
              <c:y val="-3.8910932478087757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3">
              <a:tint val="65000"/>
            </a:schemeClr>
          </a:solidFill>
          <a:ln>
            <a:noFill/>
          </a:ln>
          <a:effectLst/>
        </c:spPr>
        <c:dLbl>
          <c:idx val="0"/>
          <c:layout>
            <c:manualLayout>
              <c:x val="-8.93769026723229E-3"/>
              <c:y val="-8.2433886364727399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tint val="65000"/>
            </a:schemeClr>
          </a:solidFill>
          <a:ln>
            <a:noFill/>
          </a:ln>
          <a:effectLst/>
        </c:spPr>
        <c:dLbl>
          <c:idx val="0"/>
          <c:layout>
            <c:manualLayout>
              <c:x val="-5.9877073124621101E-3"/>
              <c:y val="-3.8910932478088156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3">
              <a:tint val="65000"/>
            </a:schemeClr>
          </a:solidFill>
          <a:ln>
            <a:noFill/>
          </a:ln>
          <a:effectLst/>
        </c:spPr>
        <c:dLbl>
          <c:idx val="0"/>
          <c:layout>
            <c:manualLayout>
              <c:x val="-5.9877073124621101E-3"/>
              <c:y val="-6.5942312041282246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3">
              <a:shade val="65000"/>
            </a:schemeClr>
          </a:solidFill>
          <a:ln>
            <a:noFill/>
          </a:ln>
          <a:effectLst/>
        </c:spPr>
        <c:dLbl>
          <c:idx val="0"/>
          <c:layout>
            <c:manualLayout>
              <c:x val="-5.9430176912406854E-3"/>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00790514943766"/>
          <c:y val="0.14784612432584307"/>
          <c:w val="0.78199209485056231"/>
          <c:h val="0.76947328385518388"/>
        </c:manualLayout>
      </c:layout>
      <c:barChart>
        <c:barDir val="bar"/>
        <c:grouping val="clustered"/>
        <c:varyColors val="0"/>
        <c:ser>
          <c:idx val="0"/>
          <c:order val="0"/>
          <c:tx>
            <c:strRef>
              <c:f>'NPS Summary'!$B$1:$B$2</c:f>
              <c:strCache>
                <c:ptCount val="1"/>
                <c:pt idx="0">
                  <c:v>Detractor</c:v>
                </c:pt>
              </c:strCache>
            </c:strRef>
          </c:tx>
          <c:spPr>
            <a:solidFill>
              <a:schemeClr val="accent3">
                <a:shade val="65000"/>
              </a:schemeClr>
            </a:solidFill>
            <a:ln>
              <a:noFill/>
            </a:ln>
            <a:effectLst/>
          </c:spPr>
          <c:invertIfNegative val="0"/>
          <c:dPt>
            <c:idx val="3"/>
            <c:invertIfNegative val="0"/>
            <c:bubble3D val="0"/>
            <c:spPr>
              <a:solidFill>
                <a:schemeClr val="accent3">
                  <a:shade val="65000"/>
                </a:schemeClr>
              </a:solidFill>
              <a:ln>
                <a:noFill/>
              </a:ln>
              <a:effectLst/>
            </c:spPr>
            <c:extLst>
              <c:ext xmlns:c16="http://schemas.microsoft.com/office/drawing/2014/chart" uri="{C3380CC4-5D6E-409C-BE32-E72D297353CC}">
                <c16:uniqueId val="{0000000B-5CC8-452A-B154-1E271F5EADA6}"/>
              </c:ext>
            </c:extLst>
          </c:dPt>
          <c:dLbls>
            <c:dLbl>
              <c:idx val="3"/>
              <c:layout>
                <c:manualLayout>
                  <c:x val="-5.943017691240685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C8-452A-B154-1E271F5EADA6}"/>
                </c:ext>
              </c:extLst>
            </c:dLbl>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'NPS Summary'!$A$3:$A$7</c:f>
              <c:strCache>
                <c:ptCount val="4"/>
                <c:pt idx="0">
                  <c:v>Bangalore MBC</c:v>
                </c:pt>
                <c:pt idx="1">
                  <c:v>Chennai MBC</c:v>
                </c:pt>
                <c:pt idx="2">
                  <c:v>Delhi MBC</c:v>
                </c:pt>
                <c:pt idx="3">
                  <c:v>Mumbai MBC</c:v>
                </c:pt>
              </c:strCache>
            </c:strRef>
          </c:cat>
          <c:val>
            <c:numRef>
              <c:f>'NPS Summary'!$B$3:$B$7</c:f>
              <c:numCache>
                <c:formatCode>General</c:formatCode>
                <c:ptCount val="4"/>
                <c:pt idx="0">
                  <c:v>134</c:v>
                </c:pt>
                <c:pt idx="1">
                  <c:v>99</c:v>
                </c:pt>
                <c:pt idx="2">
                  <c:v>123</c:v>
                </c:pt>
                <c:pt idx="3">
                  <c:v>138</c:v>
                </c:pt>
              </c:numCache>
            </c:numRef>
          </c:val>
          <c:extLst>
            <c:ext xmlns:c16="http://schemas.microsoft.com/office/drawing/2014/chart" uri="{C3380CC4-5D6E-409C-BE32-E72D297353CC}">
              <c16:uniqueId val="{00000000-5CC8-452A-B154-1E271F5EADA6}"/>
            </c:ext>
          </c:extLst>
        </c:ser>
        <c:ser>
          <c:idx val="1"/>
          <c:order val="1"/>
          <c:tx>
            <c:strRef>
              <c:f>'NPS Summary'!$C$1:$C$2</c:f>
              <c:strCache>
                <c:ptCount val="1"/>
                <c:pt idx="0">
                  <c:v>Passive</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5CC8-452A-B154-1E271F5EADA6}"/>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2-5CC8-452A-B154-1E271F5EADA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3-5CC8-452A-B154-1E271F5EADA6}"/>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4-5CC8-452A-B154-1E271F5EADA6}"/>
              </c:ext>
            </c:extLst>
          </c:dPt>
          <c:dLbls>
            <c:dLbl>
              <c:idx val="0"/>
              <c:layout>
                <c:manualLayout>
                  <c:x val="-5.9533126825167962E-3"/>
                  <c:y val="-9.29736916044779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8-452A-B154-1E271F5EADA6}"/>
                </c:ext>
              </c:extLst>
            </c:dLbl>
            <c:dLbl>
              <c:idx val="1"/>
              <c:layout>
                <c:manualLayout>
                  <c:x val="-8.9374562901577779E-3"/>
                  <c:y val="-3.29694427883198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C8-452A-B154-1E271F5EADA6}"/>
                </c:ext>
              </c:extLst>
            </c:dLbl>
            <c:dLbl>
              <c:idx val="2"/>
              <c:layout>
                <c:manualLayout>
                  <c:x val="-5.9879412895366231E-3"/>
                  <c:y val="-3.89109324780885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C8-452A-B154-1E271F5EADA6}"/>
                </c:ext>
              </c:extLst>
            </c:dLbl>
            <c:dLbl>
              <c:idx val="3"/>
              <c:layout>
                <c:manualLayout>
                  <c:x val="-5.9921528768768721E-3"/>
                  <c:y val="-6.59423120412824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C8-452A-B154-1E271F5EADA6}"/>
                </c:ext>
              </c:extLst>
            </c:dLbl>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'NPS Summary'!$A$3:$A$7</c:f>
              <c:strCache>
                <c:ptCount val="4"/>
                <c:pt idx="0">
                  <c:v>Bangalore MBC</c:v>
                </c:pt>
                <c:pt idx="1">
                  <c:v>Chennai MBC</c:v>
                </c:pt>
                <c:pt idx="2">
                  <c:v>Delhi MBC</c:v>
                </c:pt>
                <c:pt idx="3">
                  <c:v>Mumbai MBC</c:v>
                </c:pt>
              </c:strCache>
            </c:strRef>
          </c:cat>
          <c:val>
            <c:numRef>
              <c:f>'NPS Summary'!$C$3:$C$7</c:f>
              <c:numCache>
                <c:formatCode>General</c:formatCode>
                <c:ptCount val="4"/>
                <c:pt idx="0">
                  <c:v>34</c:v>
                </c:pt>
                <c:pt idx="1">
                  <c:v>26</c:v>
                </c:pt>
                <c:pt idx="2">
                  <c:v>33</c:v>
                </c:pt>
                <c:pt idx="3">
                  <c:v>38</c:v>
                </c:pt>
              </c:numCache>
            </c:numRef>
          </c:val>
          <c:extLst>
            <c:ext xmlns:c16="http://schemas.microsoft.com/office/drawing/2014/chart" uri="{C3380CC4-5D6E-409C-BE32-E72D297353CC}">
              <c16:uniqueId val="{00000005-5CC8-452A-B154-1E271F5EADA6}"/>
            </c:ext>
          </c:extLst>
        </c:ser>
        <c:ser>
          <c:idx val="2"/>
          <c:order val="2"/>
          <c:tx>
            <c:strRef>
              <c:f>'NPS Summary'!$D$1:$D$2</c:f>
              <c:strCache>
                <c:ptCount val="1"/>
                <c:pt idx="0">
                  <c:v>Promoter</c:v>
                </c:pt>
              </c:strCache>
            </c:strRef>
          </c:tx>
          <c:spPr>
            <a:solidFill>
              <a:schemeClr val="accent3">
                <a:tint val="65000"/>
              </a:schemeClr>
            </a:solidFill>
            <a:ln>
              <a:noFill/>
            </a:ln>
            <a:effectLst/>
          </c:spPr>
          <c:invertIfNegative val="0"/>
          <c:dPt>
            <c:idx val="0"/>
            <c:invertIfNegative val="0"/>
            <c:bubble3D val="0"/>
            <c:spPr>
              <a:solidFill>
                <a:schemeClr val="accent3">
                  <a:tint val="65000"/>
                </a:schemeClr>
              </a:solidFill>
              <a:ln>
                <a:noFill/>
              </a:ln>
              <a:effectLst/>
            </c:spPr>
            <c:extLst>
              <c:ext xmlns:c16="http://schemas.microsoft.com/office/drawing/2014/chart" uri="{C3380CC4-5D6E-409C-BE32-E72D297353CC}">
                <c16:uniqueId val="{00000006-5CC8-452A-B154-1E271F5EADA6}"/>
              </c:ext>
            </c:extLst>
          </c:dPt>
          <c:dPt>
            <c:idx val="1"/>
            <c:invertIfNegative val="0"/>
            <c:bubble3D val="0"/>
            <c:spPr>
              <a:solidFill>
                <a:schemeClr val="accent3">
                  <a:tint val="65000"/>
                </a:schemeClr>
              </a:solidFill>
              <a:ln>
                <a:noFill/>
              </a:ln>
              <a:effectLst/>
            </c:spPr>
            <c:extLst>
              <c:ext xmlns:c16="http://schemas.microsoft.com/office/drawing/2014/chart" uri="{C3380CC4-5D6E-409C-BE32-E72D297353CC}">
                <c16:uniqueId val="{00000007-5CC8-452A-B154-1E271F5EADA6}"/>
              </c:ext>
            </c:extLst>
          </c:dPt>
          <c:dPt>
            <c:idx val="2"/>
            <c:invertIfNegative val="0"/>
            <c:bubble3D val="0"/>
            <c:spPr>
              <a:solidFill>
                <a:schemeClr val="accent3">
                  <a:tint val="65000"/>
                </a:schemeClr>
              </a:solidFill>
              <a:ln>
                <a:noFill/>
              </a:ln>
              <a:effectLst/>
            </c:spPr>
            <c:extLst>
              <c:ext xmlns:c16="http://schemas.microsoft.com/office/drawing/2014/chart" uri="{C3380CC4-5D6E-409C-BE32-E72D297353CC}">
                <c16:uniqueId val="{00000008-5CC8-452A-B154-1E271F5EADA6}"/>
              </c:ext>
            </c:extLst>
          </c:dPt>
          <c:dPt>
            <c:idx val="3"/>
            <c:invertIfNegative val="0"/>
            <c:bubble3D val="0"/>
            <c:spPr>
              <a:solidFill>
                <a:schemeClr val="accent3">
                  <a:tint val="65000"/>
                </a:schemeClr>
              </a:solidFill>
              <a:ln>
                <a:noFill/>
              </a:ln>
              <a:effectLst/>
            </c:spPr>
            <c:extLst>
              <c:ext xmlns:c16="http://schemas.microsoft.com/office/drawing/2014/chart" uri="{C3380CC4-5D6E-409C-BE32-E72D297353CC}">
                <c16:uniqueId val="{00000009-5CC8-452A-B154-1E271F5EADA6}"/>
              </c:ext>
            </c:extLst>
          </c:dPt>
          <c:dLbls>
            <c:dLbl>
              <c:idx val="0"/>
              <c:layout>
                <c:manualLayout>
                  <c:x val="-5.9533126825167416E-3"/>
                  <c:y val="-3.89109324780877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C8-452A-B154-1E271F5EADA6}"/>
                </c:ext>
              </c:extLst>
            </c:dLbl>
            <c:dLbl>
              <c:idx val="1"/>
              <c:layout>
                <c:manualLayout>
                  <c:x val="-8.93769026723229E-3"/>
                  <c:y val="-8.24338863647273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C8-452A-B154-1E271F5EADA6}"/>
                </c:ext>
              </c:extLst>
            </c:dLbl>
            <c:dLbl>
              <c:idx val="2"/>
              <c:layout>
                <c:manualLayout>
                  <c:x val="-5.9877073124621101E-3"/>
                  <c:y val="-3.89109324780881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C8-452A-B154-1E271F5EADA6}"/>
                </c:ext>
              </c:extLst>
            </c:dLbl>
            <c:dLbl>
              <c:idx val="3"/>
              <c:layout>
                <c:manualLayout>
                  <c:x val="-5.9877073124621101E-3"/>
                  <c:y val="-6.59423120412822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C8-452A-B154-1E271F5EADA6}"/>
                </c:ext>
              </c:extLst>
            </c:dLbl>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'NPS Summary'!$A$3:$A$7</c:f>
              <c:strCache>
                <c:ptCount val="4"/>
                <c:pt idx="0">
                  <c:v>Bangalore MBC</c:v>
                </c:pt>
                <c:pt idx="1">
                  <c:v>Chennai MBC</c:v>
                </c:pt>
                <c:pt idx="2">
                  <c:v>Delhi MBC</c:v>
                </c:pt>
                <c:pt idx="3">
                  <c:v>Mumbai MBC</c:v>
                </c:pt>
              </c:strCache>
            </c:strRef>
          </c:cat>
          <c:val>
            <c:numRef>
              <c:f>'NPS Summary'!$D$3:$D$7</c:f>
              <c:numCache>
                <c:formatCode>General</c:formatCode>
                <c:ptCount val="4"/>
                <c:pt idx="0">
                  <c:v>23</c:v>
                </c:pt>
                <c:pt idx="1">
                  <c:v>28</c:v>
                </c:pt>
                <c:pt idx="2">
                  <c:v>30</c:v>
                </c:pt>
                <c:pt idx="3">
                  <c:v>23</c:v>
                </c:pt>
              </c:numCache>
            </c:numRef>
          </c:val>
          <c:extLst>
            <c:ext xmlns:c16="http://schemas.microsoft.com/office/drawing/2014/chart" uri="{C3380CC4-5D6E-409C-BE32-E72D297353CC}">
              <c16:uniqueId val="{0000000A-5CC8-452A-B154-1E271F5EADA6}"/>
            </c:ext>
          </c:extLst>
        </c:ser>
        <c:dLbls>
          <c:showLegendKey val="0"/>
          <c:showVal val="1"/>
          <c:showCatName val="0"/>
          <c:showSerName val="0"/>
          <c:showPercent val="0"/>
          <c:showBubbleSize val="0"/>
        </c:dLbls>
        <c:gapWidth val="150"/>
        <c:axId val="1265392640"/>
        <c:axId val="1262210432"/>
      </c:barChart>
      <c:catAx>
        <c:axId val="1265392640"/>
        <c:scaling>
          <c:orientation val="minMax"/>
        </c:scaling>
        <c:delete val="0"/>
        <c:axPos val="l"/>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62210432"/>
        <c:crosses val="autoZero"/>
        <c:auto val="1"/>
        <c:lblAlgn val="ctr"/>
        <c:lblOffset val="100"/>
        <c:noMultiLvlLbl val="0"/>
      </c:catAx>
      <c:valAx>
        <c:axId val="1262210432"/>
        <c:scaling>
          <c:orientation val="minMax"/>
        </c:scaling>
        <c:delete val="1"/>
        <c:axPos val="b"/>
        <c:numFmt formatCode="General" sourceLinked="1"/>
        <c:majorTickMark val="out"/>
        <c:minorTickMark val="none"/>
        <c:tickLblPos val="nextTo"/>
        <c:crossAx val="1265392640"/>
        <c:crosses val="autoZero"/>
        <c:crossBetween val="between"/>
      </c:valAx>
      <c:spPr>
        <a:noFill/>
        <a:ln>
          <a:noFill/>
        </a:ln>
        <a:effectLst/>
      </c:spPr>
    </c:plotArea>
    <c:legend>
      <c:legendPos val="r"/>
      <c:layout>
        <c:manualLayout>
          <c:xMode val="edge"/>
          <c:yMode val="edge"/>
          <c:x val="0.81257313245933538"/>
          <c:y val="0.55619984512379816"/>
          <c:w val="0.10976766152222271"/>
          <c:h val="0.203517427622946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lumMod val="95000"/>
      </a:schemeClr>
    </a:solidFill>
    <a:ln w="6350" cap="flat" cmpd="sng" algn="ctr">
      <a:noFill/>
      <a:prstDash val="solid"/>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IN" sz="2800" b="1">
                <a:solidFill>
                  <a:schemeClr val="tx1"/>
                </a:solidFill>
              </a:rPr>
              <a:t>TAT</a:t>
            </a:r>
            <a:r>
              <a:rPr lang="en-IN" sz="2800" b="1" baseline="0">
                <a:solidFill>
                  <a:schemeClr val="tx1"/>
                </a:solidFill>
              </a:rPr>
              <a:t> Performace by Stage</a:t>
            </a:r>
            <a:endParaRPr lang="en-IN" sz="2800" b="1">
              <a:solidFill>
                <a:schemeClr val="tx1"/>
              </a:solidFill>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847727595471414"/>
          <c:y val="9.4680181829167306E-2"/>
          <c:w val="0.79211124588870929"/>
          <c:h val="0.77561278922849453"/>
        </c:manualLayout>
      </c:layout>
      <c:barChart>
        <c:barDir val="bar"/>
        <c:grouping val="clustered"/>
        <c:varyColors val="0"/>
        <c:ser>
          <c:idx val="0"/>
          <c:order val="0"/>
          <c:tx>
            <c:strRef>
              <c:f>'TAT Summary'!$B$100</c:f>
              <c:strCache>
                <c:ptCount val="1"/>
                <c:pt idx="0">
                  <c:v>Pre-Booking (Avg Days)</c:v>
                </c:pt>
              </c:strCache>
            </c:strRef>
          </c:tx>
          <c:spPr>
            <a:solidFill>
              <a:schemeClr val="accent3">
                <a:shade val="6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 Summary'!$A$101:$A$104</c:f>
              <c:strCache>
                <c:ptCount val="4"/>
                <c:pt idx="0">
                  <c:v>Bangalore MBC</c:v>
                </c:pt>
                <c:pt idx="1">
                  <c:v>Chennai MBC</c:v>
                </c:pt>
                <c:pt idx="2">
                  <c:v>Delhi MBC</c:v>
                </c:pt>
                <c:pt idx="3">
                  <c:v>Mumbai MBC</c:v>
                </c:pt>
              </c:strCache>
            </c:strRef>
          </c:cat>
          <c:val>
            <c:numRef>
              <c:f>'TAT Summary'!$B$101:$B$104</c:f>
              <c:numCache>
                <c:formatCode>0.00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0-49E6-4005-BD16-0AD0D95B6D80}"/>
            </c:ext>
          </c:extLst>
        </c:ser>
        <c:ser>
          <c:idx val="1"/>
          <c:order val="1"/>
          <c:tx>
            <c:strRef>
              <c:f>'TAT Summary'!$C$100</c:f>
              <c:strCache>
                <c:ptCount val="1"/>
                <c:pt idx="0">
                  <c:v>Booking (Avg Days)</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 Summary'!$A$101:$A$104</c:f>
              <c:strCache>
                <c:ptCount val="4"/>
                <c:pt idx="0">
                  <c:v>Bangalore MBC</c:v>
                </c:pt>
                <c:pt idx="1">
                  <c:v>Chennai MBC</c:v>
                </c:pt>
                <c:pt idx="2">
                  <c:v>Delhi MBC</c:v>
                </c:pt>
                <c:pt idx="3">
                  <c:v>Mumbai MBC</c:v>
                </c:pt>
              </c:strCache>
            </c:strRef>
          </c:cat>
          <c:val>
            <c:numRef>
              <c:f>'TAT Summary'!$C$101:$C$104</c:f>
              <c:numCache>
                <c:formatCode>0.00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1-49E6-4005-BD16-0AD0D95B6D80}"/>
            </c:ext>
          </c:extLst>
        </c:ser>
        <c:ser>
          <c:idx val="2"/>
          <c:order val="2"/>
          <c:tx>
            <c:strRef>
              <c:f>'TAT Summary'!$D$100</c:f>
              <c:strCache>
                <c:ptCount val="1"/>
                <c:pt idx="0">
                  <c:v>Delivery (Avg Days)</c:v>
                </c:pt>
              </c:strCache>
            </c:strRef>
          </c:tx>
          <c:spPr>
            <a:solidFill>
              <a:schemeClr val="accent3">
                <a:tint val="6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 Summary'!$A$101:$A$104</c:f>
              <c:strCache>
                <c:ptCount val="4"/>
                <c:pt idx="0">
                  <c:v>Bangalore MBC</c:v>
                </c:pt>
                <c:pt idx="1">
                  <c:v>Chennai MBC</c:v>
                </c:pt>
                <c:pt idx="2">
                  <c:v>Delhi MBC</c:v>
                </c:pt>
                <c:pt idx="3">
                  <c:v>Mumbai MBC</c:v>
                </c:pt>
              </c:strCache>
            </c:strRef>
          </c:cat>
          <c:val>
            <c:numRef>
              <c:f>'TAT Summary'!$D$101:$D$104</c:f>
              <c:numCache>
                <c:formatCode>0.00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2-49E6-4005-BD16-0AD0D95B6D80}"/>
            </c:ext>
          </c:extLst>
        </c:ser>
        <c:dLbls>
          <c:dLblPos val="outEnd"/>
          <c:showLegendKey val="0"/>
          <c:showVal val="1"/>
          <c:showCatName val="0"/>
          <c:showSerName val="0"/>
          <c:showPercent val="0"/>
          <c:showBubbleSize val="0"/>
        </c:dLbls>
        <c:gapWidth val="182"/>
        <c:axId val="1257980512"/>
        <c:axId val="1257992512"/>
      </c:barChart>
      <c:catAx>
        <c:axId val="12579805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257992512"/>
        <c:crosses val="autoZero"/>
        <c:auto val="1"/>
        <c:lblAlgn val="ctr"/>
        <c:lblOffset val="100"/>
        <c:noMultiLvlLbl val="0"/>
      </c:catAx>
      <c:valAx>
        <c:axId val="1257992512"/>
        <c:scaling>
          <c:orientation val="minMax"/>
        </c:scaling>
        <c:delete val="1"/>
        <c:axPos val="b"/>
        <c:numFmt formatCode="0.00" sourceLinked="1"/>
        <c:majorTickMark val="none"/>
        <c:minorTickMark val="none"/>
        <c:tickLblPos val="nextTo"/>
        <c:crossAx val="1257980512"/>
        <c:crosses val="autoZero"/>
        <c:crossBetween val="between"/>
      </c:valAx>
      <c:spPr>
        <a:noFill/>
        <a:ln>
          <a:noFill/>
        </a:ln>
        <a:effectLst/>
      </c:spPr>
    </c:plotArea>
    <c:legend>
      <c:legendPos val="b"/>
      <c:layout>
        <c:manualLayout>
          <c:xMode val="edge"/>
          <c:yMode val="edge"/>
          <c:x val="0"/>
          <c:y val="0.92699835847368428"/>
          <c:w val="1"/>
          <c:h val="6.3474941623454406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IN" sz="2800" b="1">
                <a:solidFill>
                  <a:schemeClr val="tx1"/>
                </a:solidFill>
              </a:rPr>
              <a:t>Hot</a:t>
            </a:r>
            <a:r>
              <a:rPr lang="en-IN" sz="2800" b="1" baseline="0">
                <a:solidFill>
                  <a:schemeClr val="tx1"/>
                </a:solidFill>
              </a:rPr>
              <a:t>\Warm\Cold Lead Distribution</a:t>
            </a:r>
            <a:endParaRPr lang="en-IN" sz="2800" b="1">
              <a:solidFill>
                <a:schemeClr val="tx1"/>
              </a:solidFill>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27883617827913354"/>
          <c:y val="0.12901150469270362"/>
          <c:w val="0.45168416447944004"/>
          <c:h val="0.85963518013926732"/>
        </c:manualLayout>
      </c:layout>
      <c:doughnutChart>
        <c:varyColors val="1"/>
        <c:ser>
          <c:idx val="0"/>
          <c:order val="0"/>
          <c:tx>
            <c:strRef>
              <c:f>'Lead Type Summary'!$P$100</c:f>
              <c:strCache>
                <c:ptCount val="1"/>
                <c:pt idx="0">
                  <c:v>Bangalore MBC</c:v>
                </c:pt>
              </c:strCache>
            </c:strRef>
          </c:tx>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A968-48DE-8842-DA033220835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968-48DE-8842-DA033220835E}"/>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A968-48DE-8842-DA033220835E}"/>
              </c:ext>
            </c:extLst>
          </c:dPt>
          <c:dLbls>
            <c:dLbl>
              <c:idx val="0"/>
              <c:layout>
                <c:manualLayout>
                  <c:x val="0"/>
                  <c:y val="1.5706463106507546E-2"/>
                </c:manualLayout>
              </c:layout>
              <c:showLegendKey val="0"/>
              <c:showVal val="1"/>
              <c:showCatName val="0"/>
              <c:showSerName val="1"/>
              <c:showPercent val="0"/>
              <c:showBubbleSize val="0"/>
              <c:extLst>
                <c:ext xmlns:c15="http://schemas.microsoft.com/office/drawing/2012/chart" uri="{CE6537A1-D6FC-4f65-9D91-7224C49458BB}">
                  <c15:layout>
                    <c:manualLayout>
                      <c:w val="0.25298231047863234"/>
                      <c:h val="0.12410331967022199"/>
                    </c:manualLayout>
                  </c15:layout>
                </c:ext>
                <c:ext xmlns:c16="http://schemas.microsoft.com/office/drawing/2014/chart" uri="{C3380CC4-5D6E-409C-BE32-E72D297353CC}">
                  <c16:uniqueId val="{00000001-A968-48DE-8842-DA033220835E}"/>
                </c:ext>
              </c:extLst>
            </c:dLbl>
            <c:dLbl>
              <c:idx val="1"/>
              <c:layout>
                <c:manualLayout>
                  <c:x val="7.8986646284757544E-4"/>
                  <c:y val="-2.3502424018672797E-2"/>
                </c:manualLayout>
              </c:layout>
              <c:showLegendKey val="0"/>
              <c:showVal val="1"/>
              <c:showCatName val="0"/>
              <c:showSerName val="1"/>
              <c:showPercent val="0"/>
              <c:showBubbleSize val="0"/>
              <c:extLst>
                <c:ext xmlns:c15="http://schemas.microsoft.com/office/drawing/2012/chart" uri="{CE6537A1-D6FC-4f65-9D91-7224C49458BB}">
                  <c15:layout>
                    <c:manualLayout>
                      <c:w val="0.27026866416045081"/>
                      <c:h val="0.12390462302486414"/>
                    </c:manualLayout>
                  </c15:layout>
                </c:ext>
                <c:ext xmlns:c16="http://schemas.microsoft.com/office/drawing/2014/chart" uri="{C3380CC4-5D6E-409C-BE32-E72D297353CC}">
                  <c16:uniqueId val="{00000003-A968-48DE-8842-DA033220835E}"/>
                </c:ext>
              </c:extLst>
            </c:dLbl>
            <c:dLbl>
              <c:idx val="2"/>
              <c:showLegendKey val="0"/>
              <c:showVal val="1"/>
              <c:showCatName val="0"/>
              <c:showSerName val="1"/>
              <c:showPercent val="0"/>
              <c:showBubbleSize val="0"/>
              <c:extLst>
                <c:ext xmlns:c15="http://schemas.microsoft.com/office/drawing/2012/chart" uri="{CE6537A1-D6FC-4f65-9D91-7224C49458BB}">
                  <c15:layout>
                    <c:manualLayout>
                      <c:w val="0.28659437715936753"/>
                      <c:h val="0.12547319090248094"/>
                    </c:manualLayout>
                  </c15:layout>
                </c:ext>
                <c:ext xmlns:c16="http://schemas.microsoft.com/office/drawing/2014/chart" uri="{C3380CC4-5D6E-409C-BE32-E72D297353CC}">
                  <c16:uniqueId val="{00000005-A968-48DE-8842-DA033220835E}"/>
                </c:ext>
              </c:extLst>
            </c:dLbl>
            <c:spPr>
              <a:no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'Lead Type Summary'!$O$101:$O$103</c:f>
              <c:strCache>
                <c:ptCount val="3"/>
                <c:pt idx="0">
                  <c:v>Cold</c:v>
                </c:pt>
                <c:pt idx="1">
                  <c:v>Hot</c:v>
                </c:pt>
                <c:pt idx="2">
                  <c:v>Warm</c:v>
                </c:pt>
              </c:strCache>
            </c:strRef>
          </c:cat>
          <c:val>
            <c:numRef>
              <c:f>'Lead Type Summary'!$P$101:$P$103</c:f>
              <c:numCache>
                <c:formatCode>General</c:formatCode>
                <c:ptCount val="3"/>
                <c:pt idx="0">
                  <c:v>51</c:v>
                </c:pt>
                <c:pt idx="1">
                  <c:v>80</c:v>
                </c:pt>
                <c:pt idx="2">
                  <c:v>132</c:v>
                </c:pt>
              </c:numCache>
            </c:numRef>
          </c:val>
          <c:extLst>
            <c:ext xmlns:c16="http://schemas.microsoft.com/office/drawing/2014/chart" uri="{C3380CC4-5D6E-409C-BE32-E72D297353CC}">
              <c16:uniqueId val="{00000006-A968-48DE-8842-DA033220835E}"/>
            </c:ext>
          </c:extLst>
        </c:ser>
        <c:ser>
          <c:idx val="1"/>
          <c:order val="1"/>
          <c:tx>
            <c:strRef>
              <c:f>'Lead Type Summary'!$Q$100</c:f>
              <c:strCache>
                <c:ptCount val="1"/>
                <c:pt idx="0">
                  <c:v>Chennai MBC</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8-A968-48DE-8842-DA033220835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A-A968-48DE-8842-DA033220835E}"/>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C-A968-48DE-8842-DA033220835E}"/>
              </c:ext>
            </c:extLst>
          </c:dPt>
          <c:dLbls>
            <c:dLbl>
              <c:idx val="1"/>
              <c:layout>
                <c:manualLayout>
                  <c:x val="-9.0458632388939978E-3"/>
                  <c:y val="-7.8289499775303934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A968-48DE-8842-DA033220835E}"/>
                </c:ext>
              </c:extLst>
            </c:dLbl>
            <c:dLbl>
              <c:idx val="2"/>
              <c:layout>
                <c:manualLayout>
                  <c:x val="-2.1648189821994891E-2"/>
                  <c:y val="-3.4036401496372222E-2"/>
                </c:manualLayout>
              </c:layout>
              <c:showLegendKey val="0"/>
              <c:showVal val="1"/>
              <c:showCatName val="0"/>
              <c:showSerName val="1"/>
              <c:showPercent val="0"/>
              <c:showBubbleSize val="0"/>
              <c:extLst>
                <c:ext xmlns:c15="http://schemas.microsoft.com/office/drawing/2012/chart" uri="{CE6537A1-D6FC-4f65-9D91-7224C49458BB}">
                  <c15:layout>
                    <c:manualLayout>
                      <c:w val="0.27483126255709095"/>
                      <c:h val="0.12536815893337536"/>
                    </c:manualLayout>
                  </c15:layout>
                </c:ext>
                <c:ext xmlns:c16="http://schemas.microsoft.com/office/drawing/2014/chart" uri="{C3380CC4-5D6E-409C-BE32-E72D297353CC}">
                  <c16:uniqueId val="{0000000C-A968-48DE-8842-DA033220835E}"/>
                </c:ext>
              </c:extLst>
            </c:dLbl>
            <c:spPr>
              <a:no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'Lead Type Summary'!$O$101:$O$103</c:f>
              <c:strCache>
                <c:ptCount val="3"/>
                <c:pt idx="0">
                  <c:v>Cold</c:v>
                </c:pt>
                <c:pt idx="1">
                  <c:v>Hot</c:v>
                </c:pt>
                <c:pt idx="2">
                  <c:v>Warm</c:v>
                </c:pt>
              </c:strCache>
            </c:strRef>
          </c:cat>
          <c:val>
            <c:numRef>
              <c:f>'Lead Type Summary'!$Q$101:$Q$103</c:f>
              <c:numCache>
                <c:formatCode>General</c:formatCode>
                <c:ptCount val="3"/>
                <c:pt idx="0">
                  <c:v>39</c:v>
                </c:pt>
                <c:pt idx="1">
                  <c:v>70</c:v>
                </c:pt>
                <c:pt idx="2">
                  <c:v>103</c:v>
                </c:pt>
              </c:numCache>
            </c:numRef>
          </c:val>
          <c:extLst>
            <c:ext xmlns:c16="http://schemas.microsoft.com/office/drawing/2014/chart" uri="{C3380CC4-5D6E-409C-BE32-E72D297353CC}">
              <c16:uniqueId val="{0000000D-A968-48DE-8842-DA033220835E}"/>
            </c:ext>
          </c:extLst>
        </c:ser>
        <c:ser>
          <c:idx val="2"/>
          <c:order val="2"/>
          <c:tx>
            <c:strRef>
              <c:f>'Lead Type Summary'!$R$100</c:f>
              <c:strCache>
                <c:ptCount val="1"/>
                <c:pt idx="0">
                  <c:v>Delhi MBC</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F-A968-48DE-8842-DA033220835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11-A968-48DE-8842-DA033220835E}"/>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13-A968-48DE-8842-DA033220835E}"/>
              </c:ext>
            </c:extLst>
          </c:dPt>
          <c:dLbls>
            <c:dLbl>
              <c:idx val="0"/>
              <c:layout>
                <c:manualLayout>
                  <c:x val="-7.9094501851262322E-3"/>
                  <c:y val="-2.1693470027657438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F-A968-48DE-8842-DA033220835E}"/>
                </c:ext>
              </c:extLst>
            </c:dLbl>
            <c:dLbl>
              <c:idx val="1"/>
              <c:layout>
                <c:manualLayout>
                  <c:x val="-4.0788072962820471E-2"/>
                  <c:y val="5.4806611506299487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1-A968-48DE-8842-DA033220835E}"/>
                </c:ext>
              </c:extLst>
            </c:dLbl>
            <c:dLbl>
              <c:idx val="2"/>
              <c:layout>
                <c:manualLayout>
                  <c:x val="-2.5629945843532682E-2"/>
                  <c:y val="-0.13570179961052514"/>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3-A968-48DE-8842-DA033220835E}"/>
                </c:ext>
              </c:extLst>
            </c:dLbl>
            <c:spPr>
              <a:no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'Lead Type Summary'!$O$101:$O$103</c:f>
              <c:strCache>
                <c:ptCount val="3"/>
                <c:pt idx="0">
                  <c:v>Cold</c:v>
                </c:pt>
                <c:pt idx="1">
                  <c:v>Hot</c:v>
                </c:pt>
                <c:pt idx="2">
                  <c:v>Warm</c:v>
                </c:pt>
              </c:strCache>
            </c:strRef>
          </c:cat>
          <c:val>
            <c:numRef>
              <c:f>'Lead Type Summary'!$R$101:$R$103</c:f>
              <c:numCache>
                <c:formatCode>General</c:formatCode>
                <c:ptCount val="3"/>
                <c:pt idx="0">
                  <c:v>51</c:v>
                </c:pt>
                <c:pt idx="1">
                  <c:v>70</c:v>
                </c:pt>
                <c:pt idx="2">
                  <c:v>142</c:v>
                </c:pt>
              </c:numCache>
            </c:numRef>
          </c:val>
          <c:extLst>
            <c:ext xmlns:c16="http://schemas.microsoft.com/office/drawing/2014/chart" uri="{C3380CC4-5D6E-409C-BE32-E72D297353CC}">
              <c16:uniqueId val="{00000014-A968-48DE-8842-DA033220835E}"/>
            </c:ext>
          </c:extLst>
        </c:ser>
        <c:ser>
          <c:idx val="3"/>
          <c:order val="3"/>
          <c:tx>
            <c:strRef>
              <c:f>'Lead Type Summary'!$S$100</c:f>
              <c:strCache>
                <c:ptCount val="1"/>
                <c:pt idx="0">
                  <c:v>Mumbai MBC</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16-A968-48DE-8842-DA033220835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18-A968-48DE-8842-DA033220835E}"/>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1A-A968-48DE-8842-DA033220835E}"/>
              </c:ext>
            </c:extLst>
          </c:dPt>
          <c:dLbls>
            <c:dLbl>
              <c:idx val="0"/>
              <c:layout>
                <c:manualLayout>
                  <c:x val="3.2916407875056196E-2"/>
                  <c:y val="-3.7963548161180673E-2"/>
                </c:manualLayout>
              </c:layout>
              <c:showLegendKey val="0"/>
              <c:showVal val="1"/>
              <c:showCatName val="0"/>
              <c:showSerName val="1"/>
              <c:showPercent val="0"/>
              <c:showBubbleSize val="0"/>
              <c:extLst>
                <c:ext xmlns:c15="http://schemas.microsoft.com/office/drawing/2012/chart" uri="{CE6537A1-D6FC-4f65-9D91-7224C49458BB}">
                  <c15:layout>
                    <c:manualLayout>
                      <c:w val="0.30133675488044065"/>
                      <c:h val="0.11854235348376407"/>
                    </c:manualLayout>
                  </c15:layout>
                </c:ext>
                <c:ext xmlns:c16="http://schemas.microsoft.com/office/drawing/2014/chart" uri="{C3380CC4-5D6E-409C-BE32-E72D297353CC}">
                  <c16:uniqueId val="{00000016-A968-48DE-8842-DA033220835E}"/>
                </c:ext>
              </c:extLst>
            </c:dLbl>
            <c:dLbl>
              <c:idx val="1"/>
              <c:layout>
                <c:manualLayout>
                  <c:x val="3.6656234752719098E-2"/>
                  <c:y val="6.2471729385757402E-2"/>
                </c:manualLayout>
              </c:layout>
              <c:showLegendKey val="0"/>
              <c:showVal val="1"/>
              <c:showCatName val="0"/>
              <c:showSerName val="1"/>
              <c:showPercent val="1"/>
              <c:showBubbleSize val="0"/>
              <c:extLst>
                <c:ext xmlns:c15="http://schemas.microsoft.com/office/drawing/2012/chart" uri="{CE6537A1-D6FC-4f65-9D91-7224C49458BB}">
                  <c15:layout>
                    <c:manualLayout>
                      <c:w val="0.30347165339110532"/>
                      <c:h val="0.12536808478474615"/>
                    </c:manualLayout>
                  </c15:layout>
                </c:ext>
                <c:ext xmlns:c16="http://schemas.microsoft.com/office/drawing/2014/chart" uri="{C3380CC4-5D6E-409C-BE32-E72D297353CC}">
                  <c16:uniqueId val="{00000018-A968-48DE-8842-DA033220835E}"/>
                </c:ext>
              </c:extLst>
            </c:dLbl>
            <c:dLbl>
              <c:idx val="2"/>
              <c:layout>
                <c:manualLayout>
                  <c:x val="-4.0142898490347551E-2"/>
                  <c:y val="-0.14445553115229454"/>
                </c:manualLayout>
              </c:layout>
              <c:showLegendKey val="0"/>
              <c:showVal val="1"/>
              <c:showCatName val="0"/>
              <c:showSerName val="1"/>
              <c:showPercent val="0"/>
              <c:showBubbleSize val="0"/>
              <c:extLst>
                <c:ext xmlns:c15="http://schemas.microsoft.com/office/drawing/2012/chart" uri="{CE6537A1-D6FC-4f65-9D91-7224C49458BB}">
                  <c15:layout>
                    <c:manualLayout>
                      <c:w val="0.35664008524173513"/>
                      <c:h val="0.12536808478474615"/>
                    </c:manualLayout>
                  </c15:layout>
                </c:ext>
                <c:ext xmlns:c16="http://schemas.microsoft.com/office/drawing/2014/chart" uri="{C3380CC4-5D6E-409C-BE32-E72D297353CC}">
                  <c16:uniqueId val="{0000001A-A968-48DE-8842-DA033220835E}"/>
                </c:ext>
              </c:extLst>
            </c:dLbl>
            <c:spPr>
              <a:no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'Lead Type Summary'!$O$101:$O$103</c:f>
              <c:strCache>
                <c:ptCount val="3"/>
                <c:pt idx="0">
                  <c:v>Cold</c:v>
                </c:pt>
                <c:pt idx="1">
                  <c:v>Hot</c:v>
                </c:pt>
                <c:pt idx="2">
                  <c:v>Warm</c:v>
                </c:pt>
              </c:strCache>
            </c:strRef>
          </c:cat>
          <c:val>
            <c:numRef>
              <c:f>'Lead Type Summary'!$S$101:$S$103</c:f>
              <c:numCache>
                <c:formatCode>General</c:formatCode>
                <c:ptCount val="3"/>
                <c:pt idx="0">
                  <c:v>47</c:v>
                </c:pt>
                <c:pt idx="1">
                  <c:v>83</c:v>
                </c:pt>
                <c:pt idx="2">
                  <c:v>132</c:v>
                </c:pt>
              </c:numCache>
            </c:numRef>
          </c:val>
          <c:extLst>
            <c:ext xmlns:c16="http://schemas.microsoft.com/office/drawing/2014/chart" uri="{C3380CC4-5D6E-409C-BE32-E72D297353CC}">
              <c16:uniqueId val="{0000001B-A968-48DE-8842-DA033220835E}"/>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80696620748802406"/>
          <c:y val="0.26579650572316177"/>
          <c:w val="0.14228516130869201"/>
          <c:h val="0.50631192305507988"/>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[EPe BA intern assesment (1) (1).xlsx]NPS Summary!NPS</c:name>
    <c:fmtId val="18"/>
  </c:pivotSource>
  <c:chart>
    <c:title>
      <c:tx>
        <c:rich>
          <a:bodyPr rot="0" spcFirstLastPara="1" vertOverflow="ellipsis" vert="horz" wrap="square" anchor="ctr" anchorCtr="1"/>
          <a:lstStyle/>
          <a:p>
            <a:pPr>
              <a:defRPr sz="2800" b="1" i="0" u="none" strike="noStrike" kern="1200" baseline="0">
                <a:solidFill>
                  <a:schemeClr val="tx1">
                    <a:lumMod val="95000"/>
                    <a:lumOff val="5000"/>
                  </a:schemeClr>
                </a:solidFill>
                <a:latin typeface="+mn-lt"/>
                <a:ea typeface="+mn-ea"/>
                <a:cs typeface="+mn-cs"/>
              </a:defRPr>
            </a:pPr>
            <a:r>
              <a:rPr lang="en-IN" sz="2800">
                <a:solidFill>
                  <a:schemeClr val="tx1">
                    <a:lumMod val="95000"/>
                    <a:lumOff val="5000"/>
                  </a:schemeClr>
                </a:solidFill>
              </a:rPr>
              <a:t>Customer</a:t>
            </a:r>
            <a:r>
              <a:rPr lang="en-IN" sz="2800" baseline="0">
                <a:solidFill>
                  <a:schemeClr val="tx1">
                    <a:lumMod val="95000"/>
                    <a:lumOff val="5000"/>
                  </a:schemeClr>
                </a:solidFill>
              </a:rPr>
              <a:t> Rating Distribution</a:t>
            </a:r>
          </a:p>
        </c:rich>
      </c:tx>
      <c:layout>
        <c:manualLayout>
          <c:xMode val="edge"/>
          <c:yMode val="edge"/>
          <c:x val="0.28878151188276913"/>
          <c:y val="2.3661833744980109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9268081119593796E-3"/>
              <c:y val="2.82186948853614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9224400884647049E-3"/>
              <c:y val="2.821869488536161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9268081119591624E-3"/>
              <c:y val="3.527336860670193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2.9265749373168269E-3"/>
              <c:y val="3.527336860670200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2851114959529043E-5"/>
              <c:y val="1.410934744268077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3084289601973216E-5"/>
              <c:y val="3.527281312058214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9613179590410087E-3"/>
              <c:y val="2.116402116402116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2.9613179590410087E-3"/>
              <c:y val="3.52733686067018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9613179590410087E-3"/>
              <c:y val="2.116402116402116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2.2851114959529043E-5"/>
              <c:y val="1.410934744268077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2.9265749373168269E-3"/>
              <c:y val="3.527336860670200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9224400884647049E-3"/>
              <c:y val="2.821869488536161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9613179590410087E-3"/>
              <c:y val="3.52733686067018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2.3084289601973216E-5"/>
              <c:y val="3.527281312058214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2.9268081119591624E-3"/>
              <c:y val="3.527336860670193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2.9268081119593796E-3"/>
              <c:y val="2.82186948853614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dLbl>
          <c:idx val="0"/>
          <c:layout>
            <c:manualLayout>
              <c:x val="-5.9533126825167962E-3"/>
              <c:y val="-9.2973691604477937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dLbl>
          <c:idx val="0"/>
          <c:layout>
            <c:manualLayout>
              <c:x val="-8.9374562901577779E-3"/>
              <c:y val="-3.2969442788319866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dLbl>
          <c:idx val="0"/>
          <c:layout>
            <c:manualLayout>
              <c:x val="-5.9879412895366231E-3"/>
              <c:y val="-3.8910932478088554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c:spPr>
        <c:dLbl>
          <c:idx val="0"/>
          <c:layout>
            <c:manualLayout>
              <c:x val="-5.9921528768768721E-3"/>
              <c:y val="-6.5942312041282446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3">
              <a:tint val="65000"/>
            </a:schemeClr>
          </a:solidFill>
          <a:ln>
            <a:noFill/>
          </a:ln>
          <a:effectLst/>
        </c:spPr>
        <c:dLbl>
          <c:idx val="0"/>
          <c:layout>
            <c:manualLayout>
              <c:x val="-5.9533126825167416E-3"/>
              <c:y val="-3.8910932478087757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3">
              <a:tint val="65000"/>
            </a:schemeClr>
          </a:solidFill>
          <a:ln>
            <a:noFill/>
          </a:ln>
          <a:effectLst/>
        </c:spPr>
        <c:dLbl>
          <c:idx val="0"/>
          <c:layout>
            <c:manualLayout>
              <c:x val="-8.93769026723229E-3"/>
              <c:y val="-8.2433886364727399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tint val="65000"/>
            </a:schemeClr>
          </a:solidFill>
          <a:ln>
            <a:noFill/>
          </a:ln>
          <a:effectLst/>
        </c:spPr>
        <c:dLbl>
          <c:idx val="0"/>
          <c:layout>
            <c:manualLayout>
              <c:x val="-5.9877073124621101E-3"/>
              <c:y val="-3.8910932478088156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3">
              <a:tint val="65000"/>
            </a:schemeClr>
          </a:solidFill>
          <a:ln>
            <a:noFill/>
          </a:ln>
          <a:effectLst/>
        </c:spPr>
        <c:dLbl>
          <c:idx val="0"/>
          <c:layout>
            <c:manualLayout>
              <c:x val="-5.9877073124621101E-3"/>
              <c:y val="-6.5942312041282246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3">
              <a:shade val="65000"/>
            </a:schemeClr>
          </a:solidFill>
          <a:ln>
            <a:noFill/>
          </a:ln>
          <a:effectLst/>
        </c:spPr>
        <c:dLbl>
          <c:idx val="0"/>
          <c:layout>
            <c:manualLayout>
              <c:x val="-5.9430176912406854E-3"/>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3">
              <a:shade val="65000"/>
            </a:schemeClr>
          </a:solidFill>
          <a:ln>
            <a:noFill/>
          </a:ln>
          <a:effectLst/>
        </c:spPr>
        <c:dLbl>
          <c:idx val="0"/>
          <c:layout>
            <c:manualLayout>
              <c:x val="-5.9430176912406854E-3"/>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3"/>
          </a:solidFill>
          <a:ln>
            <a:noFill/>
          </a:ln>
          <a:effectLst/>
        </c:spPr>
        <c:dLbl>
          <c:idx val="0"/>
          <c:layout>
            <c:manualLayout>
              <c:x val="-5.9533126825167962E-3"/>
              <c:y val="-9.2973691604477937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3"/>
          </a:solidFill>
          <a:ln>
            <a:noFill/>
          </a:ln>
          <a:effectLst/>
        </c:spPr>
        <c:dLbl>
          <c:idx val="0"/>
          <c:layout>
            <c:manualLayout>
              <c:x val="-8.9374562901577779E-3"/>
              <c:y val="-3.2969442788319866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3"/>
          </a:solidFill>
          <a:ln>
            <a:noFill/>
          </a:ln>
          <a:effectLst/>
        </c:spPr>
        <c:dLbl>
          <c:idx val="0"/>
          <c:layout>
            <c:manualLayout>
              <c:x val="-5.9879412895366231E-3"/>
              <c:y val="-3.8910932478088554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3"/>
          </a:solidFill>
          <a:ln>
            <a:noFill/>
          </a:ln>
          <a:effectLst/>
        </c:spPr>
        <c:dLbl>
          <c:idx val="0"/>
          <c:layout>
            <c:manualLayout>
              <c:x val="-5.9921528768768721E-3"/>
              <c:y val="-6.5942312041282446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3">
              <a:tint val="65000"/>
            </a:schemeClr>
          </a:solidFill>
          <a:ln>
            <a:noFill/>
          </a:ln>
          <a:effectLst/>
        </c:spPr>
        <c:dLbl>
          <c:idx val="0"/>
          <c:layout>
            <c:manualLayout>
              <c:x val="-5.9533126825167416E-3"/>
              <c:y val="-3.8910932478087757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3">
              <a:tint val="65000"/>
            </a:schemeClr>
          </a:solidFill>
          <a:ln>
            <a:noFill/>
          </a:ln>
          <a:effectLst/>
        </c:spPr>
        <c:dLbl>
          <c:idx val="0"/>
          <c:layout>
            <c:manualLayout>
              <c:x val="-8.93769026723229E-3"/>
              <c:y val="-8.2433886364727399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3">
              <a:tint val="65000"/>
            </a:schemeClr>
          </a:solidFill>
          <a:ln>
            <a:noFill/>
          </a:ln>
          <a:effectLst/>
        </c:spPr>
        <c:dLbl>
          <c:idx val="0"/>
          <c:layout>
            <c:manualLayout>
              <c:x val="-5.9877073124621101E-3"/>
              <c:y val="-3.8910932478088156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3">
              <a:tint val="65000"/>
            </a:schemeClr>
          </a:solidFill>
          <a:ln>
            <a:noFill/>
          </a:ln>
          <a:effectLst/>
        </c:spPr>
        <c:dLbl>
          <c:idx val="0"/>
          <c:layout>
            <c:manualLayout>
              <c:x val="-5.9877073124621101E-3"/>
              <c:y val="-6.5942312041282246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3">
              <a:shade val="65000"/>
            </a:schemeClr>
          </a:solidFill>
          <a:ln>
            <a:noFill/>
          </a:ln>
          <a:effectLst/>
        </c:spPr>
        <c:dLbl>
          <c:idx val="0"/>
          <c:layout>
            <c:manualLayout>
              <c:x val="-5.9430176912406854E-3"/>
              <c:y val="0"/>
            </c:manualLayout>
          </c:layout>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3"/>
          </a:solidFill>
          <a:ln>
            <a:noFill/>
          </a:ln>
          <a:effectLst/>
        </c:spPr>
        <c:dLbl>
          <c:idx val="0"/>
          <c:layout>
            <c:manualLayout>
              <c:x val="-5.9533126825167962E-3"/>
              <c:y val="-9.2973691604477937E-3"/>
            </c:manualLayout>
          </c:layout>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3"/>
          </a:solidFill>
          <a:ln>
            <a:noFill/>
          </a:ln>
          <a:effectLst/>
        </c:spPr>
        <c:dLbl>
          <c:idx val="0"/>
          <c:layout>
            <c:manualLayout>
              <c:x val="-8.9374562901577779E-3"/>
              <c:y val="-3.2969442788319866E-3"/>
            </c:manualLayout>
          </c:layout>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3"/>
          </a:solidFill>
          <a:ln>
            <a:noFill/>
          </a:ln>
          <a:effectLst/>
        </c:spPr>
        <c:dLbl>
          <c:idx val="0"/>
          <c:layout>
            <c:manualLayout>
              <c:x val="-5.9879412895366231E-3"/>
              <c:y val="-3.8910932478088554E-3"/>
            </c:manualLayout>
          </c:layout>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3"/>
          </a:solidFill>
          <a:ln>
            <a:noFill/>
          </a:ln>
          <a:effectLst/>
        </c:spPr>
        <c:dLbl>
          <c:idx val="0"/>
          <c:layout>
            <c:manualLayout>
              <c:x val="-5.9921528768768721E-3"/>
              <c:y val="-6.5942312041282446E-3"/>
            </c:manualLayout>
          </c:layout>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3">
              <a:tint val="65000"/>
            </a:schemeClr>
          </a:solidFill>
          <a:ln>
            <a:noFill/>
          </a:ln>
          <a:effectLst/>
        </c:spPr>
        <c:dLbl>
          <c:idx val="0"/>
          <c:layout>
            <c:manualLayout>
              <c:x val="-5.9533126825167416E-3"/>
              <c:y val="-3.8910932478087757E-3"/>
            </c:manualLayout>
          </c:layout>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3">
              <a:tint val="65000"/>
            </a:schemeClr>
          </a:solidFill>
          <a:ln>
            <a:noFill/>
          </a:ln>
          <a:effectLst/>
        </c:spPr>
        <c:dLbl>
          <c:idx val="0"/>
          <c:layout>
            <c:manualLayout>
              <c:x val="-8.93769026723229E-3"/>
              <c:y val="-8.2433886364727399E-3"/>
            </c:manualLayout>
          </c:layout>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3">
              <a:tint val="65000"/>
            </a:schemeClr>
          </a:solidFill>
          <a:ln>
            <a:noFill/>
          </a:ln>
          <a:effectLst/>
        </c:spPr>
        <c:dLbl>
          <c:idx val="0"/>
          <c:layout>
            <c:manualLayout>
              <c:x val="-5.9877073124621101E-3"/>
              <c:y val="-3.8910932478088156E-3"/>
            </c:manualLayout>
          </c:layout>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3">
              <a:tint val="65000"/>
            </a:schemeClr>
          </a:solidFill>
          <a:ln>
            <a:noFill/>
          </a:ln>
          <a:effectLst/>
        </c:spPr>
        <c:dLbl>
          <c:idx val="0"/>
          <c:layout>
            <c:manualLayout>
              <c:x val="-5.9877073124621101E-3"/>
              <c:y val="-6.5942312041282246E-3"/>
            </c:manualLayout>
          </c:layout>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00790514943766"/>
          <c:y val="0.14784612432584307"/>
          <c:w val="0.78199209485056231"/>
          <c:h val="0.76947328385518388"/>
        </c:manualLayout>
      </c:layout>
      <c:barChart>
        <c:barDir val="bar"/>
        <c:grouping val="clustered"/>
        <c:varyColors val="0"/>
        <c:ser>
          <c:idx val="0"/>
          <c:order val="0"/>
          <c:tx>
            <c:strRef>
              <c:f>'NPS Summary'!$B$1:$B$2</c:f>
              <c:strCache>
                <c:ptCount val="1"/>
                <c:pt idx="0">
                  <c:v>Detractor</c:v>
                </c:pt>
              </c:strCache>
            </c:strRef>
          </c:tx>
          <c:spPr>
            <a:solidFill>
              <a:schemeClr val="accent3">
                <a:shade val="65000"/>
              </a:schemeClr>
            </a:solidFill>
            <a:ln>
              <a:noFill/>
            </a:ln>
            <a:effectLst/>
          </c:spPr>
          <c:invertIfNegative val="0"/>
          <c:dPt>
            <c:idx val="3"/>
            <c:invertIfNegative val="0"/>
            <c:bubble3D val="0"/>
            <c:spPr>
              <a:solidFill>
                <a:schemeClr val="accent3">
                  <a:shade val="65000"/>
                </a:schemeClr>
              </a:solidFill>
              <a:ln>
                <a:noFill/>
              </a:ln>
              <a:effectLst/>
            </c:spPr>
            <c:extLst>
              <c:ext xmlns:c16="http://schemas.microsoft.com/office/drawing/2014/chart" uri="{C3380CC4-5D6E-409C-BE32-E72D297353CC}">
                <c16:uniqueId val="{00000000-427E-410B-824F-BD9FC5EF44C8}"/>
              </c:ext>
            </c:extLst>
          </c:dPt>
          <c:dLbls>
            <c:dLbl>
              <c:idx val="3"/>
              <c:layout>
                <c:manualLayout>
                  <c:x val="-5.943017691240685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7E-410B-824F-BD9FC5EF44C8}"/>
                </c:ext>
              </c:extLst>
            </c:dLbl>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'NPS Summary'!$A$3:$A$7</c:f>
              <c:strCache>
                <c:ptCount val="4"/>
                <c:pt idx="0">
                  <c:v>Bangalore MBC</c:v>
                </c:pt>
                <c:pt idx="1">
                  <c:v>Chennai MBC</c:v>
                </c:pt>
                <c:pt idx="2">
                  <c:v>Delhi MBC</c:v>
                </c:pt>
                <c:pt idx="3">
                  <c:v>Mumbai MBC</c:v>
                </c:pt>
              </c:strCache>
            </c:strRef>
          </c:cat>
          <c:val>
            <c:numRef>
              <c:f>'NPS Summary'!$B$3:$B$7</c:f>
              <c:numCache>
                <c:formatCode>General</c:formatCode>
                <c:ptCount val="4"/>
                <c:pt idx="0">
                  <c:v>134</c:v>
                </c:pt>
                <c:pt idx="1">
                  <c:v>99</c:v>
                </c:pt>
                <c:pt idx="2">
                  <c:v>123</c:v>
                </c:pt>
                <c:pt idx="3">
                  <c:v>138</c:v>
                </c:pt>
              </c:numCache>
            </c:numRef>
          </c:val>
          <c:extLst>
            <c:ext xmlns:c16="http://schemas.microsoft.com/office/drawing/2014/chart" uri="{C3380CC4-5D6E-409C-BE32-E72D297353CC}">
              <c16:uniqueId val="{00000001-427E-410B-824F-BD9FC5EF44C8}"/>
            </c:ext>
          </c:extLst>
        </c:ser>
        <c:ser>
          <c:idx val="1"/>
          <c:order val="1"/>
          <c:tx>
            <c:strRef>
              <c:f>'NPS Summary'!$C$1:$C$2</c:f>
              <c:strCache>
                <c:ptCount val="1"/>
                <c:pt idx="0">
                  <c:v>Passive</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2-427E-410B-824F-BD9FC5EF44C8}"/>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427E-410B-824F-BD9FC5EF44C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427E-410B-824F-BD9FC5EF44C8}"/>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5-427E-410B-824F-BD9FC5EF44C8}"/>
              </c:ext>
            </c:extLst>
          </c:dPt>
          <c:dLbls>
            <c:dLbl>
              <c:idx val="0"/>
              <c:layout>
                <c:manualLayout>
                  <c:x val="-5.9533126825167962E-3"/>
                  <c:y val="-9.29736916044779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7E-410B-824F-BD9FC5EF44C8}"/>
                </c:ext>
              </c:extLst>
            </c:dLbl>
            <c:dLbl>
              <c:idx val="1"/>
              <c:layout>
                <c:manualLayout>
                  <c:x val="-8.9374562901577779E-3"/>
                  <c:y val="-3.29694427883198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7E-410B-824F-BD9FC5EF44C8}"/>
                </c:ext>
              </c:extLst>
            </c:dLbl>
            <c:dLbl>
              <c:idx val="2"/>
              <c:layout>
                <c:manualLayout>
                  <c:x val="-5.9879412895366231E-3"/>
                  <c:y val="-3.89109324780885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27E-410B-824F-BD9FC5EF44C8}"/>
                </c:ext>
              </c:extLst>
            </c:dLbl>
            <c:dLbl>
              <c:idx val="3"/>
              <c:layout>
                <c:manualLayout>
                  <c:x val="-5.9921528768768721E-3"/>
                  <c:y val="-6.59423120412824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7E-410B-824F-BD9FC5EF44C8}"/>
                </c:ext>
              </c:extLst>
            </c:dLbl>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'NPS Summary'!$A$3:$A$7</c:f>
              <c:strCache>
                <c:ptCount val="4"/>
                <c:pt idx="0">
                  <c:v>Bangalore MBC</c:v>
                </c:pt>
                <c:pt idx="1">
                  <c:v>Chennai MBC</c:v>
                </c:pt>
                <c:pt idx="2">
                  <c:v>Delhi MBC</c:v>
                </c:pt>
                <c:pt idx="3">
                  <c:v>Mumbai MBC</c:v>
                </c:pt>
              </c:strCache>
            </c:strRef>
          </c:cat>
          <c:val>
            <c:numRef>
              <c:f>'NPS Summary'!$C$3:$C$7</c:f>
              <c:numCache>
                <c:formatCode>General</c:formatCode>
                <c:ptCount val="4"/>
                <c:pt idx="0">
                  <c:v>34</c:v>
                </c:pt>
                <c:pt idx="1">
                  <c:v>26</c:v>
                </c:pt>
                <c:pt idx="2">
                  <c:v>33</c:v>
                </c:pt>
                <c:pt idx="3">
                  <c:v>38</c:v>
                </c:pt>
              </c:numCache>
            </c:numRef>
          </c:val>
          <c:extLst>
            <c:ext xmlns:c16="http://schemas.microsoft.com/office/drawing/2014/chart" uri="{C3380CC4-5D6E-409C-BE32-E72D297353CC}">
              <c16:uniqueId val="{00000006-427E-410B-824F-BD9FC5EF44C8}"/>
            </c:ext>
          </c:extLst>
        </c:ser>
        <c:ser>
          <c:idx val="2"/>
          <c:order val="2"/>
          <c:tx>
            <c:strRef>
              <c:f>'NPS Summary'!$D$1:$D$2</c:f>
              <c:strCache>
                <c:ptCount val="1"/>
                <c:pt idx="0">
                  <c:v>Promoter</c:v>
                </c:pt>
              </c:strCache>
            </c:strRef>
          </c:tx>
          <c:spPr>
            <a:solidFill>
              <a:schemeClr val="accent3">
                <a:tint val="65000"/>
              </a:schemeClr>
            </a:solidFill>
            <a:ln>
              <a:noFill/>
            </a:ln>
            <a:effectLst/>
          </c:spPr>
          <c:invertIfNegative val="0"/>
          <c:dPt>
            <c:idx val="0"/>
            <c:invertIfNegative val="0"/>
            <c:bubble3D val="0"/>
            <c:spPr>
              <a:solidFill>
                <a:schemeClr val="accent3">
                  <a:tint val="65000"/>
                </a:schemeClr>
              </a:solidFill>
              <a:ln>
                <a:noFill/>
              </a:ln>
              <a:effectLst/>
            </c:spPr>
            <c:extLst>
              <c:ext xmlns:c16="http://schemas.microsoft.com/office/drawing/2014/chart" uri="{C3380CC4-5D6E-409C-BE32-E72D297353CC}">
                <c16:uniqueId val="{00000007-427E-410B-824F-BD9FC5EF44C8}"/>
              </c:ext>
            </c:extLst>
          </c:dPt>
          <c:dPt>
            <c:idx val="1"/>
            <c:invertIfNegative val="0"/>
            <c:bubble3D val="0"/>
            <c:spPr>
              <a:solidFill>
                <a:schemeClr val="accent3">
                  <a:tint val="65000"/>
                </a:schemeClr>
              </a:solidFill>
              <a:ln>
                <a:noFill/>
              </a:ln>
              <a:effectLst/>
            </c:spPr>
            <c:extLst>
              <c:ext xmlns:c16="http://schemas.microsoft.com/office/drawing/2014/chart" uri="{C3380CC4-5D6E-409C-BE32-E72D297353CC}">
                <c16:uniqueId val="{00000008-427E-410B-824F-BD9FC5EF44C8}"/>
              </c:ext>
            </c:extLst>
          </c:dPt>
          <c:dPt>
            <c:idx val="2"/>
            <c:invertIfNegative val="0"/>
            <c:bubble3D val="0"/>
            <c:spPr>
              <a:solidFill>
                <a:schemeClr val="accent3">
                  <a:tint val="65000"/>
                </a:schemeClr>
              </a:solidFill>
              <a:ln>
                <a:noFill/>
              </a:ln>
              <a:effectLst/>
            </c:spPr>
            <c:extLst>
              <c:ext xmlns:c16="http://schemas.microsoft.com/office/drawing/2014/chart" uri="{C3380CC4-5D6E-409C-BE32-E72D297353CC}">
                <c16:uniqueId val="{00000009-427E-410B-824F-BD9FC5EF44C8}"/>
              </c:ext>
            </c:extLst>
          </c:dPt>
          <c:dPt>
            <c:idx val="3"/>
            <c:invertIfNegative val="0"/>
            <c:bubble3D val="0"/>
            <c:spPr>
              <a:solidFill>
                <a:schemeClr val="accent3">
                  <a:tint val="65000"/>
                </a:schemeClr>
              </a:solidFill>
              <a:ln>
                <a:noFill/>
              </a:ln>
              <a:effectLst/>
            </c:spPr>
            <c:extLst>
              <c:ext xmlns:c16="http://schemas.microsoft.com/office/drawing/2014/chart" uri="{C3380CC4-5D6E-409C-BE32-E72D297353CC}">
                <c16:uniqueId val="{0000000A-427E-410B-824F-BD9FC5EF44C8}"/>
              </c:ext>
            </c:extLst>
          </c:dPt>
          <c:dLbls>
            <c:dLbl>
              <c:idx val="0"/>
              <c:layout>
                <c:manualLayout>
                  <c:x val="-5.9533126825167416E-3"/>
                  <c:y val="-3.89109324780877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27E-410B-824F-BD9FC5EF44C8}"/>
                </c:ext>
              </c:extLst>
            </c:dLbl>
            <c:dLbl>
              <c:idx val="1"/>
              <c:layout>
                <c:manualLayout>
                  <c:x val="-8.93769026723229E-3"/>
                  <c:y val="-8.24338863647273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27E-410B-824F-BD9FC5EF44C8}"/>
                </c:ext>
              </c:extLst>
            </c:dLbl>
            <c:dLbl>
              <c:idx val="2"/>
              <c:layout>
                <c:manualLayout>
                  <c:x val="-5.9877073124621101E-3"/>
                  <c:y val="-3.89109324780881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27E-410B-824F-BD9FC5EF44C8}"/>
                </c:ext>
              </c:extLst>
            </c:dLbl>
            <c:dLbl>
              <c:idx val="3"/>
              <c:layout>
                <c:manualLayout>
                  <c:x val="-5.9877073124621101E-3"/>
                  <c:y val="-6.59423120412822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27E-410B-824F-BD9FC5EF44C8}"/>
                </c:ext>
              </c:extLst>
            </c:dLbl>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'NPS Summary'!$A$3:$A$7</c:f>
              <c:strCache>
                <c:ptCount val="4"/>
                <c:pt idx="0">
                  <c:v>Bangalore MBC</c:v>
                </c:pt>
                <c:pt idx="1">
                  <c:v>Chennai MBC</c:v>
                </c:pt>
                <c:pt idx="2">
                  <c:v>Delhi MBC</c:v>
                </c:pt>
                <c:pt idx="3">
                  <c:v>Mumbai MBC</c:v>
                </c:pt>
              </c:strCache>
            </c:strRef>
          </c:cat>
          <c:val>
            <c:numRef>
              <c:f>'NPS Summary'!$D$3:$D$7</c:f>
              <c:numCache>
                <c:formatCode>General</c:formatCode>
                <c:ptCount val="4"/>
                <c:pt idx="0">
                  <c:v>23</c:v>
                </c:pt>
                <c:pt idx="1">
                  <c:v>28</c:v>
                </c:pt>
                <c:pt idx="2">
                  <c:v>30</c:v>
                </c:pt>
                <c:pt idx="3">
                  <c:v>23</c:v>
                </c:pt>
              </c:numCache>
            </c:numRef>
          </c:val>
          <c:extLst>
            <c:ext xmlns:c16="http://schemas.microsoft.com/office/drawing/2014/chart" uri="{C3380CC4-5D6E-409C-BE32-E72D297353CC}">
              <c16:uniqueId val="{0000000B-427E-410B-824F-BD9FC5EF44C8}"/>
            </c:ext>
          </c:extLst>
        </c:ser>
        <c:dLbls>
          <c:showLegendKey val="0"/>
          <c:showVal val="1"/>
          <c:showCatName val="0"/>
          <c:showSerName val="0"/>
          <c:showPercent val="0"/>
          <c:showBubbleSize val="0"/>
        </c:dLbls>
        <c:gapWidth val="150"/>
        <c:axId val="1265392640"/>
        <c:axId val="1262210432"/>
      </c:barChart>
      <c:catAx>
        <c:axId val="1265392640"/>
        <c:scaling>
          <c:orientation val="minMax"/>
        </c:scaling>
        <c:delete val="0"/>
        <c:axPos val="l"/>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crossAx val="1262210432"/>
        <c:crosses val="autoZero"/>
        <c:auto val="1"/>
        <c:lblAlgn val="ctr"/>
        <c:lblOffset val="100"/>
        <c:noMultiLvlLbl val="0"/>
      </c:catAx>
      <c:valAx>
        <c:axId val="1262210432"/>
        <c:scaling>
          <c:orientation val="minMax"/>
        </c:scaling>
        <c:delete val="1"/>
        <c:axPos val="b"/>
        <c:numFmt formatCode="General" sourceLinked="1"/>
        <c:majorTickMark val="out"/>
        <c:minorTickMark val="none"/>
        <c:tickLblPos val="nextTo"/>
        <c:crossAx val="1265392640"/>
        <c:crosses val="autoZero"/>
        <c:crossBetween val="between"/>
      </c:valAx>
      <c:spPr>
        <a:noFill/>
        <a:ln>
          <a:noFill/>
        </a:ln>
        <a:effectLst/>
      </c:spPr>
    </c:plotArea>
    <c:legend>
      <c:legendPos val="r"/>
      <c:layout>
        <c:manualLayout>
          <c:xMode val="edge"/>
          <c:yMode val="edge"/>
          <c:x val="0.83049188022440346"/>
          <c:y val="3.865444422057495E-2"/>
          <c:w val="0.14542615800188077"/>
          <c:h val="0.20951077387363773"/>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lumMod val="95000"/>
      </a:schemeClr>
    </a:solidFill>
    <a:ln w="6350" cap="flat" cmpd="sng" algn="ctr">
      <a:noFill/>
      <a:prstDash val="solid"/>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_xlchart.v2.5</cx:f>
      </cx:strDim>
      <cx:numDim type="val">
        <cx:f dir="row">_xlchart.v2.10</cx:f>
      </cx:numDim>
    </cx:data>
    <cx:data id="1">
      <cx:strDim type="cat">
        <cx:f dir="row">_xlchart.v2.5</cx:f>
      </cx:strDim>
      <cx:numDim type="val">
        <cx:f dir="row">_xlchart.v2.6</cx:f>
      </cx:numDim>
    </cx:data>
    <cx:data id="2">
      <cx:strDim type="cat">
        <cx:f dir="row">_xlchart.v2.5</cx:f>
      </cx:strDim>
      <cx:numDim type="val">
        <cx:f dir="row">_xlchart.v2.7</cx:f>
      </cx:numDim>
    </cx:data>
    <cx:data id="3">
      <cx:strDim type="cat">
        <cx:f dir="row">_xlchart.v2.5</cx:f>
      </cx:strDim>
      <cx:numDim type="val">
        <cx:f dir="row">_xlchart.v2.8</cx:f>
      </cx:numDim>
    </cx:data>
    <cx:data id="4">
      <cx:strDim type="cat">
        <cx:f dir="row">_xlchart.v2.5</cx:f>
      </cx:strDim>
      <cx:numDim type="val">
        <cx:f dir="row">_xlchart.v2.9</cx:f>
      </cx:numDim>
    </cx:data>
  </cx:chartData>
  <cx:chart>
    <cx:title pos="t" align="ctr" overlay="0">
      <cx:tx>
        <cx:txData>
          <cx:v>Lead to Delivery Conversion Funnel</cx:v>
        </cx:txData>
      </cx:tx>
      <cx:txPr>
        <a:bodyPr vertOverflow="overflow" horzOverflow="overflow" wrap="square" lIns="0" tIns="0" rIns="0" bIns="0"/>
        <a:lstStyle/>
        <a:p>
          <a:pPr algn="ctr" rtl="0">
            <a:defRPr sz="1400" b="1" i="0">
              <a:solidFill>
                <a:schemeClr val="tx1"/>
              </a:solidFill>
              <a:latin typeface="Calibri" panose="020F0502020204030204" pitchFamily="34" charset="0"/>
              <a:ea typeface="Calibri" panose="020F0502020204030204" pitchFamily="34" charset="0"/>
              <a:cs typeface="Calibri" panose="020F0502020204030204" pitchFamily="34" charset="0"/>
            </a:defRPr>
          </a:pPr>
          <a:r>
            <a:rPr sz="2400" b="1">
              <a:solidFill>
                <a:schemeClr val="tx1"/>
              </a:solidFill>
            </a:rPr>
            <a:t>Lead to Delivery Conversion Funnel</a:t>
          </a:r>
        </a:p>
      </cx:txPr>
    </cx:title>
    <cx:plotArea>
      <cx:plotAreaRegion>
        <cx:series layoutId="funnel" uniqueId="{00000000-8205-4C28-9B64-2E906B6663FE}" formatIdx="0">
          <cx:tx>
            <cx:txData>
              <cx:f>_xlchart.v2.4</cx:f>
              <cx:v>Grand Total</cx:v>
            </cx:txData>
          </cx:tx>
          <cx:spPr>
            <a:solidFill>
              <a:srgbClr val="C4D79B"/>
            </a:solidFill>
            <a:ln w="12700">
              <a:solidFill>
                <a:srgbClr val="000000"/>
              </a:solidFill>
              <a:prstDash val="solid"/>
            </a:ln>
          </cx:spPr>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series layoutId="funnel" hidden="1" uniqueId="{00000001-8205-4C28-9B64-2E906B6663FE}" formatIdx="1">
          <cx:tx>
            <cx:txData>
              <cx:f>_xlchart.v2.0</cx:f>
              <cx:v>Bangalore MBC</cx:v>
            </cx:txData>
          </cx:tx>
          <cx:dataLabels>
            <cx:visibility seriesName="0" categoryName="0" value="1"/>
          </cx:dataLabels>
          <cx:dataId val="1"/>
        </cx:series>
        <cx:series layoutId="funnel" hidden="1" uniqueId="{00000002-8205-4C28-9B64-2E906B6663FE}" formatIdx="2">
          <cx:tx>
            <cx:txData>
              <cx:f>_xlchart.v2.1</cx:f>
              <cx:v>Chennai MBC</cx:v>
            </cx:txData>
          </cx:tx>
          <cx:dataLabels>
            <cx:visibility seriesName="0" categoryName="0" value="1"/>
          </cx:dataLabels>
          <cx:dataId val="2"/>
        </cx:series>
        <cx:series layoutId="funnel" hidden="1" uniqueId="{00000003-8205-4C28-9B64-2E906B6663FE}" formatIdx="3">
          <cx:tx>
            <cx:txData>
              <cx:f>_xlchart.v2.2</cx:f>
              <cx:v>Delhi MBC</cx:v>
            </cx:txData>
          </cx:tx>
          <cx:dataLabels>
            <cx:visibility seriesName="0" categoryName="0" value="1"/>
          </cx:dataLabels>
          <cx:dataId val="3"/>
        </cx:series>
        <cx:series layoutId="funnel" hidden="1" uniqueId="{00000004-8205-4C28-9B64-2E906B6663FE}" formatIdx="4">
          <cx:tx>
            <cx:txData>
              <cx:f>_xlchart.v2.3</cx:f>
              <cx:v>Mumbai MBC</cx:v>
            </cx:txData>
          </cx:tx>
          <cx:dataLabels>
            <cx:visibility seriesName="0" categoryName="0" value="1"/>
          </cx:dataLabels>
          <cx:dataId val="4"/>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chart>
  <cx:spPr>
    <a:solidFill>
      <a:schemeClr val="bg1">
        <a:lumMod val="95000"/>
      </a:schemeClr>
    </a:solidFill>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data id="1">
      <cx:strDim type="cat">
        <cx:f>_xlchart.v1.11</cx:f>
      </cx:strDim>
      <cx:numDim type="size">
        <cx:f>_xlchart.v1.15</cx:f>
      </cx:numDim>
    </cx:data>
    <cx:data id="2">
      <cx:strDim type="cat">
        <cx:f>_xlchart.v1.11</cx:f>
      </cx:strDim>
      <cx:numDim type="size">
        <cx:f>_xlchart.v1.17</cx:f>
      </cx:numDim>
    </cx:data>
    <cx:data id="3">
      <cx:strDim type="cat">
        <cx:f>_xlchart.v1.11</cx:f>
      </cx:strDim>
      <cx:numDim type="size">
        <cx:f>_xlchart.v1.19</cx:f>
      </cx:numDim>
    </cx:data>
    <cx:data id="4">
      <cx:strDim type="cat">
        <cx:f>_xlchart.v1.11</cx:f>
      </cx:strDim>
      <cx:numDim type="size">
        <cx:f>_xlchart.v1.21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kern="1200" spc="0" baseline="0">
            <a:solidFill>
              <a:srgbClr val="000000">
                <a:lumMod val="65000"/>
                <a:lumOff val="35000"/>
              </a:srgbClr>
            </a:solidFill>
            <a:latin typeface="Calibri"/>
            <a:ea typeface="Calibri"/>
            <a:cs typeface="Calibri"/>
          </a:endParaRPr>
        </a:p>
      </cx:txPr>
    </cx:title>
    <cx:plotArea>
      <cx:plotAreaRegion>
        <cx:series layoutId="treemap" uniqueId="{B940B708-864B-40DB-9072-D1FE3EB5C707}" formatIdx="0">
          <cx:tx>
            <cx:txData>
              <cx:f>_xlchart.v1.12</cx:f>
              <cx:v>Bangalore MBC</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1" categoryName="1" value="1"/>
            <cx:separator>, </cx:separator>
          </cx:dataLabels>
          <cx:dataId val="0"/>
          <cx:layoutPr/>
        </cx:series>
        <cx:series layoutId="treemap" hidden="1" uniqueId="{B0D716CD-123A-4B74-A12B-BC40DEEDC46A}" formatIdx="1">
          <cx:tx>
            <cx:txData>
              <cx:f>_xlchart.v1.14</cx:f>
              <cx:v>Chennai MBC</cx:v>
            </cx:txData>
          </cx:tx>
          <cx:dataLabels>
            <cx:visibility seriesName="0" categoryName="1" value="0"/>
          </cx:dataLabels>
          <cx:dataId val="1"/>
          <cx:layoutPr/>
        </cx:series>
        <cx:series layoutId="treemap" hidden="1" uniqueId="{12EAD7B9-0C9A-49D0-9ECC-610F64964E4E}" formatIdx="2">
          <cx:tx>
            <cx:txData>
              <cx:f>_xlchart.v1.16</cx:f>
              <cx:v>Delhi MBC</cx:v>
            </cx:txData>
          </cx:tx>
          <cx:dataLabels>
            <cx:visibility seriesName="0" categoryName="1" value="0"/>
          </cx:dataLabels>
          <cx:dataId val="2"/>
          <cx:layoutPr/>
        </cx:series>
        <cx:series layoutId="treemap" hidden="1" uniqueId="{E6F4AEAB-A104-4E57-925C-D1EE1EC9F084}" formatIdx="3">
          <cx:tx>
            <cx:txData>
              <cx:f>_xlchart.v1.18</cx:f>
              <cx:v>Mumbai MBC</cx:v>
            </cx:txData>
          </cx:tx>
          <cx:dataLabels>
            <cx:visibility seriesName="0" categoryName="1" value="0"/>
          </cx:dataLabels>
          <cx:dataId val="3"/>
          <cx:layoutPr/>
        </cx:series>
        <cx:series layoutId="treemap" hidden="1" uniqueId="{04696C92-5D4A-4FDF-8A3E-B1F71113F090}" formatIdx="4">
          <cx:tx>
            <cx:txData>
              <cx:f>_xlchart.v1.20</cx:f>
              <cx:v>Grand Total</cx:v>
            </cx:txData>
          </cx:tx>
          <cx:dataLabels>
            <cx:visibility seriesName="0" categoryName="1" value="0"/>
          </cx:dataLabels>
          <cx:dataId val="4"/>
          <cx:layoutPr/>
        </cx:series>
      </cx:plotAreaRegion>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spPr>
    <a:solidFill>
      <a:schemeClr val="bg1">
        <a:lumMod val="95000"/>
      </a:schemeClr>
    </a:solidFill>
    <a:effectLst>
      <a:outerShdw blurRad="50800" dist="38100" dir="2700000" algn="tl"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_xlchart.v1.42</cx:f>
      </cx:strDim>
      <cx:numDim type="size">
        <cx:f>_xlchart.v1.44</cx:f>
      </cx:numDim>
    </cx:data>
    <cx:data id="1">
      <cx:strDim type="cat">
        <cx:f>_xlchart.v1.42</cx:f>
      </cx:strDim>
      <cx:numDim type="size">
        <cx:f>_xlchart.v1.46</cx:f>
      </cx:numDim>
    </cx:data>
    <cx:data id="2">
      <cx:strDim type="cat">
        <cx:f>_xlchart.v1.42</cx:f>
      </cx:strDim>
      <cx:numDim type="size">
        <cx:f>_xlchart.v1.48</cx:f>
      </cx:numDim>
    </cx:data>
    <cx:data id="3">
      <cx:strDim type="cat">
        <cx:f>_xlchart.v1.42</cx:f>
      </cx:strDim>
      <cx:numDim type="size">
        <cx:f>_xlchart.v1.50</cx:f>
      </cx:numDim>
    </cx:data>
    <cx:data id="4">
      <cx:strDim type="cat">
        <cx:f>_xlchart.v1.42</cx:f>
      </cx:strDim>
      <cx:numDim type="size">
        <cx:f>_xlchart.v1.52</cx:f>
      </cx:numDim>
    </cx:data>
  </cx:chartData>
  <cx:chart>
    <cx:title pos="t" align="ctr" overlay="0">
      <cx:tx>
        <cx:txData>
          <cx:v>Cancellation Trends and Reasons</cx:v>
        </cx:txData>
      </cx:tx>
      <cx:txPr>
        <a:bodyPr spcFirstLastPara="1" vertOverflow="ellipsis" horzOverflow="overflow" wrap="square" lIns="0" tIns="0" rIns="0" bIns="0" anchor="ctr" anchorCtr="1"/>
        <a:lstStyle/>
        <a:p>
          <a:pPr algn="ctr" rtl="0">
            <a:defRPr>
              <a:solidFill>
                <a:schemeClr val="tx1"/>
              </a:solidFill>
            </a:defRPr>
          </a:pPr>
          <a:r>
            <a:rPr lang="en-US" sz="2800" b="1" i="0" u="none" strike="noStrike" kern="1200" spc="0" baseline="0">
              <a:solidFill>
                <a:schemeClr val="tx1"/>
              </a:solidFill>
              <a:latin typeface="Calibri"/>
              <a:ea typeface="Calibri"/>
              <a:cs typeface="Calibri"/>
            </a:rPr>
            <a:t>Cancellation Trends and Reasons</a:t>
          </a:r>
        </a:p>
      </cx:txPr>
    </cx:title>
    <cx:plotArea>
      <cx:plotAreaRegion>
        <cx:series layoutId="treemap" uniqueId="{B940B708-864B-40DB-9072-D1FE3EB5C707}" formatIdx="0">
          <cx:tx>
            <cx:txData>
              <cx:f>_xlchart.v1.43</cx:f>
              <cx:v>Bangalore MBC</cx:v>
            </cx:txData>
          </cx:tx>
          <cx:dataLabels>
            <cx:txPr>
              <a:bodyPr spcFirstLastPara="1" vertOverflow="ellipsis" horzOverflow="overflow" wrap="square" lIns="0" tIns="0" rIns="0" bIns="0" anchor="ctr" anchorCtr="1"/>
              <a:lstStyle/>
              <a:p>
                <a:pPr algn="ctr" rtl="0">
                  <a:defRPr sz="2000"/>
                </a:pPr>
                <a:endParaRPr lang="en-US" sz="2000" b="0" i="0" u="none" strike="noStrike" kern="1200" baseline="0">
                  <a:solidFill>
                    <a:srgbClr val="000000">
                      <a:lumMod val="75000"/>
                      <a:lumOff val="25000"/>
                    </a:srgbClr>
                  </a:solidFill>
                  <a:latin typeface="Calibri"/>
                  <a:ea typeface="Calibri"/>
                  <a:cs typeface="Calibri"/>
                </a:endParaRPr>
              </a:p>
            </cx:txPr>
            <cx:visibility seriesName="1" categoryName="1" value="1"/>
            <cx:separator>, </cx:separator>
          </cx:dataLabels>
          <cx:dataId val="0"/>
          <cx:layoutPr/>
        </cx:series>
        <cx:series layoutId="treemap" hidden="1" uniqueId="{B0D716CD-123A-4B74-A12B-BC40DEEDC46A}" formatIdx="1">
          <cx:tx>
            <cx:txData>
              <cx:f>_xlchart.v1.45</cx:f>
              <cx:v>Chennai MBC</cx:v>
            </cx:txData>
          </cx:tx>
          <cx:dataLabels>
            <cx:visibility seriesName="0" categoryName="1" value="0"/>
          </cx:dataLabels>
          <cx:dataId val="1"/>
          <cx:layoutPr/>
        </cx:series>
        <cx:series layoutId="treemap" hidden="1" uniqueId="{12EAD7B9-0C9A-49D0-9ECC-610F64964E4E}" formatIdx="2">
          <cx:tx>
            <cx:txData>
              <cx:f>_xlchart.v1.47</cx:f>
              <cx:v>Delhi MBC</cx:v>
            </cx:txData>
          </cx:tx>
          <cx:dataLabels>
            <cx:visibility seriesName="0" categoryName="1" value="0"/>
          </cx:dataLabels>
          <cx:dataId val="2"/>
          <cx:layoutPr/>
        </cx:series>
        <cx:series layoutId="treemap" hidden="1" uniqueId="{E6F4AEAB-A104-4E57-925C-D1EE1EC9F084}" formatIdx="3">
          <cx:tx>
            <cx:txData>
              <cx:f>_xlchart.v1.49</cx:f>
              <cx:v>Mumbai MBC</cx:v>
            </cx:txData>
          </cx:tx>
          <cx:dataLabels>
            <cx:visibility seriesName="0" categoryName="1" value="0"/>
          </cx:dataLabels>
          <cx:dataId val="3"/>
          <cx:layoutPr/>
        </cx:series>
        <cx:series layoutId="treemap" hidden="1" uniqueId="{04696C92-5D4A-4FDF-8A3E-B1F71113F090}" formatIdx="4">
          <cx:tx>
            <cx:txData>
              <cx:f>_xlchart.v1.51</cx:f>
              <cx:v>Grand Total</cx:v>
            </cx:txData>
          </cx:tx>
          <cx:dataLabels>
            <cx:visibility seriesName="0" categoryName="1" value="0"/>
          </cx:dataLabels>
          <cx:dataId val="4"/>
          <cx:layoutPr/>
        </cx:series>
      </cx:plotAreaRegion>
    </cx:plotArea>
    <cx:legend pos="t" align="ctr" overlay="0">
      <cx:spPr>
        <a:effectLst>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sz="1800"/>
          </a:pPr>
          <a:endParaRPr lang="en-US" sz="1800" b="0" i="0" u="none" strike="noStrike" kern="1200" baseline="0">
            <a:solidFill>
              <a:srgbClr val="000000">
                <a:lumMod val="65000"/>
                <a:lumOff val="35000"/>
              </a:srgbClr>
            </a:solidFill>
            <a:latin typeface="Calibri"/>
            <a:ea typeface="Calibri"/>
            <a:cs typeface="Calibri"/>
          </a:endParaRPr>
        </a:p>
      </cx:txPr>
    </cx:legend>
  </cx:chart>
  <cx:spPr>
    <a:solidFill>
      <a:schemeClr val="bg1">
        <a:lumMod val="95000"/>
      </a:schemeClr>
    </a:solidFill>
    <a:effectLst>
      <a:outerShdw blurRad="50800" dist="38100" dir="5400000" algn="t" rotWithShape="0">
        <a:prstClr val="black">
          <a:alpha val="40000"/>
        </a:prstClr>
      </a:outerShd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 dir="row">_xlchart.v2.58</cx:f>
      </cx:strDim>
      <cx:numDim type="val">
        <cx:f dir="row">_xlchart.v2.59</cx:f>
      </cx:numDim>
    </cx:data>
    <cx:data id="1">
      <cx:strDim type="cat">
        <cx:f dir="row">_xlchart.v2.58</cx:f>
      </cx:strDim>
      <cx:numDim type="val">
        <cx:f dir="row">_xlchart.v2.60</cx:f>
      </cx:numDim>
    </cx:data>
    <cx:data id="2">
      <cx:strDim type="cat">
        <cx:f dir="row">_xlchart.v2.58</cx:f>
      </cx:strDim>
      <cx:numDim type="val">
        <cx:f dir="row">_xlchart.v2.61</cx:f>
      </cx:numDim>
    </cx:data>
    <cx:data id="3">
      <cx:strDim type="cat">
        <cx:f dir="row">_xlchart.v2.58</cx:f>
      </cx:strDim>
      <cx:numDim type="val">
        <cx:f dir="row">_xlchart.v2.62</cx:f>
      </cx:numDim>
    </cx:data>
    <cx:data id="4">
      <cx:strDim type="cat">
        <cx:f dir="row">_xlchart.v2.58</cx:f>
      </cx:strDim>
      <cx:numDim type="val">
        <cx:f dir="row">_xlchart.v2.63</cx:f>
      </cx:numDim>
    </cx:data>
  </cx:chartData>
  <cx:chart>
    <cx:title pos="t" align="ctr" overlay="0">
      <cx:tx>
        <cx:txData>
          <cx:v>Lead to Delivery Conversion Funnel</cx:v>
        </cx:txData>
      </cx:tx>
      <cx:txPr>
        <a:bodyPr spcFirstLastPara="1" vertOverflow="ellipsis" horzOverflow="overflow" wrap="square" lIns="0" tIns="0" rIns="0" bIns="0" anchor="ctr" anchorCtr="1"/>
        <a:lstStyle/>
        <a:p>
          <a:pPr algn="ctr" rtl="0">
            <a:defRPr>
              <a:solidFill>
                <a:schemeClr val="tx1"/>
              </a:solidFill>
            </a:defRPr>
          </a:pPr>
          <a:r>
            <a:rPr lang="en-US" sz="2800" b="1" i="0" u="none" strike="noStrike" baseline="0">
              <a:solidFill>
                <a:schemeClr val="tx1"/>
              </a:solidFill>
              <a:latin typeface="Calibri"/>
              <a:ea typeface="Calibri"/>
              <a:cs typeface="Calibri"/>
            </a:rPr>
            <a:t>Lead to Delivery Conversion Funnel</a:t>
          </a:r>
        </a:p>
      </cx:txPr>
    </cx:title>
    <cx:plotArea>
      <cx:plotAreaRegion>
        <cx:plotSurface>
          <cx:spPr>
            <a:solidFill>
              <a:schemeClr val="bg1">
                <a:lumMod val="95000"/>
              </a:schemeClr>
            </a:solidFill>
          </cx:spPr>
        </cx:plotSurface>
        <cx:series layoutId="funnel" uniqueId="{F3E53C62-9AB8-4991-A286-C9A699D31423}" formatIdx="0">
          <cx:tx>
            <cx:txData>
              <cx:f>_xlchart.v2.53</cx:f>
              <cx:v>Bangalore MBC</cx:v>
            </cx:txData>
          </cx:tx>
          <cx:spPr>
            <a:solidFill>
              <a:schemeClr val="accent3">
                <a:lumMod val="60000"/>
                <a:lumOff val="40000"/>
              </a:schemeClr>
            </a:solidFill>
          </cx:spPr>
          <cx:dataLabels>
            <cx:txPr>
              <a:bodyPr spcFirstLastPara="1" vertOverflow="ellipsis" horzOverflow="overflow" wrap="square" lIns="0" tIns="0" rIns="0" bIns="0" anchor="ctr" anchorCtr="1"/>
              <a:lstStyle/>
              <a:p>
                <a:pPr algn="ctr" rtl="0">
                  <a:defRPr sz="2000" b="1">
                    <a:solidFill>
                      <a:schemeClr val="tx1"/>
                    </a:solidFill>
                  </a:defRPr>
                </a:pPr>
                <a:endParaRPr lang="en-US" sz="2000" b="1" i="0" u="none" strike="noStrike" baseline="0">
                  <a:solidFill>
                    <a:schemeClr val="tx1"/>
                  </a:solidFill>
                  <a:latin typeface="Calibri"/>
                  <a:ea typeface="Calibri"/>
                  <a:cs typeface="Calibri"/>
                </a:endParaRPr>
              </a:p>
            </cx:txPr>
            <cx:visibility seriesName="1" categoryName="1" value="1"/>
            <cx:separator>, </cx:separator>
          </cx:dataLabels>
          <cx:dataId val="0"/>
        </cx:series>
        <cx:series layoutId="funnel" hidden="1" uniqueId="{73DDFC5D-A320-492D-8AC6-69E02ECE9C2A}" formatIdx="1">
          <cx:tx>
            <cx:txData>
              <cx:f>_xlchart.v2.54</cx:f>
              <cx:v>Chennai MBC</cx:v>
            </cx:txData>
          </cx:tx>
          <cx:dataLabels>
            <cx:visibility seriesName="0" categoryName="0" value="1"/>
          </cx:dataLabels>
          <cx:dataId val="1"/>
        </cx:series>
        <cx:series layoutId="funnel" hidden="1" uniqueId="{119E1830-4465-48EF-B24A-5787C576A3F2}" formatIdx="2">
          <cx:tx>
            <cx:txData>
              <cx:f>_xlchart.v2.55</cx:f>
              <cx:v>Delhi MBC</cx:v>
            </cx:txData>
          </cx:tx>
          <cx:dataLabels>
            <cx:visibility seriesName="0" categoryName="0" value="1"/>
          </cx:dataLabels>
          <cx:dataId val="2"/>
        </cx:series>
        <cx:series layoutId="funnel" hidden="1" uniqueId="{A1879188-9D3C-4EA1-8A8E-83941626FDFF}" formatIdx="3">
          <cx:tx>
            <cx:txData>
              <cx:f>_xlchart.v2.56</cx:f>
              <cx:v>Mumbai MBC</cx:v>
            </cx:txData>
          </cx:tx>
          <cx:dataLabels>
            <cx:visibility seriesName="0" categoryName="0" value="1"/>
          </cx:dataLabels>
          <cx:dataId val="3"/>
        </cx:series>
        <cx:series layoutId="funnel" hidden="1" uniqueId="{5E9D7DF1-1D9D-4D16-A05E-F1BF1468F100}" formatIdx="4">
          <cx:tx>
            <cx:txData>
              <cx:f>_xlchart.v2.57</cx:f>
              <cx:v>Grand Total</cx:v>
            </cx:txData>
          </cx:tx>
          <cx:dataLabels>
            <cx:visibility seriesName="0" categoryName="0" value="1"/>
          </cx:dataLabels>
          <cx:dataId val="4"/>
        </cx:series>
      </cx:plotAreaRegion>
      <cx:axis id="0" hidden="1">
        <cx:catScaling gapWidth="0.25999999"/>
        <cx:tickLabels/>
      </cx:axis>
    </cx:plotArea>
  </cx:chart>
</cx: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8" Type="http://schemas.openxmlformats.org/officeDocument/2006/relationships/image" Target="../media/image4.png"/><Relationship Id="rId3" Type="http://schemas.microsoft.com/office/2014/relationships/chartEx" Target="../charts/chartEx3.xml"/><Relationship Id="rId7" Type="http://schemas.openxmlformats.org/officeDocument/2006/relationships/image" Target="../media/image3.png"/><Relationship Id="rId12" Type="http://schemas.microsoft.com/office/2014/relationships/chartEx" Target="../charts/chartEx4.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6.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8</xdr:col>
      <xdr:colOff>449944</xdr:colOff>
      <xdr:row>11</xdr:row>
      <xdr:rowOff>48811</xdr:rowOff>
    </xdr:from>
    <xdr:to>
      <xdr:col>9</xdr:col>
      <xdr:colOff>407138</xdr:colOff>
      <xdr:row>12</xdr:row>
      <xdr:rowOff>64283</xdr:rowOff>
    </xdr:to>
    <xdr:sp macro="" textlink="">
      <xdr:nvSpPr>
        <xdr:cNvPr id="4" name="TextBox 3">
          <a:extLst>
            <a:ext uri="{FF2B5EF4-FFF2-40B4-BE49-F238E27FC236}">
              <a16:creationId xmlns:a16="http://schemas.microsoft.com/office/drawing/2014/main" id="{B68B5D9C-B0DC-8EC2-A716-4A881513FB5E}"/>
            </a:ext>
          </a:extLst>
        </xdr:cNvPr>
        <xdr:cNvSpPr txBox="1"/>
      </xdr:nvSpPr>
      <xdr:spPr>
        <a:xfrm>
          <a:off x="8244115" y="2044525"/>
          <a:ext cx="1125594" cy="196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tx1"/>
            </a:solidFill>
          </a:endParaRPr>
        </a:p>
      </xdr:txBody>
    </xdr:sp>
    <xdr:clientData/>
  </xdr:twoCellAnchor>
  <xdr:twoCellAnchor>
    <xdr:from>
      <xdr:col>5</xdr:col>
      <xdr:colOff>725714</xdr:colOff>
      <xdr:row>7</xdr:row>
      <xdr:rowOff>0</xdr:rowOff>
    </xdr:from>
    <xdr:to>
      <xdr:col>8</xdr:col>
      <xdr:colOff>878115</xdr:colOff>
      <xdr:row>8</xdr:row>
      <xdr:rowOff>72571</xdr:rowOff>
    </xdr:to>
    <xdr:sp macro="" textlink="">
      <xdr:nvSpPr>
        <xdr:cNvPr id="5" name="TextBox 4">
          <a:extLst>
            <a:ext uri="{FF2B5EF4-FFF2-40B4-BE49-F238E27FC236}">
              <a16:creationId xmlns:a16="http://schemas.microsoft.com/office/drawing/2014/main" id="{F99BD939-EC88-3C5B-6094-AB1D556FBE5B}"/>
            </a:ext>
          </a:extLst>
        </xdr:cNvPr>
        <xdr:cNvSpPr txBox="1"/>
      </xdr:nvSpPr>
      <xdr:spPr>
        <a:xfrm>
          <a:off x="6197600" y="1270000"/>
          <a:ext cx="2474686"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solidFill>
              <a:schemeClr val="tx1"/>
            </a:solidFill>
          </a:endParaRPr>
        </a:p>
      </xdr:txBody>
    </xdr:sp>
    <xdr:clientData/>
  </xdr:twoCellAnchor>
  <xdr:twoCellAnchor editAs="oneCell">
    <xdr:from>
      <xdr:col>6</xdr:col>
      <xdr:colOff>283877</xdr:colOff>
      <xdr:row>99</xdr:row>
      <xdr:rowOff>57445</xdr:rowOff>
    </xdr:from>
    <xdr:to>
      <xdr:col>7</xdr:col>
      <xdr:colOff>439447</xdr:colOff>
      <xdr:row>106</xdr:row>
      <xdr:rowOff>131492</xdr:rowOff>
    </xdr:to>
    <mc:AlternateContent xmlns:mc="http://schemas.openxmlformats.org/markup-compatibility/2006">
      <mc:Choice xmlns:a14="http://schemas.microsoft.com/office/drawing/2010/main" Requires="a14">
        <xdr:graphicFrame macro="">
          <xdr:nvGraphicFramePr>
            <xdr:cNvPr id="44" name="Store Name">
              <a:extLst>
                <a:ext uri="{FF2B5EF4-FFF2-40B4-BE49-F238E27FC236}">
                  <a16:creationId xmlns:a16="http://schemas.microsoft.com/office/drawing/2014/main" id="{78C63D66-D500-F5BD-D803-813A93EEE46B}"/>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dr:sp macro="" textlink="">
          <xdr:nvSpPr>
            <xdr:cNvPr id="0" name=""/>
            <xdr:cNvSpPr>
              <a:spLocks noTextEdit="1"/>
            </xdr:cNvSpPr>
          </xdr:nvSpPr>
          <xdr:spPr>
            <a:xfrm>
              <a:off x="6570377" y="18816682"/>
              <a:ext cx="1839991" cy="1347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391027</xdr:colOff>
      <xdr:row>8</xdr:row>
      <xdr:rowOff>92855</xdr:rowOff>
    </xdr:from>
    <xdr:to>
      <xdr:col>10</xdr:col>
      <xdr:colOff>1315452</xdr:colOff>
      <xdr:row>34</xdr:row>
      <xdr:rowOff>90236</xdr:rowOff>
    </xdr:to>
    <xdr:grpSp>
      <xdr:nvGrpSpPr>
        <xdr:cNvPr id="11" name="Group 10">
          <a:extLst>
            <a:ext uri="{FF2B5EF4-FFF2-40B4-BE49-F238E27FC236}">
              <a16:creationId xmlns:a16="http://schemas.microsoft.com/office/drawing/2014/main" id="{5441B0D3-D561-774E-5E76-08A942F1DB61}"/>
            </a:ext>
          </a:extLst>
        </xdr:cNvPr>
        <xdr:cNvGrpSpPr/>
      </xdr:nvGrpSpPr>
      <xdr:grpSpPr>
        <a:xfrm>
          <a:off x="2115553" y="1576750"/>
          <a:ext cx="11903241" cy="4940354"/>
          <a:chOff x="2737184" y="1546671"/>
          <a:chExt cx="12304294" cy="4940354"/>
        </a:xfrm>
      </xdr:grpSpPr>
      <xdr:grpSp>
        <xdr:nvGrpSpPr>
          <xdr:cNvPr id="17" name="Group 16">
            <a:extLst>
              <a:ext uri="{FF2B5EF4-FFF2-40B4-BE49-F238E27FC236}">
                <a16:creationId xmlns:a16="http://schemas.microsoft.com/office/drawing/2014/main" id="{30F2480D-4D4D-0EA4-4714-F7F66C2B96CB}"/>
              </a:ext>
            </a:extLst>
          </xdr:cNvPr>
          <xdr:cNvGrpSpPr/>
        </xdr:nvGrpSpPr>
        <xdr:grpSpPr>
          <a:xfrm>
            <a:off x="11059643" y="1546671"/>
            <a:ext cx="1870173" cy="695011"/>
            <a:chOff x="13322439" y="1649605"/>
            <a:chExt cx="1850572" cy="669890"/>
          </a:xfrm>
        </xdr:grpSpPr>
        <xdr:sp macro="" textlink="">
          <xdr:nvSpPr>
            <xdr:cNvPr id="12" name="Rectangle: Rounded Corners 11">
              <a:extLst>
                <a:ext uri="{FF2B5EF4-FFF2-40B4-BE49-F238E27FC236}">
                  <a16:creationId xmlns:a16="http://schemas.microsoft.com/office/drawing/2014/main" id="{3F038FC5-C072-776E-8D25-E8348D01B03F}"/>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6" name="Group 15">
              <a:extLst>
                <a:ext uri="{FF2B5EF4-FFF2-40B4-BE49-F238E27FC236}">
                  <a16:creationId xmlns:a16="http://schemas.microsoft.com/office/drawing/2014/main" id="{E4E91D09-5696-7CA0-60D2-7E0E8460B9DE}"/>
                </a:ext>
              </a:extLst>
            </xdr:cNvPr>
            <xdr:cNvGrpSpPr/>
          </xdr:nvGrpSpPr>
          <xdr:grpSpPr>
            <a:xfrm>
              <a:off x="13322439" y="1649605"/>
              <a:ext cx="1842197" cy="586153"/>
              <a:chOff x="13322439" y="1649605"/>
              <a:chExt cx="1842197" cy="586153"/>
            </a:xfrm>
          </xdr:grpSpPr>
          <xdr:sp macro="" textlink="L6">
            <xdr:nvSpPr>
              <xdr:cNvPr id="13" name="TextBox 12">
                <a:extLst>
                  <a:ext uri="{FF2B5EF4-FFF2-40B4-BE49-F238E27FC236}">
                    <a16:creationId xmlns:a16="http://schemas.microsoft.com/office/drawing/2014/main" id="{0E6C0FD2-DD16-1476-D872-4A262A9D1675}"/>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261DF4-CD9E-43E1-815D-759F6CDCD03D}" type="TxLink">
                  <a:rPr lang="en-US" sz="1600" b="1" i="0" u="none" strike="noStrike">
                    <a:solidFill>
                      <a:srgbClr val="000000"/>
                    </a:solidFill>
                    <a:latin typeface="Calibri"/>
                    <a:ea typeface="Calibri"/>
                    <a:cs typeface="Calibri"/>
                  </a:rPr>
                  <a:t>89.78%</a:t>
                </a:fld>
                <a:endParaRPr lang="en-IN" sz="1600" b="1"/>
              </a:p>
            </xdr:txBody>
          </xdr:sp>
          <xdr:sp macro="" textlink="">
            <xdr:nvSpPr>
              <xdr:cNvPr id="14" name="TextBox 13">
                <a:extLst>
                  <a:ext uri="{FF2B5EF4-FFF2-40B4-BE49-F238E27FC236}">
                    <a16:creationId xmlns:a16="http://schemas.microsoft.com/office/drawing/2014/main" id="{060DD386-72E7-8E8E-CC4C-DE3DED80EAAF}"/>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Delivery Rate</a:t>
                </a:r>
              </a:p>
            </xdr:txBody>
          </xdr:sp>
        </xdr:grpSp>
      </xdr:grpSp>
      <xdr:grpSp>
        <xdr:nvGrpSpPr>
          <xdr:cNvPr id="23" name="Group 22">
            <a:extLst>
              <a:ext uri="{FF2B5EF4-FFF2-40B4-BE49-F238E27FC236}">
                <a16:creationId xmlns:a16="http://schemas.microsoft.com/office/drawing/2014/main" id="{C7C794BE-0ED5-44D5-BD1F-6715833803D5}"/>
              </a:ext>
            </a:extLst>
          </xdr:cNvPr>
          <xdr:cNvGrpSpPr/>
        </xdr:nvGrpSpPr>
        <xdr:grpSpPr>
          <a:xfrm>
            <a:off x="2737184" y="1546671"/>
            <a:ext cx="1774658" cy="695011"/>
            <a:chOff x="13322439" y="1649605"/>
            <a:chExt cx="1850572" cy="669890"/>
          </a:xfrm>
        </xdr:grpSpPr>
        <xdr:sp macro="" textlink="">
          <xdr:nvSpPr>
            <xdr:cNvPr id="24" name="Rectangle: Rounded Corners 23">
              <a:extLst>
                <a:ext uri="{FF2B5EF4-FFF2-40B4-BE49-F238E27FC236}">
                  <a16:creationId xmlns:a16="http://schemas.microsoft.com/office/drawing/2014/main" id="{2E3B52BE-EF05-DF62-163E-8459C5B25409}"/>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5" name="Group 24">
              <a:extLst>
                <a:ext uri="{FF2B5EF4-FFF2-40B4-BE49-F238E27FC236}">
                  <a16:creationId xmlns:a16="http://schemas.microsoft.com/office/drawing/2014/main" id="{1EEEBE44-D1A9-B88B-5DED-C15FB18F6DAF}"/>
                </a:ext>
              </a:extLst>
            </xdr:cNvPr>
            <xdr:cNvGrpSpPr/>
          </xdr:nvGrpSpPr>
          <xdr:grpSpPr>
            <a:xfrm>
              <a:off x="13322439" y="1649605"/>
              <a:ext cx="1842197" cy="586153"/>
              <a:chOff x="13322439" y="1649605"/>
              <a:chExt cx="1842197" cy="586153"/>
            </a:xfrm>
          </xdr:grpSpPr>
          <xdr:sp macro="" textlink="B6">
            <xdr:nvSpPr>
              <xdr:cNvPr id="26" name="TextBox 25">
                <a:extLst>
                  <a:ext uri="{FF2B5EF4-FFF2-40B4-BE49-F238E27FC236}">
                    <a16:creationId xmlns:a16="http://schemas.microsoft.com/office/drawing/2014/main" id="{3E8BA1CE-E6E1-9CA2-9F95-86347824477C}"/>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712D27-2951-425F-9737-8303F5F14C40}" type="TxLink">
                  <a:rPr lang="en-US" sz="1800" b="1" i="0" u="none" strike="noStrike">
                    <a:solidFill>
                      <a:srgbClr val="000000"/>
                    </a:solidFill>
                    <a:latin typeface="Calibri"/>
                    <a:ea typeface="Calibri"/>
                    <a:cs typeface="Calibri"/>
                  </a:rPr>
                  <a:pPr algn="ctr"/>
                  <a:t>1000</a:t>
                </a:fld>
                <a:endParaRPr lang="en-IN" sz="1800" b="1"/>
              </a:p>
            </xdr:txBody>
          </xdr:sp>
          <xdr:sp macro="" textlink="">
            <xdr:nvSpPr>
              <xdr:cNvPr id="27" name="TextBox 26">
                <a:extLst>
                  <a:ext uri="{FF2B5EF4-FFF2-40B4-BE49-F238E27FC236}">
                    <a16:creationId xmlns:a16="http://schemas.microsoft.com/office/drawing/2014/main" id="{921E7CD6-9C93-A964-169E-0ABC2F6BEA4D}"/>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Total Leads Generated</a:t>
                </a:r>
              </a:p>
            </xdr:txBody>
          </xdr:sp>
        </xdr:grpSp>
      </xdr:grpSp>
      <xdr:grpSp>
        <xdr:nvGrpSpPr>
          <xdr:cNvPr id="28" name="Group 27">
            <a:extLst>
              <a:ext uri="{FF2B5EF4-FFF2-40B4-BE49-F238E27FC236}">
                <a16:creationId xmlns:a16="http://schemas.microsoft.com/office/drawing/2014/main" id="{82AB4A03-CED3-4566-A7B4-5BACCBFD8D65}"/>
              </a:ext>
            </a:extLst>
          </xdr:cNvPr>
          <xdr:cNvGrpSpPr/>
        </xdr:nvGrpSpPr>
        <xdr:grpSpPr>
          <a:xfrm>
            <a:off x="4753331" y="1546671"/>
            <a:ext cx="1881655" cy="695011"/>
            <a:chOff x="13322439" y="1649605"/>
            <a:chExt cx="1850572" cy="669890"/>
          </a:xfrm>
        </xdr:grpSpPr>
        <xdr:sp macro="" textlink="">
          <xdr:nvSpPr>
            <xdr:cNvPr id="29" name="Rectangle: Rounded Corners 28">
              <a:extLst>
                <a:ext uri="{FF2B5EF4-FFF2-40B4-BE49-F238E27FC236}">
                  <a16:creationId xmlns:a16="http://schemas.microsoft.com/office/drawing/2014/main" id="{B7CA32AB-72AC-B7B0-AB60-CAE575A8006E}"/>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0" name="Group 29">
              <a:extLst>
                <a:ext uri="{FF2B5EF4-FFF2-40B4-BE49-F238E27FC236}">
                  <a16:creationId xmlns:a16="http://schemas.microsoft.com/office/drawing/2014/main" id="{15748474-864A-6897-AB45-DFFF47F8CDB9}"/>
                </a:ext>
              </a:extLst>
            </xdr:cNvPr>
            <xdr:cNvGrpSpPr/>
          </xdr:nvGrpSpPr>
          <xdr:grpSpPr>
            <a:xfrm>
              <a:off x="13322439" y="1649605"/>
              <a:ext cx="1842197" cy="586153"/>
              <a:chOff x="13322439" y="1649605"/>
              <a:chExt cx="1842197" cy="586153"/>
            </a:xfrm>
          </xdr:grpSpPr>
          <xdr:sp macro="" textlink="I6">
            <xdr:nvSpPr>
              <xdr:cNvPr id="31" name="TextBox 30">
                <a:extLst>
                  <a:ext uri="{FF2B5EF4-FFF2-40B4-BE49-F238E27FC236}">
                    <a16:creationId xmlns:a16="http://schemas.microsoft.com/office/drawing/2014/main" id="{2C222DE0-6074-018D-B680-FC17840FFB2A}"/>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1F83AE-78C2-45B7-97DF-3A443DDBB1BA}" type="TxLink">
                  <a:rPr lang="en-US" sz="1800" b="1" i="0" u="none" strike="noStrike">
                    <a:solidFill>
                      <a:srgbClr val="000000"/>
                    </a:solidFill>
                    <a:latin typeface="Calibri"/>
                    <a:ea typeface="Calibri"/>
                    <a:cs typeface="Calibri"/>
                  </a:rPr>
                  <a:pPr algn="ctr"/>
                  <a:t>81.20%</a:t>
                </a:fld>
                <a:endParaRPr lang="en-IN" sz="1800" b="1"/>
              </a:p>
            </xdr:txBody>
          </xdr:sp>
          <xdr:sp macro="" textlink="">
            <xdr:nvSpPr>
              <xdr:cNvPr id="32" name="TextBox 31">
                <a:extLst>
                  <a:ext uri="{FF2B5EF4-FFF2-40B4-BE49-F238E27FC236}">
                    <a16:creationId xmlns:a16="http://schemas.microsoft.com/office/drawing/2014/main" id="{4AD0F243-93AE-3475-DB7E-11B1848B058A}"/>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Pre-Booking Conversion %</a:t>
                </a:r>
              </a:p>
            </xdr:txBody>
          </xdr:sp>
        </xdr:grpSp>
      </xdr:grpSp>
      <xdr:grpSp>
        <xdr:nvGrpSpPr>
          <xdr:cNvPr id="33" name="Group 32">
            <a:extLst>
              <a:ext uri="{FF2B5EF4-FFF2-40B4-BE49-F238E27FC236}">
                <a16:creationId xmlns:a16="http://schemas.microsoft.com/office/drawing/2014/main" id="{F1833811-C12F-41F7-A4DC-4CDC941C6148}"/>
              </a:ext>
            </a:extLst>
          </xdr:cNvPr>
          <xdr:cNvGrpSpPr/>
        </xdr:nvGrpSpPr>
        <xdr:grpSpPr>
          <a:xfrm>
            <a:off x="6876475" y="1546671"/>
            <a:ext cx="1861364" cy="695011"/>
            <a:chOff x="13322439" y="1649605"/>
            <a:chExt cx="1850572" cy="669890"/>
          </a:xfrm>
        </xdr:grpSpPr>
        <xdr:sp macro="" textlink="">
          <xdr:nvSpPr>
            <xdr:cNvPr id="34" name="Rectangle: Rounded Corners 33">
              <a:extLst>
                <a:ext uri="{FF2B5EF4-FFF2-40B4-BE49-F238E27FC236}">
                  <a16:creationId xmlns:a16="http://schemas.microsoft.com/office/drawing/2014/main" id="{19B3EA9E-806D-B469-CAAC-55B58DE7026D}"/>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5" name="Group 34">
              <a:extLst>
                <a:ext uri="{FF2B5EF4-FFF2-40B4-BE49-F238E27FC236}">
                  <a16:creationId xmlns:a16="http://schemas.microsoft.com/office/drawing/2014/main" id="{DFD8EF91-CE40-EE09-B17A-38B35D2E9404}"/>
                </a:ext>
              </a:extLst>
            </xdr:cNvPr>
            <xdr:cNvGrpSpPr/>
          </xdr:nvGrpSpPr>
          <xdr:grpSpPr>
            <a:xfrm>
              <a:off x="13322439" y="1649605"/>
              <a:ext cx="1842197" cy="586153"/>
              <a:chOff x="13322439" y="1649605"/>
              <a:chExt cx="1842197" cy="586153"/>
            </a:xfrm>
          </xdr:grpSpPr>
          <xdr:sp macro="" textlink="J6">
            <xdr:nvSpPr>
              <xdr:cNvPr id="36" name="TextBox 35">
                <a:extLst>
                  <a:ext uri="{FF2B5EF4-FFF2-40B4-BE49-F238E27FC236}">
                    <a16:creationId xmlns:a16="http://schemas.microsoft.com/office/drawing/2014/main" id="{F02648E9-78FF-9158-6525-5982BD89E1A4}"/>
                  </a:ext>
                </a:extLst>
              </xdr:cNvPr>
              <xdr:cNvSpPr txBox="1"/>
            </xdr:nvSpPr>
            <xdr:spPr>
              <a:xfrm>
                <a:off x="13866725" y="1884065"/>
                <a:ext cx="1013962"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44ADD9-50DE-4F41-9C0B-070FF65BCA89}" type="TxLink">
                  <a:rPr lang="en-US" sz="1800" b="1" i="0" u="none" strike="noStrike">
                    <a:solidFill>
                      <a:srgbClr val="000000"/>
                    </a:solidFill>
                    <a:latin typeface="Calibri"/>
                    <a:ea typeface="Calibri"/>
                    <a:cs typeface="Calibri"/>
                  </a:rPr>
                  <a:pPr algn="ctr"/>
                  <a:t>100.00%</a:t>
                </a:fld>
                <a:endParaRPr lang="en-IN" sz="1800" b="1"/>
              </a:p>
            </xdr:txBody>
          </xdr:sp>
          <xdr:sp macro="" textlink="">
            <xdr:nvSpPr>
              <xdr:cNvPr id="37" name="TextBox 36">
                <a:extLst>
                  <a:ext uri="{FF2B5EF4-FFF2-40B4-BE49-F238E27FC236}">
                    <a16:creationId xmlns:a16="http://schemas.microsoft.com/office/drawing/2014/main" id="{7C27BFE5-4EC7-8616-1BF1-76DC5D9926B9}"/>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Booking Conversion %</a:t>
                </a:r>
              </a:p>
            </xdr:txBody>
          </xdr:sp>
        </xdr:grpSp>
      </xdr:grpSp>
      <xdr:grpSp>
        <xdr:nvGrpSpPr>
          <xdr:cNvPr id="38" name="Group 37">
            <a:extLst>
              <a:ext uri="{FF2B5EF4-FFF2-40B4-BE49-F238E27FC236}">
                <a16:creationId xmlns:a16="http://schemas.microsoft.com/office/drawing/2014/main" id="{A8432866-1B75-49DC-B23A-BFC7F71DDA23}"/>
              </a:ext>
            </a:extLst>
          </xdr:cNvPr>
          <xdr:cNvGrpSpPr/>
        </xdr:nvGrpSpPr>
        <xdr:grpSpPr>
          <a:xfrm>
            <a:off x="8979328" y="1546671"/>
            <a:ext cx="1838826" cy="695011"/>
            <a:chOff x="13322439" y="1649605"/>
            <a:chExt cx="1850572" cy="669890"/>
          </a:xfrm>
        </xdr:grpSpPr>
        <xdr:sp macro="" textlink="">
          <xdr:nvSpPr>
            <xdr:cNvPr id="39" name="Rectangle: Rounded Corners 38">
              <a:extLst>
                <a:ext uri="{FF2B5EF4-FFF2-40B4-BE49-F238E27FC236}">
                  <a16:creationId xmlns:a16="http://schemas.microsoft.com/office/drawing/2014/main" id="{EAB53A4E-E1D9-5BB1-DF23-0E2C90C46811}"/>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0" name="Group 39">
              <a:extLst>
                <a:ext uri="{FF2B5EF4-FFF2-40B4-BE49-F238E27FC236}">
                  <a16:creationId xmlns:a16="http://schemas.microsoft.com/office/drawing/2014/main" id="{AFF7022F-2A9F-7A69-DB7A-C89917869B0A}"/>
                </a:ext>
              </a:extLst>
            </xdr:cNvPr>
            <xdr:cNvGrpSpPr/>
          </xdr:nvGrpSpPr>
          <xdr:grpSpPr>
            <a:xfrm>
              <a:off x="13322439" y="1649605"/>
              <a:ext cx="1842197" cy="586153"/>
              <a:chOff x="13322439" y="1649605"/>
              <a:chExt cx="1842197" cy="586153"/>
            </a:xfrm>
          </xdr:grpSpPr>
          <xdr:sp macro="" textlink="K6">
            <xdr:nvSpPr>
              <xdr:cNvPr id="41" name="TextBox 40">
                <a:extLst>
                  <a:ext uri="{FF2B5EF4-FFF2-40B4-BE49-F238E27FC236}">
                    <a16:creationId xmlns:a16="http://schemas.microsoft.com/office/drawing/2014/main" id="{621C7505-5FA0-CFB6-9CD6-A7BBAC4AB2DF}"/>
                  </a:ext>
                </a:extLst>
              </xdr:cNvPr>
              <xdr:cNvSpPr txBox="1"/>
            </xdr:nvSpPr>
            <xdr:spPr>
              <a:xfrm>
                <a:off x="13618605" y="1884065"/>
                <a:ext cx="141745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60B4BC-B50E-469C-BDAA-80E23D4B64D8}" type="TxLink">
                  <a:rPr lang="en-US" sz="1800" b="1" i="0" u="none" strike="noStrike">
                    <a:solidFill>
                      <a:srgbClr val="000000"/>
                    </a:solidFill>
                    <a:latin typeface="Calibri"/>
                    <a:ea typeface="Calibri"/>
                    <a:cs typeface="Calibri"/>
                  </a:rPr>
                  <a:pPr algn="ctr"/>
                  <a:t>100.00%</a:t>
                </a:fld>
                <a:endParaRPr lang="en-IN" sz="1800" b="1"/>
              </a:p>
            </xdr:txBody>
          </xdr:sp>
          <xdr:sp macro="" textlink="">
            <xdr:nvSpPr>
              <xdr:cNvPr id="42" name="TextBox 41">
                <a:extLst>
                  <a:ext uri="{FF2B5EF4-FFF2-40B4-BE49-F238E27FC236}">
                    <a16:creationId xmlns:a16="http://schemas.microsoft.com/office/drawing/2014/main" id="{2EA54FC5-9D4B-3EAB-4ED6-165B3333233E}"/>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Delivery Conversion %</a:t>
                </a:r>
              </a:p>
            </xdr:txBody>
          </xdr:sp>
        </xdr:grpSp>
      </xdr:grpSp>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FE941DCF-6A57-F433-7329-BAEE6B2A6F7A}"/>
                  </a:ext>
                  <a:ext uri="{147F2762-F138-4A5C-976F-8EAC2B608ADB}">
                    <a16:predDERef xmlns:a16="http://schemas.microsoft.com/office/drawing/2014/main" pred="{8EE48ADF-FA57-F99E-211D-BD9FC475453C}"/>
                  </a:ext>
                </a:extLst>
              </xdr:cNvPr>
              <xdr:cNvGraphicFramePr/>
            </xdr:nvGraphicFramePr>
            <xdr:xfrm>
              <a:off x="4982076" y="2481512"/>
              <a:ext cx="8262687" cy="4005513"/>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82076" y="2481512"/>
                <a:ext cx="8262687" cy="40055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nvGrpSpPr>
          <xdr:cNvPr id="6" name="Group 5">
            <a:extLst>
              <a:ext uri="{FF2B5EF4-FFF2-40B4-BE49-F238E27FC236}">
                <a16:creationId xmlns:a16="http://schemas.microsoft.com/office/drawing/2014/main" id="{19841C1D-8287-4540-BF2E-5A7897331D6B}"/>
              </a:ext>
            </a:extLst>
          </xdr:cNvPr>
          <xdr:cNvGrpSpPr/>
        </xdr:nvGrpSpPr>
        <xdr:grpSpPr>
          <a:xfrm>
            <a:off x="13171305" y="1546671"/>
            <a:ext cx="1870173" cy="695011"/>
            <a:chOff x="13322439" y="1649605"/>
            <a:chExt cx="1850572" cy="669890"/>
          </a:xfrm>
        </xdr:grpSpPr>
        <xdr:sp macro="" textlink="">
          <xdr:nvSpPr>
            <xdr:cNvPr id="7" name="Rectangle: Rounded Corners 6">
              <a:extLst>
                <a:ext uri="{FF2B5EF4-FFF2-40B4-BE49-F238E27FC236}">
                  <a16:creationId xmlns:a16="http://schemas.microsoft.com/office/drawing/2014/main" id="{5215E712-3036-72E9-3D3B-311BDB9B3C73}"/>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 name="Group 7">
              <a:extLst>
                <a:ext uri="{FF2B5EF4-FFF2-40B4-BE49-F238E27FC236}">
                  <a16:creationId xmlns:a16="http://schemas.microsoft.com/office/drawing/2014/main" id="{3EC171CC-5F37-DA76-58B7-01AA00AF2051}"/>
                </a:ext>
              </a:extLst>
            </xdr:cNvPr>
            <xdr:cNvGrpSpPr/>
          </xdr:nvGrpSpPr>
          <xdr:grpSpPr>
            <a:xfrm>
              <a:off x="13322439" y="1649605"/>
              <a:ext cx="1842197" cy="586153"/>
              <a:chOff x="13322439" y="1649605"/>
              <a:chExt cx="1842197" cy="586153"/>
            </a:xfrm>
          </xdr:grpSpPr>
          <xdr:sp macro="" textlink="M6">
            <xdr:nvSpPr>
              <xdr:cNvPr id="9" name="TextBox 8">
                <a:extLst>
                  <a:ext uri="{FF2B5EF4-FFF2-40B4-BE49-F238E27FC236}">
                    <a16:creationId xmlns:a16="http://schemas.microsoft.com/office/drawing/2014/main" id="{DBD9243C-792A-7761-6920-37C49D9D4E32}"/>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712F0B-7D3E-419A-83B5-6F8A36053159}" type="TxLink">
                  <a:rPr lang="en-US" sz="1600" b="1" i="0" u="none" strike="noStrike">
                    <a:solidFill>
                      <a:srgbClr val="000000"/>
                    </a:solidFill>
                    <a:latin typeface="Calibri"/>
                    <a:ea typeface="Calibri"/>
                    <a:cs typeface="Calibri"/>
                  </a:rPr>
                  <a:t>72.90%</a:t>
                </a:fld>
                <a:endParaRPr lang="en-IN" sz="1600" b="1"/>
              </a:p>
            </xdr:txBody>
          </xdr:sp>
          <xdr:sp macro="" textlink="">
            <xdr:nvSpPr>
              <xdr:cNvPr id="10" name="TextBox 9">
                <a:extLst>
                  <a:ext uri="{FF2B5EF4-FFF2-40B4-BE49-F238E27FC236}">
                    <a16:creationId xmlns:a16="http://schemas.microsoft.com/office/drawing/2014/main" id="{776EFA2C-517F-7305-8028-5361259AD081}"/>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Overall Lead-to-Delivery Rate</a:t>
                </a:r>
              </a:p>
            </xdr:txBody>
          </xdr:sp>
        </xdr:grpSp>
      </xdr:grpSp>
    </xdr:grpSp>
    <xdr:clientData/>
  </xdr:twoCellAnchor>
  <xdr:twoCellAnchor editAs="oneCell">
    <xdr:from>
      <xdr:col>8</xdr:col>
      <xdr:colOff>0</xdr:colOff>
      <xdr:row>100</xdr:row>
      <xdr:rowOff>0</xdr:rowOff>
    </xdr:from>
    <xdr:to>
      <xdr:col>9</xdr:col>
      <xdr:colOff>245932</xdr:colOff>
      <xdr:row>112</xdr:row>
      <xdr:rowOff>179695</xdr:rowOff>
    </xdr:to>
    <mc:AlternateContent xmlns:mc="http://schemas.openxmlformats.org/markup-compatibility/2006">
      <mc:Choice xmlns:a14="http://schemas.microsoft.com/office/drawing/2010/main" Requires="a14">
        <xdr:graphicFrame macro="">
          <xdr:nvGraphicFramePr>
            <xdr:cNvPr id="15" name="Store Name 4">
              <a:extLst>
                <a:ext uri="{FF2B5EF4-FFF2-40B4-BE49-F238E27FC236}">
                  <a16:creationId xmlns:a16="http://schemas.microsoft.com/office/drawing/2014/main" id="{3E8DC2DD-F9C5-4F76-A699-30E15CA1A195}"/>
                </a:ext>
              </a:extLst>
            </xdr:cNvPr>
            <xdr:cNvGraphicFramePr/>
          </xdr:nvGraphicFramePr>
          <xdr:xfrm>
            <a:off x="0" y="0"/>
            <a:ext cx="0" cy="0"/>
          </xdr:xfrm>
          <a:graphic>
            <a:graphicData uri="http://schemas.microsoft.com/office/drawing/2010/slicer">
              <sle:slicer xmlns:sle="http://schemas.microsoft.com/office/drawing/2010/slicer" name="Store Name 4"/>
            </a:graphicData>
          </a:graphic>
        </xdr:graphicFrame>
      </mc:Choice>
      <mc:Fallback>
        <xdr:sp macro="" textlink="">
          <xdr:nvSpPr>
            <xdr:cNvPr id="0" name=""/>
            <xdr:cNvSpPr>
              <a:spLocks noTextEdit="1"/>
            </xdr:cNvSpPr>
          </xdr:nvSpPr>
          <xdr:spPr>
            <a:xfrm>
              <a:off x="9093868" y="18939711"/>
              <a:ext cx="1820064" cy="2415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417870</xdr:colOff>
      <xdr:row>8</xdr:row>
      <xdr:rowOff>165509</xdr:rowOff>
    </xdr:from>
    <xdr:to>
      <xdr:col>13</xdr:col>
      <xdr:colOff>194173</xdr:colOff>
      <xdr:row>34</xdr:row>
      <xdr:rowOff>83343</xdr:rowOff>
    </xdr:to>
    <xdr:grpSp>
      <xdr:nvGrpSpPr>
        <xdr:cNvPr id="43" name="Group 42">
          <a:extLst>
            <a:ext uri="{FF2B5EF4-FFF2-40B4-BE49-F238E27FC236}">
              <a16:creationId xmlns:a16="http://schemas.microsoft.com/office/drawing/2014/main" id="{039A782D-2647-044A-7B07-32E5851F741F}"/>
            </a:ext>
          </a:extLst>
        </xdr:cNvPr>
        <xdr:cNvGrpSpPr/>
      </xdr:nvGrpSpPr>
      <xdr:grpSpPr>
        <a:xfrm>
          <a:off x="417870" y="1625115"/>
          <a:ext cx="9682303" cy="4661552"/>
          <a:chOff x="417870" y="1625115"/>
          <a:chExt cx="9682303" cy="4661552"/>
        </a:xfrm>
      </xdr:grpSpPr>
      <xdr:graphicFrame macro="">
        <xdr:nvGraphicFramePr>
          <xdr:cNvPr id="2" name="Chart 1">
            <a:extLst>
              <a:ext uri="{FF2B5EF4-FFF2-40B4-BE49-F238E27FC236}">
                <a16:creationId xmlns:a16="http://schemas.microsoft.com/office/drawing/2014/main" id="{2AA965D2-3BB4-D273-5DF1-86A2EBCAAB47}"/>
              </a:ext>
            </a:extLst>
          </xdr:cNvPr>
          <xdr:cNvGraphicFramePr/>
        </xdr:nvGraphicFramePr>
        <xdr:xfrm>
          <a:off x="491613" y="2494147"/>
          <a:ext cx="9578258" cy="3792520"/>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3" name="Group 2">
            <a:extLst>
              <a:ext uri="{FF2B5EF4-FFF2-40B4-BE49-F238E27FC236}">
                <a16:creationId xmlns:a16="http://schemas.microsoft.com/office/drawing/2014/main" id="{0031258C-EA7C-492F-931F-3D500B10A4F8}"/>
              </a:ext>
            </a:extLst>
          </xdr:cNvPr>
          <xdr:cNvGrpSpPr/>
        </xdr:nvGrpSpPr>
        <xdr:grpSpPr>
          <a:xfrm>
            <a:off x="417870" y="1625115"/>
            <a:ext cx="1902943" cy="683186"/>
            <a:chOff x="13322439" y="1649605"/>
            <a:chExt cx="1850572" cy="669890"/>
          </a:xfrm>
        </xdr:grpSpPr>
        <xdr:sp macro="" textlink="">
          <xdr:nvSpPr>
            <xdr:cNvPr id="4" name="Rectangle: Rounded Corners 3">
              <a:extLst>
                <a:ext uri="{FF2B5EF4-FFF2-40B4-BE49-F238E27FC236}">
                  <a16:creationId xmlns:a16="http://schemas.microsoft.com/office/drawing/2014/main" id="{7A2635A2-8D8E-24F9-F4CB-367DB942F9DE}"/>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 name="Group 4">
              <a:extLst>
                <a:ext uri="{FF2B5EF4-FFF2-40B4-BE49-F238E27FC236}">
                  <a16:creationId xmlns:a16="http://schemas.microsoft.com/office/drawing/2014/main" id="{7FB0FA21-BF86-6778-802A-7DFB6095F3A1}"/>
                </a:ext>
              </a:extLst>
            </xdr:cNvPr>
            <xdr:cNvGrpSpPr/>
          </xdr:nvGrpSpPr>
          <xdr:grpSpPr>
            <a:xfrm>
              <a:off x="13322439" y="1649605"/>
              <a:ext cx="1842197" cy="586153"/>
              <a:chOff x="13322439" y="1649605"/>
              <a:chExt cx="1842197" cy="586153"/>
            </a:xfrm>
          </xdr:grpSpPr>
          <xdr:sp macro="" textlink="B6">
            <xdr:nvSpPr>
              <xdr:cNvPr id="6" name="TextBox 5">
                <a:extLst>
                  <a:ext uri="{FF2B5EF4-FFF2-40B4-BE49-F238E27FC236}">
                    <a16:creationId xmlns:a16="http://schemas.microsoft.com/office/drawing/2014/main" id="{3B149917-56D7-BF30-450A-547C3F61E445}"/>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BFFA97-13BC-417B-97EB-3D85FFD39B17}" type="TxLink">
                  <a:rPr lang="en-US" sz="1800" b="1" i="0" u="none" strike="noStrike">
                    <a:solidFill>
                      <a:srgbClr val="000000"/>
                    </a:solidFill>
                    <a:latin typeface="Calibri"/>
                    <a:ea typeface="Calibri"/>
                    <a:cs typeface="Calibri"/>
                  </a:rPr>
                  <a:pPr algn="ctr"/>
                  <a:t>3.06</a:t>
                </a:fld>
                <a:endParaRPr lang="en-IN" sz="1800" b="1"/>
              </a:p>
            </xdr:txBody>
          </xdr:sp>
          <xdr:sp macro="" textlink="">
            <xdr:nvSpPr>
              <xdr:cNvPr id="7" name="TextBox 6">
                <a:extLst>
                  <a:ext uri="{FF2B5EF4-FFF2-40B4-BE49-F238E27FC236}">
                    <a16:creationId xmlns:a16="http://schemas.microsoft.com/office/drawing/2014/main" id="{0095FE71-1F00-CFC5-E74E-720419085408}"/>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Avg Pre-Booking TAT (Days)</a:t>
                </a:r>
              </a:p>
            </xdr:txBody>
          </xdr:sp>
        </xdr:grpSp>
      </xdr:grpSp>
      <xdr:grpSp>
        <xdr:nvGrpSpPr>
          <xdr:cNvPr id="8" name="Group 7">
            <a:extLst>
              <a:ext uri="{FF2B5EF4-FFF2-40B4-BE49-F238E27FC236}">
                <a16:creationId xmlns:a16="http://schemas.microsoft.com/office/drawing/2014/main" id="{063C85B2-4636-47E4-9C89-70EF9B725F33}"/>
              </a:ext>
            </a:extLst>
          </xdr:cNvPr>
          <xdr:cNvGrpSpPr/>
        </xdr:nvGrpSpPr>
        <xdr:grpSpPr>
          <a:xfrm>
            <a:off x="2413957" y="1625115"/>
            <a:ext cx="1840741" cy="683186"/>
            <a:chOff x="13322439" y="1649605"/>
            <a:chExt cx="1850572" cy="669890"/>
          </a:xfrm>
        </xdr:grpSpPr>
        <xdr:sp macro="" textlink="">
          <xdr:nvSpPr>
            <xdr:cNvPr id="9" name="Rectangle: Rounded Corners 8">
              <a:extLst>
                <a:ext uri="{FF2B5EF4-FFF2-40B4-BE49-F238E27FC236}">
                  <a16:creationId xmlns:a16="http://schemas.microsoft.com/office/drawing/2014/main" id="{BF2DBB60-F4BB-CDBB-0D8C-2FA0CCD0C33A}"/>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0" name="Group 9">
              <a:extLst>
                <a:ext uri="{FF2B5EF4-FFF2-40B4-BE49-F238E27FC236}">
                  <a16:creationId xmlns:a16="http://schemas.microsoft.com/office/drawing/2014/main" id="{5C0D4F18-19AA-B0E6-E3C2-5277857D006B}"/>
                </a:ext>
              </a:extLst>
            </xdr:cNvPr>
            <xdr:cNvGrpSpPr/>
          </xdr:nvGrpSpPr>
          <xdr:grpSpPr>
            <a:xfrm>
              <a:off x="13322439" y="1649605"/>
              <a:ext cx="1842197" cy="586153"/>
              <a:chOff x="13322439" y="1649605"/>
              <a:chExt cx="1842197" cy="586153"/>
            </a:xfrm>
          </xdr:grpSpPr>
          <xdr:sp macro="" textlink="C6">
            <xdr:nvSpPr>
              <xdr:cNvPr id="11" name="TextBox 10">
                <a:extLst>
                  <a:ext uri="{FF2B5EF4-FFF2-40B4-BE49-F238E27FC236}">
                    <a16:creationId xmlns:a16="http://schemas.microsoft.com/office/drawing/2014/main" id="{A33A2ABB-21C3-4F5B-C2F9-1D7F563D88E8}"/>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D02A60-AD5A-455A-9676-52B0B00BCBB7}" type="TxLink">
                  <a:rPr lang="en-US" sz="1800" b="1" i="0" u="none" strike="noStrike">
                    <a:solidFill>
                      <a:srgbClr val="000000"/>
                    </a:solidFill>
                    <a:latin typeface="Calibri"/>
                    <a:ea typeface="Calibri"/>
                    <a:cs typeface="Calibri"/>
                  </a:rPr>
                  <a:pPr algn="ctr"/>
                  <a:t>3.07</a:t>
                </a:fld>
                <a:endParaRPr lang="en-IN" sz="1800" b="1"/>
              </a:p>
            </xdr:txBody>
          </xdr:sp>
          <xdr:sp macro="" textlink="">
            <xdr:nvSpPr>
              <xdr:cNvPr id="12" name="TextBox 11">
                <a:extLst>
                  <a:ext uri="{FF2B5EF4-FFF2-40B4-BE49-F238E27FC236}">
                    <a16:creationId xmlns:a16="http://schemas.microsoft.com/office/drawing/2014/main" id="{46A3FDEF-DE41-F66C-56F7-AC203E59BF98}"/>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Avg Booking TAT (Days)</a:t>
                </a:r>
              </a:p>
            </xdr:txBody>
          </xdr:sp>
        </xdr:grpSp>
      </xdr:grpSp>
      <xdr:grpSp>
        <xdr:nvGrpSpPr>
          <xdr:cNvPr id="13" name="Group 12">
            <a:extLst>
              <a:ext uri="{FF2B5EF4-FFF2-40B4-BE49-F238E27FC236}">
                <a16:creationId xmlns:a16="http://schemas.microsoft.com/office/drawing/2014/main" id="{D6350A55-9AA6-42B1-BA30-97D1E1A7C692}"/>
              </a:ext>
            </a:extLst>
          </xdr:cNvPr>
          <xdr:cNvGrpSpPr/>
        </xdr:nvGrpSpPr>
        <xdr:grpSpPr>
          <a:xfrm>
            <a:off x="4347842" y="1625115"/>
            <a:ext cx="1844779" cy="683186"/>
            <a:chOff x="13322439" y="1649605"/>
            <a:chExt cx="1850572" cy="669890"/>
          </a:xfrm>
        </xdr:grpSpPr>
        <xdr:sp macro="" textlink="">
          <xdr:nvSpPr>
            <xdr:cNvPr id="14" name="Rectangle: Rounded Corners 13">
              <a:extLst>
                <a:ext uri="{FF2B5EF4-FFF2-40B4-BE49-F238E27FC236}">
                  <a16:creationId xmlns:a16="http://schemas.microsoft.com/office/drawing/2014/main" id="{607D27C4-FD99-F84E-69FA-2D733CB5D56D}"/>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5" name="Group 14">
              <a:extLst>
                <a:ext uri="{FF2B5EF4-FFF2-40B4-BE49-F238E27FC236}">
                  <a16:creationId xmlns:a16="http://schemas.microsoft.com/office/drawing/2014/main" id="{E7E77DFC-6938-C9DB-E4CD-8F7BB81C0FFF}"/>
                </a:ext>
              </a:extLst>
            </xdr:cNvPr>
            <xdr:cNvGrpSpPr/>
          </xdr:nvGrpSpPr>
          <xdr:grpSpPr>
            <a:xfrm>
              <a:off x="13322439" y="1649605"/>
              <a:ext cx="1842197" cy="586153"/>
              <a:chOff x="13322439" y="1649605"/>
              <a:chExt cx="1842197" cy="586153"/>
            </a:xfrm>
          </xdr:grpSpPr>
          <xdr:sp macro="" textlink="D6">
            <xdr:nvSpPr>
              <xdr:cNvPr id="16" name="TextBox 15">
                <a:extLst>
                  <a:ext uri="{FF2B5EF4-FFF2-40B4-BE49-F238E27FC236}">
                    <a16:creationId xmlns:a16="http://schemas.microsoft.com/office/drawing/2014/main" id="{5BE6886D-F93A-D7B6-0B51-D81A50BCF32E}"/>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799155-461E-4BE4-BBE4-69BFC0AA462E}" type="TxLink">
                  <a:rPr lang="en-US" sz="1800" b="1" i="0" u="none" strike="noStrike">
                    <a:solidFill>
                      <a:srgbClr val="000000"/>
                    </a:solidFill>
                    <a:latin typeface="Calibri"/>
                    <a:ea typeface="Calibri"/>
                    <a:cs typeface="Calibri"/>
                  </a:rPr>
                  <a:pPr algn="ctr"/>
                  <a:t>4.46</a:t>
                </a:fld>
                <a:endParaRPr lang="en-IN" sz="1800" b="1"/>
              </a:p>
            </xdr:txBody>
          </xdr:sp>
          <xdr:sp macro="" textlink="">
            <xdr:nvSpPr>
              <xdr:cNvPr id="17" name="TextBox 16">
                <a:extLst>
                  <a:ext uri="{FF2B5EF4-FFF2-40B4-BE49-F238E27FC236}">
                    <a16:creationId xmlns:a16="http://schemas.microsoft.com/office/drawing/2014/main" id="{0CE8468E-0696-7FA0-62B7-AE4F8F915311}"/>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Avg Delivery TAT (Days)</a:t>
                </a:r>
              </a:p>
            </xdr:txBody>
          </xdr:sp>
        </xdr:grpSp>
      </xdr:grpSp>
      <xdr:grpSp>
        <xdr:nvGrpSpPr>
          <xdr:cNvPr id="18" name="Group 17">
            <a:extLst>
              <a:ext uri="{FF2B5EF4-FFF2-40B4-BE49-F238E27FC236}">
                <a16:creationId xmlns:a16="http://schemas.microsoft.com/office/drawing/2014/main" id="{19094F61-7C3E-46EA-8E2C-35F091480221}"/>
              </a:ext>
            </a:extLst>
          </xdr:cNvPr>
          <xdr:cNvGrpSpPr/>
        </xdr:nvGrpSpPr>
        <xdr:grpSpPr>
          <a:xfrm>
            <a:off x="6285765" y="1625115"/>
            <a:ext cx="1863360" cy="683186"/>
            <a:chOff x="13322439" y="1649605"/>
            <a:chExt cx="1850572" cy="669890"/>
          </a:xfrm>
        </xdr:grpSpPr>
        <xdr:sp macro="" textlink="">
          <xdr:nvSpPr>
            <xdr:cNvPr id="19" name="Rectangle: Rounded Corners 18">
              <a:extLst>
                <a:ext uri="{FF2B5EF4-FFF2-40B4-BE49-F238E27FC236}">
                  <a16:creationId xmlns:a16="http://schemas.microsoft.com/office/drawing/2014/main" id="{FEA3764D-F8B6-4FB6-3CC6-D256EE11D945}"/>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0" name="Group 19">
              <a:extLst>
                <a:ext uri="{FF2B5EF4-FFF2-40B4-BE49-F238E27FC236}">
                  <a16:creationId xmlns:a16="http://schemas.microsoft.com/office/drawing/2014/main" id="{9E73B948-D15D-56F1-A198-707EC534AEF2}"/>
                </a:ext>
              </a:extLst>
            </xdr:cNvPr>
            <xdr:cNvGrpSpPr/>
          </xdr:nvGrpSpPr>
          <xdr:grpSpPr>
            <a:xfrm>
              <a:off x="13322439" y="1649605"/>
              <a:ext cx="1842197" cy="586153"/>
              <a:chOff x="13322439" y="1649605"/>
              <a:chExt cx="1842197" cy="586153"/>
            </a:xfrm>
          </xdr:grpSpPr>
          <xdr:sp macro="" textlink="C107">
            <xdr:nvSpPr>
              <xdr:cNvPr id="21" name="TextBox 20">
                <a:extLst>
                  <a:ext uri="{FF2B5EF4-FFF2-40B4-BE49-F238E27FC236}">
                    <a16:creationId xmlns:a16="http://schemas.microsoft.com/office/drawing/2014/main" id="{72B94845-4908-65A3-11F7-3349F10B6CEF}"/>
                  </a:ext>
                </a:extLst>
              </xdr:cNvPr>
              <xdr:cNvSpPr txBox="1"/>
            </xdr:nvSpPr>
            <xdr:spPr>
              <a:xfrm>
                <a:off x="13686179" y="1884065"/>
                <a:ext cx="1188947"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73955B-15B9-4408-9456-FACBA782059A}" type="TxLink">
                  <a:rPr lang="en-US" sz="1800" b="1" i="0" u="none" strike="noStrike">
                    <a:solidFill>
                      <a:srgbClr val="000000"/>
                    </a:solidFill>
                    <a:latin typeface="Calibri"/>
                    <a:ea typeface="Calibri"/>
                    <a:cs typeface="Calibri"/>
                  </a:rPr>
                  <a:pPr algn="ctr"/>
                  <a:t>Delhi MBC</a:t>
                </a:fld>
                <a:endParaRPr lang="en-IN" sz="1800" b="1"/>
              </a:p>
            </xdr:txBody>
          </xdr:sp>
          <xdr:sp macro="" textlink="">
            <xdr:nvSpPr>
              <xdr:cNvPr id="22" name="TextBox 21">
                <a:extLst>
                  <a:ext uri="{FF2B5EF4-FFF2-40B4-BE49-F238E27FC236}">
                    <a16:creationId xmlns:a16="http://schemas.microsoft.com/office/drawing/2014/main" id="{C413DAB4-F44C-1EC2-7B1B-692E6CC1A8AE}"/>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Fastest Store (by TAT)</a:t>
                </a:r>
              </a:p>
            </xdr:txBody>
          </xdr:sp>
        </xdr:grpSp>
      </xdr:grpSp>
      <xdr:grpSp>
        <xdr:nvGrpSpPr>
          <xdr:cNvPr id="23" name="Group 22">
            <a:extLst>
              <a:ext uri="{FF2B5EF4-FFF2-40B4-BE49-F238E27FC236}">
                <a16:creationId xmlns:a16="http://schemas.microsoft.com/office/drawing/2014/main" id="{5726DB6B-DEE7-42C9-96BB-0590D734C991}"/>
              </a:ext>
            </a:extLst>
          </xdr:cNvPr>
          <xdr:cNvGrpSpPr/>
        </xdr:nvGrpSpPr>
        <xdr:grpSpPr>
          <a:xfrm>
            <a:off x="8242271" y="1625115"/>
            <a:ext cx="1857902" cy="683186"/>
            <a:chOff x="13322439" y="1649605"/>
            <a:chExt cx="1850572" cy="669890"/>
          </a:xfrm>
        </xdr:grpSpPr>
        <xdr:sp macro="" textlink="">
          <xdr:nvSpPr>
            <xdr:cNvPr id="24" name="Rectangle: Rounded Corners 23">
              <a:extLst>
                <a:ext uri="{FF2B5EF4-FFF2-40B4-BE49-F238E27FC236}">
                  <a16:creationId xmlns:a16="http://schemas.microsoft.com/office/drawing/2014/main" id="{12A2A261-A826-D5F3-B08D-904AEB2AE834}"/>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5" name="Group 24">
              <a:extLst>
                <a:ext uri="{FF2B5EF4-FFF2-40B4-BE49-F238E27FC236}">
                  <a16:creationId xmlns:a16="http://schemas.microsoft.com/office/drawing/2014/main" id="{593250D4-D727-4427-36DE-13AF2A2445AE}"/>
                </a:ext>
              </a:extLst>
            </xdr:cNvPr>
            <xdr:cNvGrpSpPr/>
          </xdr:nvGrpSpPr>
          <xdr:grpSpPr>
            <a:xfrm>
              <a:off x="13322439" y="1649605"/>
              <a:ext cx="1842197" cy="586153"/>
              <a:chOff x="13322439" y="1649605"/>
              <a:chExt cx="1842197" cy="586153"/>
            </a:xfrm>
          </xdr:grpSpPr>
          <xdr:sp macro="" textlink="B115">
            <xdr:nvSpPr>
              <xdr:cNvPr id="26" name="TextBox 25">
                <a:extLst>
                  <a:ext uri="{FF2B5EF4-FFF2-40B4-BE49-F238E27FC236}">
                    <a16:creationId xmlns:a16="http://schemas.microsoft.com/office/drawing/2014/main" id="{68307954-4CEE-9D64-6595-CD35B2D1D61D}"/>
                  </a:ext>
                </a:extLst>
              </xdr:cNvPr>
              <xdr:cNvSpPr txBox="1"/>
            </xdr:nvSpPr>
            <xdr:spPr>
              <a:xfrm>
                <a:off x="13361831" y="1884065"/>
                <a:ext cx="1772623"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1285FF-99C3-4D55-9C5D-F8EAB7622053}" type="TxLink">
                  <a:rPr lang="en-US" sz="1400" b="1" i="0" u="none" strike="noStrike">
                    <a:solidFill>
                      <a:srgbClr val="000000"/>
                    </a:solidFill>
                    <a:latin typeface="Calibri"/>
                    <a:ea typeface="Calibri"/>
                    <a:cs typeface="Calibri"/>
                  </a:rPr>
                  <a:pPr algn="ctr"/>
                  <a:t>Delivery (Avg Days)</a:t>
                </a:fld>
                <a:endParaRPr lang="en-IN" sz="1400" b="1"/>
              </a:p>
            </xdr:txBody>
          </xdr:sp>
          <xdr:sp macro="" textlink="">
            <xdr:nvSpPr>
              <xdr:cNvPr id="27" name="TextBox 26">
                <a:extLst>
                  <a:ext uri="{FF2B5EF4-FFF2-40B4-BE49-F238E27FC236}">
                    <a16:creationId xmlns:a16="http://schemas.microsoft.com/office/drawing/2014/main" id="{2C10A71C-F468-D381-7064-3F6E4BEA787C}"/>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Slowest Stage</a:t>
                </a:r>
              </a:p>
            </xdr:txBody>
          </xdr:sp>
        </xdr:grp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254892</xdr:colOff>
      <xdr:row>15</xdr:row>
      <xdr:rowOff>164212</xdr:rowOff>
    </xdr:from>
    <xdr:to>
      <xdr:col>9</xdr:col>
      <xdr:colOff>365326</xdr:colOff>
      <xdr:row>34</xdr:row>
      <xdr:rowOff>20490</xdr:rowOff>
    </xdr:to>
    <xdr:graphicFrame macro="">
      <xdr:nvGraphicFramePr>
        <xdr:cNvPr id="4" name="Chart 3">
          <a:extLst>
            <a:ext uri="{FF2B5EF4-FFF2-40B4-BE49-F238E27FC236}">
              <a16:creationId xmlns:a16="http://schemas.microsoft.com/office/drawing/2014/main" id="{540EF1B7-BA66-8A13-1B6D-E19EC1887F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666254</xdr:colOff>
      <xdr:row>11</xdr:row>
      <xdr:rowOff>1551</xdr:rowOff>
    </xdr:from>
    <xdr:to>
      <xdr:col>4</xdr:col>
      <xdr:colOff>602511</xdr:colOff>
      <xdr:row>14</xdr:row>
      <xdr:rowOff>134854</xdr:rowOff>
    </xdr:to>
    <xdr:grpSp>
      <xdr:nvGrpSpPr>
        <xdr:cNvPr id="5" name="Group 4">
          <a:extLst>
            <a:ext uri="{FF2B5EF4-FFF2-40B4-BE49-F238E27FC236}">
              <a16:creationId xmlns:a16="http://schemas.microsoft.com/office/drawing/2014/main" id="{AE06DF5E-BE06-46C0-91B0-A55631A02092}"/>
            </a:ext>
          </a:extLst>
        </xdr:cNvPr>
        <xdr:cNvGrpSpPr/>
      </xdr:nvGrpSpPr>
      <xdr:grpSpPr>
        <a:xfrm>
          <a:off x="2893639" y="2043320"/>
          <a:ext cx="1509103" cy="690149"/>
          <a:chOff x="13322439" y="1649605"/>
          <a:chExt cx="1850575" cy="669892"/>
        </a:xfrm>
        <a:solidFill>
          <a:schemeClr val="accent3">
            <a:lumMod val="20000"/>
            <a:lumOff val="80000"/>
          </a:schemeClr>
        </a:solidFill>
      </xdr:grpSpPr>
      <xdr:sp macro="" textlink="">
        <xdr:nvSpPr>
          <xdr:cNvPr id="6" name="Rectangle: Rounded Corners 5">
            <a:extLst>
              <a:ext uri="{FF2B5EF4-FFF2-40B4-BE49-F238E27FC236}">
                <a16:creationId xmlns:a16="http://schemas.microsoft.com/office/drawing/2014/main" id="{83D77F32-4589-90DA-30CD-0BB793E0C7ED}"/>
              </a:ext>
            </a:extLst>
          </xdr:cNvPr>
          <xdr:cNvSpPr/>
        </xdr:nvSpPr>
        <xdr:spPr>
          <a:xfrm>
            <a:off x="13347563" y="1657980"/>
            <a:ext cx="1825451" cy="661517"/>
          </a:xfrm>
          <a:prstGeom prst="roundRect">
            <a:avLst/>
          </a:prstGeom>
          <a:grp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7" name="Group 6">
            <a:extLst>
              <a:ext uri="{FF2B5EF4-FFF2-40B4-BE49-F238E27FC236}">
                <a16:creationId xmlns:a16="http://schemas.microsoft.com/office/drawing/2014/main" id="{8E41017D-3B99-04CC-F7CC-0A205A812502}"/>
              </a:ext>
            </a:extLst>
          </xdr:cNvPr>
          <xdr:cNvGrpSpPr/>
        </xdr:nvGrpSpPr>
        <xdr:grpSpPr>
          <a:xfrm>
            <a:off x="13322439" y="1649605"/>
            <a:ext cx="1842197" cy="594737"/>
            <a:chOff x="13322439" y="1649605"/>
            <a:chExt cx="1842197" cy="594737"/>
          </a:xfrm>
          <a:grpFill/>
        </xdr:grpSpPr>
        <xdr:sp macro="" textlink="A107">
          <xdr:nvSpPr>
            <xdr:cNvPr id="8" name="TextBox 7">
              <a:extLst>
                <a:ext uri="{FF2B5EF4-FFF2-40B4-BE49-F238E27FC236}">
                  <a16:creationId xmlns:a16="http://schemas.microsoft.com/office/drawing/2014/main" id="{A3074EF2-37C6-4EE6-3E96-CE2CBF8648BC}"/>
                </a:ext>
              </a:extLst>
            </xdr:cNvPr>
            <xdr:cNvSpPr txBox="1"/>
          </xdr:nvSpPr>
          <xdr:spPr>
            <a:xfrm>
              <a:off x="13777970" y="1892649"/>
              <a:ext cx="1106594" cy="35169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A9B355-A708-42AE-B10B-8FB5B3A3454E}" type="TxLink">
                <a:rPr lang="en-US" sz="1800" b="1" i="0" u="none" strike="noStrike">
                  <a:solidFill>
                    <a:srgbClr val="000000"/>
                  </a:solidFill>
                  <a:latin typeface="Calibri"/>
                  <a:ea typeface="Calibri"/>
                  <a:cs typeface="Calibri"/>
                </a:rPr>
                <a:pPr algn="ctr"/>
                <a:t>18.80%</a:t>
              </a:fld>
              <a:endParaRPr lang="en-IN" sz="1800" b="1"/>
            </a:p>
          </xdr:txBody>
        </xdr:sp>
        <xdr:sp macro="" textlink="">
          <xdr:nvSpPr>
            <xdr:cNvPr id="9" name="TextBox 8">
              <a:extLst>
                <a:ext uri="{FF2B5EF4-FFF2-40B4-BE49-F238E27FC236}">
                  <a16:creationId xmlns:a16="http://schemas.microsoft.com/office/drawing/2014/main" id="{FBADBB62-A939-982F-6B06-6B7CEDE32479}"/>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Cold Leads %</a:t>
              </a:r>
            </a:p>
          </xdr:txBody>
        </xdr:sp>
      </xdr:grpSp>
    </xdr:grpSp>
    <xdr:clientData/>
  </xdr:twoCellAnchor>
  <xdr:twoCellAnchor>
    <xdr:from>
      <xdr:col>4</xdr:col>
      <xdr:colOff>815147</xdr:colOff>
      <xdr:row>10</xdr:row>
      <xdr:rowOff>161038</xdr:rowOff>
    </xdr:from>
    <xdr:to>
      <xdr:col>7</xdr:col>
      <xdr:colOff>35443</xdr:colOff>
      <xdr:row>14</xdr:row>
      <xdr:rowOff>111875</xdr:rowOff>
    </xdr:to>
    <xdr:grpSp>
      <xdr:nvGrpSpPr>
        <xdr:cNvPr id="10" name="Group 9">
          <a:extLst>
            <a:ext uri="{FF2B5EF4-FFF2-40B4-BE49-F238E27FC236}">
              <a16:creationId xmlns:a16="http://schemas.microsoft.com/office/drawing/2014/main" id="{D526A71F-BCE2-4319-858F-2BB0FA7913A3}"/>
            </a:ext>
          </a:extLst>
        </xdr:cNvPr>
        <xdr:cNvGrpSpPr/>
      </xdr:nvGrpSpPr>
      <xdr:grpSpPr>
        <a:xfrm>
          <a:off x="4615378" y="2017192"/>
          <a:ext cx="1496527" cy="693298"/>
          <a:chOff x="13322439" y="1649605"/>
          <a:chExt cx="1850572" cy="669890"/>
        </a:xfrm>
      </xdr:grpSpPr>
      <xdr:sp macro="" textlink="">
        <xdr:nvSpPr>
          <xdr:cNvPr id="11" name="Rectangle: Rounded Corners 10">
            <a:extLst>
              <a:ext uri="{FF2B5EF4-FFF2-40B4-BE49-F238E27FC236}">
                <a16:creationId xmlns:a16="http://schemas.microsoft.com/office/drawing/2014/main" id="{E920F5F2-4184-187E-027A-0BD6470212FA}"/>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2" name="Group 11">
            <a:extLst>
              <a:ext uri="{FF2B5EF4-FFF2-40B4-BE49-F238E27FC236}">
                <a16:creationId xmlns:a16="http://schemas.microsoft.com/office/drawing/2014/main" id="{DD9A71C8-A3AA-5EF4-5105-B6BD45A3DEEC}"/>
              </a:ext>
            </a:extLst>
          </xdr:cNvPr>
          <xdr:cNvGrpSpPr/>
        </xdr:nvGrpSpPr>
        <xdr:grpSpPr>
          <a:xfrm>
            <a:off x="13322439" y="1649605"/>
            <a:ext cx="1842197" cy="586152"/>
            <a:chOff x="13322439" y="1649605"/>
            <a:chExt cx="1842197" cy="586152"/>
          </a:xfrm>
        </xdr:grpSpPr>
        <xdr:sp macro="" textlink="B107">
          <xdr:nvSpPr>
            <xdr:cNvPr id="13" name="TextBox 12">
              <a:extLst>
                <a:ext uri="{FF2B5EF4-FFF2-40B4-BE49-F238E27FC236}">
                  <a16:creationId xmlns:a16="http://schemas.microsoft.com/office/drawing/2014/main" id="{3AE781D0-EFF6-4035-DA2B-DF2A26E90EBD}"/>
                </a:ext>
              </a:extLst>
            </xdr:cNvPr>
            <xdr:cNvSpPr txBox="1"/>
          </xdr:nvSpPr>
          <xdr:spPr>
            <a:xfrm>
              <a:off x="13767588" y="1884064"/>
              <a:ext cx="1119027"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CC39F3-1675-4228-B1BF-F054E23330EF}" type="TxLink">
                <a:rPr lang="en-US" sz="1800" b="1" i="0" u="none" strike="noStrike">
                  <a:solidFill>
                    <a:srgbClr val="000000"/>
                  </a:solidFill>
                  <a:latin typeface="Calibri"/>
                  <a:ea typeface="Calibri"/>
                  <a:cs typeface="Calibri"/>
                </a:rPr>
                <a:pPr algn="ctr"/>
                <a:t>50.90%</a:t>
              </a:fld>
              <a:endParaRPr lang="en-IN" sz="1800" b="1"/>
            </a:p>
          </xdr:txBody>
        </xdr:sp>
        <xdr:sp macro="" textlink="">
          <xdr:nvSpPr>
            <xdr:cNvPr id="14" name="TextBox 13">
              <a:extLst>
                <a:ext uri="{FF2B5EF4-FFF2-40B4-BE49-F238E27FC236}">
                  <a16:creationId xmlns:a16="http://schemas.microsoft.com/office/drawing/2014/main" id="{47D9AB2E-3020-B6B5-6F2B-CAAC1D627838}"/>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Warm Leads %</a:t>
              </a:r>
            </a:p>
          </xdr:txBody>
        </xdr:sp>
      </xdr:grpSp>
    </xdr:grpSp>
    <xdr:clientData/>
  </xdr:twoCellAnchor>
  <xdr:twoCellAnchor>
    <xdr:from>
      <xdr:col>7</xdr:col>
      <xdr:colOff>170247</xdr:colOff>
      <xdr:row>11</xdr:row>
      <xdr:rowOff>19271</xdr:rowOff>
    </xdr:from>
    <xdr:to>
      <xdr:col>8</xdr:col>
      <xdr:colOff>516038</xdr:colOff>
      <xdr:row>14</xdr:row>
      <xdr:rowOff>152572</xdr:rowOff>
    </xdr:to>
    <xdr:grpSp>
      <xdr:nvGrpSpPr>
        <xdr:cNvPr id="15" name="Group 14">
          <a:extLst>
            <a:ext uri="{FF2B5EF4-FFF2-40B4-BE49-F238E27FC236}">
              <a16:creationId xmlns:a16="http://schemas.microsoft.com/office/drawing/2014/main" id="{30F5621A-161E-4B67-9FC6-79D7D531A992}"/>
            </a:ext>
          </a:extLst>
        </xdr:cNvPr>
        <xdr:cNvGrpSpPr/>
      </xdr:nvGrpSpPr>
      <xdr:grpSpPr>
        <a:xfrm>
          <a:off x="6246709" y="2061040"/>
          <a:ext cx="1381329" cy="690147"/>
          <a:chOff x="13322439" y="1649605"/>
          <a:chExt cx="1850572" cy="669890"/>
        </a:xfrm>
        <a:solidFill>
          <a:srgbClr val="FF0000"/>
        </a:solidFill>
      </xdr:grpSpPr>
      <xdr:sp macro="" textlink="">
        <xdr:nvSpPr>
          <xdr:cNvPr id="16" name="Rectangle: Rounded Corners 15">
            <a:extLst>
              <a:ext uri="{FF2B5EF4-FFF2-40B4-BE49-F238E27FC236}">
                <a16:creationId xmlns:a16="http://schemas.microsoft.com/office/drawing/2014/main" id="{66B781E4-785B-0E9C-5C9E-B0038A78B658}"/>
              </a:ext>
            </a:extLst>
          </xdr:cNvPr>
          <xdr:cNvSpPr/>
        </xdr:nvSpPr>
        <xdr:spPr>
          <a:xfrm>
            <a:off x="13347560" y="1657978"/>
            <a:ext cx="1825451" cy="661517"/>
          </a:xfrm>
          <a:prstGeom prst="roundRect">
            <a:avLst/>
          </a:prstGeom>
          <a:solidFill>
            <a:schemeClr val="accent3">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7" name="Group 16">
            <a:extLst>
              <a:ext uri="{FF2B5EF4-FFF2-40B4-BE49-F238E27FC236}">
                <a16:creationId xmlns:a16="http://schemas.microsoft.com/office/drawing/2014/main" id="{41D0D1F7-EA8D-C197-F6F8-51668426BCC6}"/>
              </a:ext>
            </a:extLst>
          </xdr:cNvPr>
          <xdr:cNvGrpSpPr/>
        </xdr:nvGrpSpPr>
        <xdr:grpSpPr>
          <a:xfrm>
            <a:off x="13322439" y="1649605"/>
            <a:ext cx="1842197" cy="586153"/>
            <a:chOff x="13322439" y="1649605"/>
            <a:chExt cx="1842197" cy="586153"/>
          </a:xfrm>
          <a:grpFill/>
        </xdr:grpSpPr>
        <xdr:sp macro="" textlink="C107">
          <xdr:nvSpPr>
            <xdr:cNvPr id="18" name="TextBox 17">
              <a:extLst>
                <a:ext uri="{FF2B5EF4-FFF2-40B4-BE49-F238E27FC236}">
                  <a16:creationId xmlns:a16="http://schemas.microsoft.com/office/drawing/2014/main" id="{E0830910-D319-90A2-5D91-187E4558D2F6}"/>
                </a:ext>
              </a:extLst>
            </xdr:cNvPr>
            <xdr:cNvSpPr txBox="1"/>
          </xdr:nvSpPr>
          <xdr:spPr>
            <a:xfrm>
              <a:off x="13690016" y="1884065"/>
              <a:ext cx="1225803"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A3AA48-A724-4040-92D3-B3BDC310BF56}" type="TxLink">
                <a:rPr lang="en-US" sz="1800" b="1" i="0" u="none" strike="noStrike">
                  <a:solidFill>
                    <a:srgbClr val="000000"/>
                  </a:solidFill>
                  <a:latin typeface="Calibri"/>
                  <a:ea typeface="Calibri"/>
                  <a:cs typeface="Calibri"/>
                </a:rPr>
                <a:pPr algn="ctr"/>
                <a:t>30.30%</a:t>
              </a:fld>
              <a:endParaRPr lang="en-IN" sz="1800" b="1"/>
            </a:p>
          </xdr:txBody>
        </xdr:sp>
        <xdr:sp macro="" textlink="">
          <xdr:nvSpPr>
            <xdr:cNvPr id="19" name="TextBox 18">
              <a:extLst>
                <a:ext uri="{FF2B5EF4-FFF2-40B4-BE49-F238E27FC236}">
                  <a16:creationId xmlns:a16="http://schemas.microsoft.com/office/drawing/2014/main" id="{794C6072-B972-D5EB-85D4-2D010AD687A7}"/>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Hot Leads %</a:t>
              </a:r>
            </a:p>
          </xdr:txBody>
        </xdr:sp>
      </xdr:grpSp>
    </xdr:grpSp>
    <xdr:clientData/>
  </xdr:twoCellAnchor>
  <xdr:twoCellAnchor>
    <xdr:from>
      <xdr:col>8</xdr:col>
      <xdr:colOff>605872</xdr:colOff>
      <xdr:row>11</xdr:row>
      <xdr:rowOff>28132</xdr:rowOff>
    </xdr:from>
    <xdr:to>
      <xdr:col>10</xdr:col>
      <xdr:colOff>8861</xdr:colOff>
      <xdr:row>14</xdr:row>
      <xdr:rowOff>161433</xdr:rowOff>
    </xdr:to>
    <xdr:grpSp>
      <xdr:nvGrpSpPr>
        <xdr:cNvPr id="20" name="Group 19">
          <a:extLst>
            <a:ext uri="{FF2B5EF4-FFF2-40B4-BE49-F238E27FC236}">
              <a16:creationId xmlns:a16="http://schemas.microsoft.com/office/drawing/2014/main" id="{B330AA47-2185-4E35-BBA0-0FDC0221A62A}"/>
            </a:ext>
          </a:extLst>
        </xdr:cNvPr>
        <xdr:cNvGrpSpPr/>
      </xdr:nvGrpSpPr>
      <xdr:grpSpPr>
        <a:xfrm>
          <a:off x="7717872" y="2069901"/>
          <a:ext cx="1337297" cy="690147"/>
          <a:chOff x="13322439" y="1649605"/>
          <a:chExt cx="1850572" cy="669890"/>
        </a:xfrm>
      </xdr:grpSpPr>
      <xdr:sp macro="" textlink="">
        <xdr:nvSpPr>
          <xdr:cNvPr id="21" name="Rectangle: Rounded Corners 20">
            <a:extLst>
              <a:ext uri="{FF2B5EF4-FFF2-40B4-BE49-F238E27FC236}">
                <a16:creationId xmlns:a16="http://schemas.microsoft.com/office/drawing/2014/main" id="{44177D4D-FB4D-6E2B-19E3-D06D4D038F23}"/>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2" name="Group 21">
            <a:extLst>
              <a:ext uri="{FF2B5EF4-FFF2-40B4-BE49-F238E27FC236}">
                <a16:creationId xmlns:a16="http://schemas.microsoft.com/office/drawing/2014/main" id="{8626B303-BAAA-13DE-398E-02093D44A5D7}"/>
              </a:ext>
            </a:extLst>
          </xdr:cNvPr>
          <xdr:cNvGrpSpPr/>
        </xdr:nvGrpSpPr>
        <xdr:grpSpPr>
          <a:xfrm>
            <a:off x="13322439" y="1649605"/>
            <a:ext cx="1842197" cy="586153"/>
            <a:chOff x="13322439" y="1649605"/>
            <a:chExt cx="1842197" cy="586153"/>
          </a:xfrm>
        </xdr:grpSpPr>
        <xdr:sp macro="" textlink="D107">
          <xdr:nvSpPr>
            <xdr:cNvPr id="23" name="TextBox 22">
              <a:extLst>
                <a:ext uri="{FF2B5EF4-FFF2-40B4-BE49-F238E27FC236}">
                  <a16:creationId xmlns:a16="http://schemas.microsoft.com/office/drawing/2014/main" id="{D069A5ED-D2C0-A648-D464-6B1572DF0509}"/>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53B36B-2428-4EAC-A1A1-2BE4A02367AA}" type="TxLink">
                <a:rPr lang="en-US" sz="1800" b="1" i="0" u="none" strike="noStrike">
                  <a:solidFill>
                    <a:srgbClr val="000000"/>
                  </a:solidFill>
                  <a:latin typeface="Calibri"/>
                  <a:ea typeface="Calibri"/>
                  <a:cs typeface="Calibri"/>
                </a:rPr>
                <a:pPr algn="ctr"/>
                <a:t>812</a:t>
              </a:fld>
              <a:endParaRPr lang="en-IN" sz="1800" b="1"/>
            </a:p>
          </xdr:txBody>
        </xdr:sp>
        <xdr:sp macro="" textlink="">
          <xdr:nvSpPr>
            <xdr:cNvPr id="24" name="TextBox 23">
              <a:extLst>
                <a:ext uri="{FF2B5EF4-FFF2-40B4-BE49-F238E27FC236}">
                  <a16:creationId xmlns:a16="http://schemas.microsoft.com/office/drawing/2014/main" id="{C55B3561-80A8-E1E8-BD96-4A093FC19867}"/>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High</a:t>
              </a:r>
              <a:r>
                <a:rPr lang="en-IN" sz="1000" baseline="0"/>
                <a:t> Potential Lead Count</a:t>
              </a:r>
              <a:endParaRPr lang="en-IN" sz="1000"/>
            </a:p>
          </xdr:txBody>
        </xdr:sp>
      </xdr:grpSp>
    </xdr:grpSp>
    <xdr:clientData/>
  </xdr:twoCellAnchor>
  <xdr:twoCellAnchor editAs="oneCell">
    <xdr:from>
      <xdr:col>0</xdr:col>
      <xdr:colOff>0</xdr:colOff>
      <xdr:row>108</xdr:row>
      <xdr:rowOff>9901</xdr:rowOff>
    </xdr:from>
    <xdr:to>
      <xdr:col>1</xdr:col>
      <xdr:colOff>468528</xdr:colOff>
      <xdr:row>116</xdr:row>
      <xdr:rowOff>27680</xdr:rowOff>
    </xdr:to>
    <mc:AlternateContent xmlns:mc="http://schemas.openxmlformats.org/markup-compatibility/2006" xmlns:a14="http://schemas.microsoft.com/office/drawing/2010/main">
      <mc:Choice Requires="a14">
        <xdr:graphicFrame macro="">
          <xdr:nvGraphicFramePr>
            <xdr:cNvPr id="25" name="Store Name 1">
              <a:extLst>
                <a:ext uri="{FF2B5EF4-FFF2-40B4-BE49-F238E27FC236}">
                  <a16:creationId xmlns:a16="http://schemas.microsoft.com/office/drawing/2014/main" id="{AD001372-4B38-1CB9-36EE-BEE06D94F72C}"/>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mlns="">
        <xdr:sp macro="" textlink="">
          <xdr:nvSpPr>
            <xdr:cNvPr id="0" name=""/>
            <xdr:cNvSpPr>
              <a:spLocks noTextEdit="1"/>
            </xdr:cNvSpPr>
          </xdr:nvSpPr>
          <xdr:spPr>
            <a:xfrm>
              <a:off x="0" y="19840262"/>
              <a:ext cx="1534525" cy="1486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731619</xdr:colOff>
      <xdr:row>16</xdr:row>
      <xdr:rowOff>10331</xdr:rowOff>
    </xdr:from>
    <xdr:to>
      <xdr:col>13</xdr:col>
      <xdr:colOff>384246</xdr:colOff>
      <xdr:row>34</xdr:row>
      <xdr:rowOff>101070</xdr:rowOff>
    </xdr:to>
    <xdr:grpSp>
      <xdr:nvGrpSpPr>
        <xdr:cNvPr id="26" name="Group 25">
          <a:extLst>
            <a:ext uri="{FF2B5EF4-FFF2-40B4-BE49-F238E27FC236}">
              <a16:creationId xmlns:a16="http://schemas.microsoft.com/office/drawing/2014/main" id="{4663DFDC-A8EC-3F1C-430F-29EFAA2DCA35}"/>
            </a:ext>
          </a:extLst>
        </xdr:cNvPr>
        <xdr:cNvGrpSpPr/>
      </xdr:nvGrpSpPr>
      <xdr:grpSpPr>
        <a:xfrm>
          <a:off x="5532219" y="2971245"/>
          <a:ext cx="6641256" cy="3421768"/>
          <a:chOff x="2976979" y="2896586"/>
          <a:chExt cx="5348175" cy="3382579"/>
        </a:xfrm>
        <a:effectLst>
          <a:outerShdw blurRad="50800" dist="38100" dir="2700000" algn="tl" rotWithShape="0">
            <a:prstClr val="black">
              <a:alpha val="40000"/>
            </a:prstClr>
          </a:outerShdw>
        </a:effectLst>
      </xdr:grpSpPr>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2448D43-54FD-44F0-9469-075F664912C8}"/>
                  </a:ext>
                </a:extLst>
              </xdr:cNvPr>
              <xdr:cNvGraphicFramePr/>
            </xdr:nvGraphicFramePr>
            <xdr:xfrm>
              <a:off x="3029639" y="2923317"/>
              <a:ext cx="5295515" cy="3355848"/>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29639" y="2923317"/>
                <a:ext cx="5295515" cy="33558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3" name="TextBox 2">
            <a:extLst>
              <a:ext uri="{FF2B5EF4-FFF2-40B4-BE49-F238E27FC236}">
                <a16:creationId xmlns:a16="http://schemas.microsoft.com/office/drawing/2014/main" id="{F2C4C095-85F4-D4A8-389C-34C6B1FE9FB5}"/>
              </a:ext>
            </a:extLst>
          </xdr:cNvPr>
          <xdr:cNvSpPr txBox="1"/>
        </xdr:nvSpPr>
        <xdr:spPr>
          <a:xfrm>
            <a:off x="2976979" y="2896586"/>
            <a:ext cx="3048888" cy="264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Cancellation</a:t>
            </a:r>
            <a:r>
              <a:rPr lang="en-IN" sz="1400" b="1" baseline="0">
                <a:solidFill>
                  <a:schemeClr val="tx1"/>
                </a:solidFill>
              </a:rPr>
              <a:t> Trends and Reasons</a:t>
            </a:r>
            <a:endParaRPr lang="en-IN" sz="1400" b="1">
              <a:solidFill>
                <a:schemeClr val="tx1"/>
              </a:solidFill>
            </a:endParaRPr>
          </a:p>
        </xdr:txBody>
      </xdr:sp>
    </xdr:grpSp>
    <xdr:clientData/>
  </xdr:twoCellAnchor>
  <xdr:twoCellAnchor>
    <xdr:from>
      <xdr:col>3</xdr:col>
      <xdr:colOff>362801</xdr:colOff>
      <xdr:row>10</xdr:row>
      <xdr:rowOff>96766</xdr:rowOff>
    </xdr:from>
    <xdr:to>
      <xdr:col>5</xdr:col>
      <xdr:colOff>682841</xdr:colOff>
      <xdr:row>14</xdr:row>
      <xdr:rowOff>51046</xdr:rowOff>
    </xdr:to>
    <xdr:grpSp>
      <xdr:nvGrpSpPr>
        <xdr:cNvPr id="4" name="Group 3">
          <a:extLst>
            <a:ext uri="{FF2B5EF4-FFF2-40B4-BE49-F238E27FC236}">
              <a16:creationId xmlns:a16="http://schemas.microsoft.com/office/drawing/2014/main" id="{B0D37F7B-D6F2-48D8-874A-28CF676E21B4}"/>
            </a:ext>
          </a:extLst>
        </xdr:cNvPr>
        <xdr:cNvGrpSpPr/>
      </xdr:nvGrpSpPr>
      <xdr:grpSpPr>
        <a:xfrm>
          <a:off x="3574087" y="1947337"/>
          <a:ext cx="1909354" cy="694509"/>
          <a:chOff x="13322439" y="1649605"/>
          <a:chExt cx="1850572" cy="669890"/>
        </a:xfrm>
        <a:effectLst>
          <a:outerShdw blurRad="50800" dist="38100" dir="2700000" algn="tl"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B92590E2-3BD5-6FDA-2B98-F26B5B5B3FA2}"/>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7" name="Group 6">
            <a:extLst>
              <a:ext uri="{FF2B5EF4-FFF2-40B4-BE49-F238E27FC236}">
                <a16:creationId xmlns:a16="http://schemas.microsoft.com/office/drawing/2014/main" id="{BE2152E1-7877-229B-6584-881B32F1F65C}"/>
              </a:ext>
            </a:extLst>
          </xdr:cNvPr>
          <xdr:cNvGrpSpPr/>
        </xdr:nvGrpSpPr>
        <xdr:grpSpPr>
          <a:xfrm>
            <a:off x="13322439" y="1649605"/>
            <a:ext cx="1842197" cy="586153"/>
            <a:chOff x="13322439" y="1649605"/>
            <a:chExt cx="1842197" cy="586153"/>
          </a:xfrm>
        </xdr:grpSpPr>
        <xdr:sp macro="" textlink="A121">
          <xdr:nvSpPr>
            <xdr:cNvPr id="9" name="TextBox 8">
              <a:extLst>
                <a:ext uri="{FF2B5EF4-FFF2-40B4-BE49-F238E27FC236}">
                  <a16:creationId xmlns:a16="http://schemas.microsoft.com/office/drawing/2014/main" id="{82812F58-52A6-4A24-8CEA-12D8E8E0E0D1}"/>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125D91-208F-4754-91E6-8EFEC377B097}" type="TxLink">
                <a:rPr lang="en-US" sz="1800" b="1" i="0" u="none" strike="noStrike">
                  <a:solidFill>
                    <a:srgbClr val="000000"/>
                  </a:solidFill>
                  <a:latin typeface="Calibri"/>
                  <a:ea typeface="Calibri"/>
                  <a:cs typeface="Calibri"/>
                </a:rPr>
                <a:pPr algn="ctr"/>
                <a:t>271</a:t>
              </a:fld>
              <a:endParaRPr lang="en-US" sz="1800" b="1" i="0" u="none" strike="noStrike">
                <a:solidFill>
                  <a:srgbClr val="000000"/>
                </a:solidFill>
                <a:latin typeface="Calibri"/>
                <a:ea typeface="Calibri"/>
                <a:cs typeface="Calibri"/>
              </a:endParaRPr>
            </a:p>
          </xdr:txBody>
        </xdr:sp>
        <xdr:sp macro="" textlink="">
          <xdr:nvSpPr>
            <xdr:cNvPr id="10" name="TextBox 9">
              <a:extLst>
                <a:ext uri="{FF2B5EF4-FFF2-40B4-BE49-F238E27FC236}">
                  <a16:creationId xmlns:a16="http://schemas.microsoft.com/office/drawing/2014/main" id="{9CA558F4-25F2-F5FB-94D7-BFEE1544F0E4}"/>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Total Cancellations</a:t>
              </a:r>
            </a:p>
          </xdr:txBody>
        </xdr:sp>
      </xdr:grpSp>
    </xdr:grpSp>
    <xdr:clientData/>
  </xdr:twoCellAnchor>
  <xdr:twoCellAnchor>
    <xdr:from>
      <xdr:col>6</xdr:col>
      <xdr:colOff>151746</xdr:colOff>
      <xdr:row>10</xdr:row>
      <xdr:rowOff>96766</xdr:rowOff>
    </xdr:from>
    <xdr:to>
      <xdr:col>8</xdr:col>
      <xdr:colOff>217786</xdr:colOff>
      <xdr:row>14</xdr:row>
      <xdr:rowOff>51046</xdr:rowOff>
    </xdr:to>
    <xdr:grpSp>
      <xdr:nvGrpSpPr>
        <xdr:cNvPr id="11" name="Group 10">
          <a:extLst>
            <a:ext uri="{FF2B5EF4-FFF2-40B4-BE49-F238E27FC236}">
              <a16:creationId xmlns:a16="http://schemas.microsoft.com/office/drawing/2014/main" id="{90EDEE1D-E307-4A12-AA69-F302D3562842}"/>
            </a:ext>
          </a:extLst>
        </xdr:cNvPr>
        <xdr:cNvGrpSpPr/>
      </xdr:nvGrpSpPr>
      <xdr:grpSpPr>
        <a:xfrm>
          <a:off x="5736117" y="1947337"/>
          <a:ext cx="1949269" cy="694509"/>
          <a:chOff x="13322439" y="1649605"/>
          <a:chExt cx="1850572" cy="669890"/>
        </a:xfrm>
      </xdr:grpSpPr>
      <xdr:sp macro="" textlink="">
        <xdr:nvSpPr>
          <xdr:cNvPr id="12" name="Rectangle: Rounded Corners 11">
            <a:extLst>
              <a:ext uri="{FF2B5EF4-FFF2-40B4-BE49-F238E27FC236}">
                <a16:creationId xmlns:a16="http://schemas.microsoft.com/office/drawing/2014/main" id="{4F6C4FFB-5F6E-DE9C-3A2D-D412B0EDDC7E}"/>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3" name="Group 12">
            <a:extLst>
              <a:ext uri="{FF2B5EF4-FFF2-40B4-BE49-F238E27FC236}">
                <a16:creationId xmlns:a16="http://schemas.microsoft.com/office/drawing/2014/main" id="{85C161F2-7B23-8BCA-55BE-C8CEF05E2E33}"/>
              </a:ext>
            </a:extLst>
          </xdr:cNvPr>
          <xdr:cNvGrpSpPr/>
        </xdr:nvGrpSpPr>
        <xdr:grpSpPr>
          <a:xfrm>
            <a:off x="13322439" y="1649605"/>
            <a:ext cx="1842197" cy="586153"/>
            <a:chOff x="13322439" y="1649605"/>
            <a:chExt cx="1842197" cy="586153"/>
          </a:xfrm>
        </xdr:grpSpPr>
        <xdr:sp macro="" textlink="B121">
          <xdr:nvSpPr>
            <xdr:cNvPr id="14" name="TextBox 13">
              <a:extLst>
                <a:ext uri="{FF2B5EF4-FFF2-40B4-BE49-F238E27FC236}">
                  <a16:creationId xmlns:a16="http://schemas.microsoft.com/office/drawing/2014/main" id="{74F6BDA2-C6EC-09C3-0AAD-2BC4CC8457E7}"/>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27D33B-B12A-47DD-B49D-D57E875C930C}" type="TxLink">
                <a:rPr lang="en-US" sz="1800" b="1" i="0" u="none" strike="noStrike">
                  <a:solidFill>
                    <a:srgbClr val="000000"/>
                  </a:solidFill>
                  <a:latin typeface="Calibri"/>
                  <a:ea typeface="Calibri"/>
                  <a:cs typeface="Calibri"/>
                </a:rPr>
                <a:pPr algn="ctr"/>
                <a:t>27.10%</a:t>
              </a:fld>
              <a:endParaRPr lang="en-US" sz="1800" b="1" i="0" u="none" strike="noStrike">
                <a:solidFill>
                  <a:srgbClr val="000000"/>
                </a:solidFill>
                <a:latin typeface="Calibri"/>
                <a:ea typeface="Calibri"/>
                <a:cs typeface="Calibri"/>
              </a:endParaRPr>
            </a:p>
          </xdr:txBody>
        </xdr:sp>
        <xdr:sp macro="" textlink="">
          <xdr:nvSpPr>
            <xdr:cNvPr id="15" name="TextBox 14">
              <a:extLst>
                <a:ext uri="{FF2B5EF4-FFF2-40B4-BE49-F238E27FC236}">
                  <a16:creationId xmlns:a16="http://schemas.microsoft.com/office/drawing/2014/main" id="{C3078B25-B0E7-D7E3-8C7B-4E0BAF9F1B12}"/>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Cancellation %</a:t>
              </a:r>
            </a:p>
          </xdr:txBody>
        </xdr:sp>
      </xdr:grpSp>
    </xdr:grpSp>
    <xdr:clientData/>
  </xdr:twoCellAnchor>
  <xdr:twoCellAnchor>
    <xdr:from>
      <xdr:col>8</xdr:col>
      <xdr:colOff>450813</xdr:colOff>
      <xdr:row>10</xdr:row>
      <xdr:rowOff>96766</xdr:rowOff>
    </xdr:from>
    <xdr:to>
      <xdr:col>10</xdr:col>
      <xdr:colOff>394933</xdr:colOff>
      <xdr:row>14</xdr:row>
      <xdr:rowOff>51046</xdr:rowOff>
    </xdr:to>
    <xdr:grpSp>
      <xdr:nvGrpSpPr>
        <xdr:cNvPr id="16" name="Group 15">
          <a:extLst>
            <a:ext uri="{FF2B5EF4-FFF2-40B4-BE49-F238E27FC236}">
              <a16:creationId xmlns:a16="http://schemas.microsoft.com/office/drawing/2014/main" id="{9E5B3B25-6EF2-43DE-83A2-D5369DECB622}"/>
            </a:ext>
          </a:extLst>
        </xdr:cNvPr>
        <xdr:cNvGrpSpPr/>
      </xdr:nvGrpSpPr>
      <xdr:grpSpPr>
        <a:xfrm>
          <a:off x="7918413" y="1947337"/>
          <a:ext cx="1947091" cy="694509"/>
          <a:chOff x="13322439" y="1649605"/>
          <a:chExt cx="1850572" cy="669890"/>
        </a:xfrm>
      </xdr:grpSpPr>
      <xdr:sp macro="" textlink="">
        <xdr:nvSpPr>
          <xdr:cNvPr id="17" name="Rectangle: Rounded Corners 16">
            <a:extLst>
              <a:ext uri="{FF2B5EF4-FFF2-40B4-BE49-F238E27FC236}">
                <a16:creationId xmlns:a16="http://schemas.microsoft.com/office/drawing/2014/main" id="{2CF91643-0092-94AB-BFE2-5BBF081F8396}"/>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8" name="Group 17">
            <a:extLst>
              <a:ext uri="{FF2B5EF4-FFF2-40B4-BE49-F238E27FC236}">
                <a16:creationId xmlns:a16="http://schemas.microsoft.com/office/drawing/2014/main" id="{934ECF9F-81C2-C719-22D2-CE87E573AAA7}"/>
              </a:ext>
            </a:extLst>
          </xdr:cNvPr>
          <xdr:cNvGrpSpPr/>
        </xdr:nvGrpSpPr>
        <xdr:grpSpPr>
          <a:xfrm>
            <a:off x="13322439" y="1649605"/>
            <a:ext cx="1842197" cy="586153"/>
            <a:chOff x="13322439" y="1649605"/>
            <a:chExt cx="1842197" cy="586153"/>
          </a:xfrm>
        </xdr:grpSpPr>
        <xdr:sp macro="" textlink="B112">
          <xdr:nvSpPr>
            <xdr:cNvPr id="19" name="TextBox 18">
              <a:extLst>
                <a:ext uri="{FF2B5EF4-FFF2-40B4-BE49-F238E27FC236}">
                  <a16:creationId xmlns:a16="http://schemas.microsoft.com/office/drawing/2014/main" id="{C8364CE3-7613-30CF-4F0F-07CFBEA32C43}"/>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0FD876-0A78-4132-B811-2E66D7833AF7}" type="TxLink">
                <a:rPr lang="en-US" sz="1800" b="1" i="0" u="none" strike="noStrike">
                  <a:solidFill>
                    <a:srgbClr val="000000"/>
                  </a:solidFill>
                  <a:latin typeface="Calibri"/>
                  <a:ea typeface="Calibri"/>
                  <a:cs typeface="Calibri"/>
                </a:rPr>
                <a:pPr algn="ctr"/>
                <a:t>Price</a:t>
              </a:fld>
              <a:endParaRPr lang="en-US" sz="1800" b="1" i="0" u="none" strike="noStrike">
                <a:solidFill>
                  <a:srgbClr val="000000"/>
                </a:solidFill>
                <a:latin typeface="Calibri"/>
                <a:ea typeface="Calibri"/>
                <a:cs typeface="Calibri"/>
              </a:endParaRPr>
            </a:p>
          </xdr:txBody>
        </xdr:sp>
        <xdr:sp macro="" textlink="">
          <xdr:nvSpPr>
            <xdr:cNvPr id="20" name="TextBox 19">
              <a:extLst>
                <a:ext uri="{FF2B5EF4-FFF2-40B4-BE49-F238E27FC236}">
                  <a16:creationId xmlns:a16="http://schemas.microsoft.com/office/drawing/2014/main" id="{308461FE-AF1B-0BE1-7EAB-E26FE5D9AC23}"/>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Top Cancellations Reason</a:t>
              </a:r>
            </a:p>
          </xdr:txBody>
        </xdr:sp>
      </xdr:grpSp>
    </xdr:grpSp>
    <xdr:clientData/>
  </xdr:twoCellAnchor>
  <xdr:twoCellAnchor>
    <xdr:from>
      <xdr:col>10</xdr:col>
      <xdr:colOff>627961</xdr:colOff>
      <xdr:row>10</xdr:row>
      <xdr:rowOff>96766</xdr:rowOff>
    </xdr:from>
    <xdr:to>
      <xdr:col>13</xdr:col>
      <xdr:colOff>326318</xdr:colOff>
      <xdr:row>14</xdr:row>
      <xdr:rowOff>51046</xdr:rowOff>
    </xdr:to>
    <xdr:grpSp>
      <xdr:nvGrpSpPr>
        <xdr:cNvPr id="21" name="Group 20">
          <a:extLst>
            <a:ext uri="{FF2B5EF4-FFF2-40B4-BE49-F238E27FC236}">
              <a16:creationId xmlns:a16="http://schemas.microsoft.com/office/drawing/2014/main" id="{D9046C00-317D-49BF-AF73-398D932D8638}"/>
            </a:ext>
          </a:extLst>
        </xdr:cNvPr>
        <xdr:cNvGrpSpPr/>
      </xdr:nvGrpSpPr>
      <xdr:grpSpPr>
        <a:xfrm>
          <a:off x="10098532" y="1947337"/>
          <a:ext cx="2017015" cy="694509"/>
          <a:chOff x="13322439" y="1649605"/>
          <a:chExt cx="1852769" cy="682652"/>
        </a:xfrm>
      </xdr:grpSpPr>
      <xdr:sp macro="" textlink="">
        <xdr:nvSpPr>
          <xdr:cNvPr id="22" name="Rectangle: Rounded Corners 21">
            <a:extLst>
              <a:ext uri="{FF2B5EF4-FFF2-40B4-BE49-F238E27FC236}">
                <a16:creationId xmlns:a16="http://schemas.microsoft.com/office/drawing/2014/main" id="{2B9786F7-A3DD-AB31-E148-AB7FCDF3C9F3}"/>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3" name="Group 22">
            <a:extLst>
              <a:ext uri="{FF2B5EF4-FFF2-40B4-BE49-F238E27FC236}">
                <a16:creationId xmlns:a16="http://schemas.microsoft.com/office/drawing/2014/main" id="{6C1D8F76-9855-1309-7B93-8670C9EB1338}"/>
              </a:ext>
            </a:extLst>
          </xdr:cNvPr>
          <xdr:cNvGrpSpPr/>
        </xdr:nvGrpSpPr>
        <xdr:grpSpPr>
          <a:xfrm>
            <a:off x="13322439" y="1649605"/>
            <a:ext cx="1852769" cy="682652"/>
            <a:chOff x="13322439" y="1649605"/>
            <a:chExt cx="1852769" cy="682652"/>
          </a:xfrm>
        </xdr:grpSpPr>
        <xdr:sp macro="" textlink="B115">
          <xdr:nvSpPr>
            <xdr:cNvPr id="24" name="TextBox 23">
              <a:extLst>
                <a:ext uri="{FF2B5EF4-FFF2-40B4-BE49-F238E27FC236}">
                  <a16:creationId xmlns:a16="http://schemas.microsoft.com/office/drawing/2014/main" id="{FDE14426-210D-398C-ED7B-FEA89705595D}"/>
                </a:ext>
              </a:extLst>
            </xdr:cNvPr>
            <xdr:cNvSpPr txBox="1"/>
          </xdr:nvSpPr>
          <xdr:spPr>
            <a:xfrm>
              <a:off x="13360947" y="1884065"/>
              <a:ext cx="181426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9F1351-783B-4FB4-8E60-64146078B613}" type="TxLink">
                <a:rPr lang="en-US" sz="1800" b="1" i="0" u="none" strike="noStrike">
                  <a:solidFill>
                    <a:srgbClr val="000000"/>
                  </a:solidFill>
                  <a:latin typeface="Calibri"/>
                  <a:ea typeface="Calibri"/>
                  <a:cs typeface="Calibri"/>
                </a:rPr>
                <a:pPr algn="ctr"/>
                <a:t>Bangalore MBC</a:t>
              </a:fld>
              <a:endParaRPr lang="en-US" sz="1800" b="1" i="0" u="none" strike="noStrike">
                <a:solidFill>
                  <a:srgbClr val="000000"/>
                </a:solidFill>
                <a:latin typeface="Calibri"/>
                <a:ea typeface="Calibri"/>
                <a:cs typeface="Calibri"/>
              </a:endParaRPr>
            </a:p>
          </xdr:txBody>
        </xdr:sp>
        <xdr:sp macro="" textlink="">
          <xdr:nvSpPr>
            <xdr:cNvPr id="25" name="TextBox 24">
              <a:extLst>
                <a:ext uri="{FF2B5EF4-FFF2-40B4-BE49-F238E27FC236}">
                  <a16:creationId xmlns:a16="http://schemas.microsoft.com/office/drawing/2014/main" id="{232D5FB9-6065-C470-2159-F2C69D09C385}"/>
                </a:ext>
              </a:extLst>
            </xdr:cNvPr>
            <xdr:cNvSpPr txBox="1"/>
          </xdr:nvSpPr>
          <xdr:spPr>
            <a:xfrm>
              <a:off x="13322439" y="1649605"/>
              <a:ext cx="1706528" cy="682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City with Max Cancellations</a:t>
              </a:r>
            </a:p>
          </xdr:txBody>
        </xdr:sp>
      </xdr:grpSp>
    </xdr:grpSp>
    <xdr:clientData/>
  </xdr:twoCellAnchor>
  <xdr:twoCellAnchor>
    <xdr:from>
      <xdr:col>3</xdr:col>
      <xdr:colOff>362801</xdr:colOff>
      <xdr:row>16</xdr:row>
      <xdr:rowOff>10331</xdr:rowOff>
    </xdr:from>
    <xdr:to>
      <xdr:col>5</xdr:col>
      <xdr:colOff>682841</xdr:colOff>
      <xdr:row>19</xdr:row>
      <xdr:rowOff>146581</xdr:rowOff>
    </xdr:to>
    <xdr:grpSp>
      <xdr:nvGrpSpPr>
        <xdr:cNvPr id="30" name="Group 29">
          <a:extLst>
            <a:ext uri="{FF2B5EF4-FFF2-40B4-BE49-F238E27FC236}">
              <a16:creationId xmlns:a16="http://schemas.microsoft.com/office/drawing/2014/main" id="{0DAB875D-D434-4D70-BB58-85D758A161D2}"/>
            </a:ext>
          </a:extLst>
        </xdr:cNvPr>
        <xdr:cNvGrpSpPr/>
      </xdr:nvGrpSpPr>
      <xdr:grpSpPr>
        <a:xfrm>
          <a:off x="3574087" y="2971245"/>
          <a:ext cx="1909354" cy="691422"/>
          <a:chOff x="13322439" y="1649605"/>
          <a:chExt cx="1850572" cy="669890"/>
        </a:xfrm>
      </xdr:grpSpPr>
      <xdr:sp macro="" textlink="">
        <xdr:nvSpPr>
          <xdr:cNvPr id="31" name="Rectangle: Rounded Corners 30">
            <a:extLst>
              <a:ext uri="{FF2B5EF4-FFF2-40B4-BE49-F238E27FC236}">
                <a16:creationId xmlns:a16="http://schemas.microsoft.com/office/drawing/2014/main" id="{E1028D13-0F8C-8EB5-19C9-7F0B7B97DEC1}"/>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2" name="Group 31">
            <a:extLst>
              <a:ext uri="{FF2B5EF4-FFF2-40B4-BE49-F238E27FC236}">
                <a16:creationId xmlns:a16="http://schemas.microsoft.com/office/drawing/2014/main" id="{A4FDB18C-0ED7-42EC-40D7-D61B6EB30B22}"/>
              </a:ext>
            </a:extLst>
          </xdr:cNvPr>
          <xdr:cNvGrpSpPr/>
        </xdr:nvGrpSpPr>
        <xdr:grpSpPr>
          <a:xfrm>
            <a:off x="13322439" y="1649605"/>
            <a:ext cx="1842197" cy="586153"/>
            <a:chOff x="13322439" y="1649605"/>
            <a:chExt cx="1842197" cy="586153"/>
          </a:xfrm>
        </xdr:grpSpPr>
        <xdr:sp macro="" textlink="A118">
          <xdr:nvSpPr>
            <xdr:cNvPr id="33" name="TextBox 32">
              <a:extLst>
                <a:ext uri="{FF2B5EF4-FFF2-40B4-BE49-F238E27FC236}">
                  <a16:creationId xmlns:a16="http://schemas.microsoft.com/office/drawing/2014/main" id="{28FCE740-9694-5E83-7E26-EC0311D342F9}"/>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3880C7-6B77-4306-8298-87F4065C9DE3}" type="TxLink">
                <a:rPr lang="en-US" sz="2000" b="1" i="0" u="none" strike="noStrike">
                  <a:solidFill>
                    <a:srgbClr val="000000"/>
                  </a:solidFill>
                  <a:latin typeface="Calibri"/>
                  <a:ea typeface="Calibri"/>
                  <a:cs typeface="Calibri"/>
                </a:rPr>
                <a:pPr algn="ctr"/>
                <a:t>729</a:t>
              </a:fld>
              <a:endParaRPr lang="en-US" sz="2000" b="1" i="0" u="none" strike="noStrike">
                <a:solidFill>
                  <a:srgbClr val="000000"/>
                </a:solidFill>
                <a:latin typeface="Calibri"/>
                <a:ea typeface="Calibri"/>
                <a:cs typeface="Calibri"/>
              </a:endParaRPr>
            </a:p>
          </xdr:txBody>
        </xdr:sp>
        <xdr:sp macro="" textlink="">
          <xdr:nvSpPr>
            <xdr:cNvPr id="34" name="TextBox 33">
              <a:extLst>
                <a:ext uri="{FF2B5EF4-FFF2-40B4-BE49-F238E27FC236}">
                  <a16:creationId xmlns:a16="http://schemas.microsoft.com/office/drawing/2014/main" id="{8756A2B0-4789-D6AA-05A7-E2A5FB6467B4}"/>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Total Delivered</a:t>
              </a:r>
            </a:p>
          </xdr:txBody>
        </xdr:sp>
      </xdr:grpSp>
    </xdr:grpSp>
    <xdr:clientData/>
  </xdr:twoCellAnchor>
  <xdr:twoCellAnchor editAs="oneCell">
    <xdr:from>
      <xdr:col>3</xdr:col>
      <xdr:colOff>413657</xdr:colOff>
      <xdr:row>20</xdr:row>
      <xdr:rowOff>141514</xdr:rowOff>
    </xdr:from>
    <xdr:to>
      <xdr:col>5</xdr:col>
      <xdr:colOff>653143</xdr:colOff>
      <xdr:row>34</xdr:row>
      <xdr:rowOff>17689</xdr:rowOff>
    </xdr:to>
    <mc:AlternateContent xmlns:mc="http://schemas.openxmlformats.org/markup-compatibility/2006">
      <mc:Choice xmlns:a14="http://schemas.microsoft.com/office/drawing/2010/main" Requires="a14">
        <xdr:graphicFrame macro="">
          <xdr:nvGraphicFramePr>
            <xdr:cNvPr id="27" name="Store Name 2">
              <a:extLst>
                <a:ext uri="{FF2B5EF4-FFF2-40B4-BE49-F238E27FC236}">
                  <a16:creationId xmlns:a16="http://schemas.microsoft.com/office/drawing/2014/main" id="{8F482364-E7A2-4DF7-BC2C-38A31FA0430B}"/>
                </a:ext>
              </a:extLst>
            </xdr:cNvPr>
            <xdr:cNvGraphicFramePr/>
          </xdr:nvGraphicFramePr>
          <xdr:xfrm>
            <a:off x="0" y="0"/>
            <a:ext cx="0" cy="0"/>
          </xdr:xfrm>
          <a:graphic>
            <a:graphicData uri="http://schemas.microsoft.com/office/drawing/2010/slicer">
              <sle:slicer xmlns:sle="http://schemas.microsoft.com/office/drawing/2010/slicer" name="Store Name 2"/>
            </a:graphicData>
          </a:graphic>
        </xdr:graphicFrame>
      </mc:Choice>
      <mc:Fallback>
        <xdr:sp macro="" textlink="">
          <xdr:nvSpPr>
            <xdr:cNvPr id="0" name=""/>
            <xdr:cNvSpPr>
              <a:spLocks noTextEdit="1"/>
            </xdr:cNvSpPr>
          </xdr:nvSpPr>
          <xdr:spPr>
            <a:xfrm>
              <a:off x="3624943" y="384265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1043876</xdr:colOff>
      <xdr:row>12</xdr:row>
      <xdr:rowOff>83737</xdr:rowOff>
    </xdr:from>
    <xdr:to>
      <xdr:col>12</xdr:col>
      <xdr:colOff>171847</xdr:colOff>
      <xdr:row>35</xdr:row>
      <xdr:rowOff>132002</xdr:rowOff>
    </xdr:to>
    <xdr:grpSp>
      <xdr:nvGrpSpPr>
        <xdr:cNvPr id="2" name="Group 1">
          <a:extLst>
            <a:ext uri="{FF2B5EF4-FFF2-40B4-BE49-F238E27FC236}">
              <a16:creationId xmlns:a16="http://schemas.microsoft.com/office/drawing/2014/main" id="{CEF4D248-FB19-B07D-DE17-6FA9E47C0B54}"/>
            </a:ext>
          </a:extLst>
        </xdr:cNvPr>
        <xdr:cNvGrpSpPr/>
      </xdr:nvGrpSpPr>
      <xdr:grpSpPr>
        <a:xfrm>
          <a:off x="2631376" y="2242737"/>
          <a:ext cx="6546888" cy="4186348"/>
          <a:chOff x="2631376" y="2242737"/>
          <a:chExt cx="6546888" cy="4186348"/>
        </a:xfrm>
      </xdr:grpSpPr>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2631376" y="3150693"/>
          <a:ext cx="6546888" cy="3278392"/>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4" name="Group 3">
            <a:extLst>
              <a:ext uri="{FF2B5EF4-FFF2-40B4-BE49-F238E27FC236}">
                <a16:creationId xmlns:a16="http://schemas.microsoft.com/office/drawing/2014/main" id="{5CB16B78-F634-4EC9-9AEA-738BF6BE7055}"/>
              </a:ext>
            </a:extLst>
          </xdr:cNvPr>
          <xdr:cNvGrpSpPr/>
        </xdr:nvGrpSpPr>
        <xdr:grpSpPr>
          <a:xfrm>
            <a:off x="2631376" y="2242737"/>
            <a:ext cx="1913233" cy="664949"/>
            <a:chOff x="13322439" y="1649605"/>
            <a:chExt cx="1850572" cy="669890"/>
          </a:xfrm>
          <a:effectLst>
            <a:outerShdw blurRad="50800" dist="38100" dir="2700000" algn="tl"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26DAB6D5-4B2C-06C1-F700-98BAEF4F3C4D}"/>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6" name="Group 5">
              <a:extLst>
                <a:ext uri="{FF2B5EF4-FFF2-40B4-BE49-F238E27FC236}">
                  <a16:creationId xmlns:a16="http://schemas.microsoft.com/office/drawing/2014/main" id="{7A815EB4-3B92-6A28-054E-0A81634316A0}"/>
                </a:ext>
              </a:extLst>
            </xdr:cNvPr>
            <xdr:cNvGrpSpPr/>
          </xdr:nvGrpSpPr>
          <xdr:grpSpPr>
            <a:xfrm>
              <a:off x="13322439" y="1649605"/>
              <a:ext cx="1842197" cy="569707"/>
              <a:chOff x="13322439" y="1649605"/>
              <a:chExt cx="1842197" cy="569707"/>
            </a:xfrm>
          </xdr:grpSpPr>
          <xdr:sp macro="" textlink="F7">
            <xdr:nvSpPr>
              <xdr:cNvPr id="7" name="TextBox 6">
                <a:extLst>
                  <a:ext uri="{FF2B5EF4-FFF2-40B4-BE49-F238E27FC236}">
                    <a16:creationId xmlns:a16="http://schemas.microsoft.com/office/drawing/2014/main" id="{8B3E441C-DE40-5C47-9301-2926CEF81573}"/>
                  </a:ext>
                </a:extLst>
              </xdr:cNvPr>
              <xdr:cNvSpPr txBox="1"/>
            </xdr:nvSpPr>
            <xdr:spPr>
              <a:xfrm>
                <a:off x="13800318" y="1867619"/>
                <a:ext cx="949875"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E9115A-4AF8-47FD-B6A8-C1A54675CDE8}" type="TxLink">
                  <a:rPr lang="en-US" sz="1800" b="1" i="0" u="none" strike="noStrike">
                    <a:solidFill>
                      <a:srgbClr val="000000"/>
                    </a:solidFill>
                    <a:latin typeface="Calibri"/>
                    <a:ea typeface="Calibri"/>
                    <a:cs typeface="Calibri"/>
                  </a:rPr>
                  <a:pPr algn="ctr"/>
                  <a:t>-53.50%</a:t>
                </a:fld>
                <a:endParaRPr lang="en-US" sz="1800" b="1" i="0" u="none" strike="noStrike">
                  <a:solidFill>
                    <a:srgbClr val="000000"/>
                  </a:solidFill>
                  <a:latin typeface="Calibri"/>
                  <a:ea typeface="Calibri"/>
                  <a:cs typeface="Calibri"/>
                </a:endParaRPr>
              </a:p>
            </xdr:txBody>
          </xdr:sp>
          <xdr:sp macro="" textlink="">
            <xdr:nvSpPr>
              <xdr:cNvPr id="8" name="TextBox 7">
                <a:extLst>
                  <a:ext uri="{FF2B5EF4-FFF2-40B4-BE49-F238E27FC236}">
                    <a16:creationId xmlns:a16="http://schemas.microsoft.com/office/drawing/2014/main" id="{308F9BDA-59B8-9F08-F916-A2C7D12F2BA3}"/>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Net Promoter Score (NPS)</a:t>
                </a:r>
              </a:p>
            </xdr:txBody>
          </xdr:sp>
        </xdr:grpSp>
      </xdr:grpSp>
      <xdr:grpSp>
        <xdr:nvGrpSpPr>
          <xdr:cNvPr id="14" name="Group 13">
            <a:extLst>
              <a:ext uri="{FF2B5EF4-FFF2-40B4-BE49-F238E27FC236}">
                <a16:creationId xmlns:a16="http://schemas.microsoft.com/office/drawing/2014/main" id="{8B81C62F-354E-4993-8F03-8BD263B1D562}"/>
              </a:ext>
            </a:extLst>
          </xdr:cNvPr>
          <xdr:cNvGrpSpPr/>
        </xdr:nvGrpSpPr>
        <xdr:grpSpPr>
          <a:xfrm>
            <a:off x="4943022" y="2242737"/>
            <a:ext cx="1878068" cy="664949"/>
            <a:chOff x="13322439" y="1649605"/>
            <a:chExt cx="1850572" cy="669890"/>
          </a:xfrm>
        </xdr:grpSpPr>
        <xdr:sp macro="" textlink="">
          <xdr:nvSpPr>
            <xdr:cNvPr id="15" name="Rectangle: Rounded Corners 14">
              <a:extLst>
                <a:ext uri="{FF2B5EF4-FFF2-40B4-BE49-F238E27FC236}">
                  <a16:creationId xmlns:a16="http://schemas.microsoft.com/office/drawing/2014/main" id="{0DD4008C-E635-8E7A-5E3F-6F24FD896902}"/>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6" name="Group 15">
              <a:extLst>
                <a:ext uri="{FF2B5EF4-FFF2-40B4-BE49-F238E27FC236}">
                  <a16:creationId xmlns:a16="http://schemas.microsoft.com/office/drawing/2014/main" id="{535D80D3-3C77-2A14-13E5-4305BBB8EEC0}"/>
                </a:ext>
              </a:extLst>
            </xdr:cNvPr>
            <xdr:cNvGrpSpPr/>
          </xdr:nvGrpSpPr>
          <xdr:grpSpPr>
            <a:xfrm>
              <a:off x="13322439" y="1649605"/>
              <a:ext cx="1842197" cy="586153"/>
              <a:chOff x="13322439" y="1649605"/>
              <a:chExt cx="1842197" cy="586153"/>
            </a:xfrm>
          </xdr:grpSpPr>
          <xdr:sp macro="" textlink="A100">
            <xdr:nvSpPr>
              <xdr:cNvPr id="17" name="TextBox 16">
                <a:extLst>
                  <a:ext uri="{FF2B5EF4-FFF2-40B4-BE49-F238E27FC236}">
                    <a16:creationId xmlns:a16="http://schemas.microsoft.com/office/drawing/2014/main" id="{41F1430E-8F16-C983-8779-2441E6BF5A28}"/>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29735-BA7C-4A8A-9ECD-E563A8085954}" type="TxLink">
                  <a:rPr lang="en-US" sz="1800" b="1" i="0" u="none" strike="noStrike">
                    <a:solidFill>
                      <a:srgbClr val="000000"/>
                    </a:solidFill>
                    <a:latin typeface="Calibri"/>
                    <a:ea typeface="Calibri"/>
                    <a:cs typeface="Calibri"/>
                  </a:rPr>
                  <a:pPr algn="ctr"/>
                  <a:t>14.27%</a:t>
                </a:fld>
                <a:endParaRPr lang="en-US" sz="1800" b="1" i="0" u="none" strike="noStrike">
                  <a:solidFill>
                    <a:srgbClr val="000000"/>
                  </a:solidFill>
                  <a:latin typeface="Calibri"/>
                  <a:ea typeface="Calibri"/>
                  <a:cs typeface="Calibri"/>
                </a:endParaRPr>
              </a:p>
            </xdr:txBody>
          </xdr:sp>
          <xdr:sp macro="" textlink="">
            <xdr:nvSpPr>
              <xdr:cNvPr id="18" name="TextBox 17">
                <a:extLst>
                  <a:ext uri="{FF2B5EF4-FFF2-40B4-BE49-F238E27FC236}">
                    <a16:creationId xmlns:a16="http://schemas.microsoft.com/office/drawing/2014/main" id="{47BEC506-D643-95EF-F416-E8DD0290D840}"/>
                  </a:ext>
                </a:extLst>
              </xdr:cNvPr>
              <xdr:cNvSpPr txBox="1"/>
            </xdr:nvSpPr>
            <xdr:spPr>
              <a:xfrm>
                <a:off x="13322439" y="1649605"/>
                <a:ext cx="1842197" cy="22608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 of Promoters</a:t>
                </a:r>
              </a:p>
            </xdr:txBody>
          </xdr:sp>
        </xdr:grpSp>
      </xdr:grpSp>
      <xdr:grpSp>
        <xdr:nvGrpSpPr>
          <xdr:cNvPr id="19" name="Group 18">
            <a:extLst>
              <a:ext uri="{FF2B5EF4-FFF2-40B4-BE49-F238E27FC236}">
                <a16:creationId xmlns:a16="http://schemas.microsoft.com/office/drawing/2014/main" id="{03DC50E4-B876-43F8-BEE4-AAC261B71D89}"/>
              </a:ext>
            </a:extLst>
          </xdr:cNvPr>
          <xdr:cNvGrpSpPr/>
        </xdr:nvGrpSpPr>
        <xdr:grpSpPr>
          <a:xfrm>
            <a:off x="7257026" y="2242737"/>
            <a:ext cx="1874463" cy="664949"/>
            <a:chOff x="13322439" y="1649605"/>
            <a:chExt cx="1850572" cy="669890"/>
          </a:xfrm>
          <a:effectLst>
            <a:outerShdw blurRad="50800" dist="38100" dir="2700000" algn="tl"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3156600E-3709-6E03-0AB2-51459B11B0E9}"/>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1" name="Group 20">
              <a:extLst>
                <a:ext uri="{FF2B5EF4-FFF2-40B4-BE49-F238E27FC236}">
                  <a16:creationId xmlns:a16="http://schemas.microsoft.com/office/drawing/2014/main" id="{3B9A38FE-BBA7-E1D3-E9B6-9E98DCCFB569}"/>
                </a:ext>
              </a:extLst>
            </xdr:cNvPr>
            <xdr:cNvGrpSpPr/>
          </xdr:nvGrpSpPr>
          <xdr:grpSpPr>
            <a:xfrm>
              <a:off x="13322439" y="1649605"/>
              <a:ext cx="1842197" cy="586153"/>
              <a:chOff x="13322439" y="1649605"/>
              <a:chExt cx="1842197" cy="586153"/>
            </a:xfrm>
          </xdr:grpSpPr>
          <xdr:sp macro="" textlink="B100">
            <xdr:nvSpPr>
              <xdr:cNvPr id="22" name="TextBox 21">
                <a:extLst>
                  <a:ext uri="{FF2B5EF4-FFF2-40B4-BE49-F238E27FC236}">
                    <a16:creationId xmlns:a16="http://schemas.microsoft.com/office/drawing/2014/main" id="{F48912BF-3BAC-21D1-0240-92591C910F5C}"/>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5FE1B7-D926-4CC0-B102-1D3AF0C6757B}" type="TxLink">
                  <a:rPr lang="en-US" sz="1800" b="1" i="0" u="none" strike="noStrike">
                    <a:solidFill>
                      <a:srgbClr val="000000"/>
                    </a:solidFill>
                    <a:latin typeface="Calibri"/>
                    <a:ea typeface="Calibri"/>
                    <a:cs typeface="Calibri"/>
                  </a:rPr>
                  <a:pPr algn="ctr"/>
                  <a:t>67.76%</a:t>
                </a:fld>
                <a:endParaRPr lang="en-US" sz="1800" b="1" i="0" u="none" strike="noStrike">
                  <a:solidFill>
                    <a:srgbClr val="000000"/>
                  </a:solidFill>
                  <a:latin typeface="Calibri"/>
                  <a:ea typeface="Calibri"/>
                  <a:cs typeface="Calibri"/>
                </a:endParaRPr>
              </a:p>
            </xdr:txBody>
          </xdr:sp>
          <xdr:sp macro="" textlink="">
            <xdr:nvSpPr>
              <xdr:cNvPr id="23" name="TextBox 22">
                <a:extLst>
                  <a:ext uri="{FF2B5EF4-FFF2-40B4-BE49-F238E27FC236}">
                    <a16:creationId xmlns:a16="http://schemas.microsoft.com/office/drawing/2014/main" id="{7B20E6E5-F280-1DF2-1BDA-1B4919A2E7C7}"/>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 of Detractors</a:t>
                </a:r>
              </a:p>
            </xdr:txBody>
          </xdr:sp>
        </xdr:grp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51</xdr:col>
      <xdr:colOff>516722</xdr:colOff>
      <xdr:row>71</xdr:row>
      <xdr:rowOff>99390</xdr:rowOff>
    </xdr:to>
    <xdr:grpSp>
      <xdr:nvGrpSpPr>
        <xdr:cNvPr id="19" name="Group 18">
          <a:extLst>
            <a:ext uri="{FF2B5EF4-FFF2-40B4-BE49-F238E27FC236}">
              <a16:creationId xmlns:a16="http://schemas.microsoft.com/office/drawing/2014/main" id="{EDD6A1CC-DACF-A692-9641-6D52F424338B}"/>
            </a:ext>
          </a:extLst>
        </xdr:cNvPr>
        <xdr:cNvGrpSpPr/>
      </xdr:nvGrpSpPr>
      <xdr:grpSpPr>
        <a:xfrm>
          <a:off x="0" y="1"/>
          <a:ext cx="32026452" cy="13259335"/>
          <a:chOff x="0" y="1"/>
          <a:chExt cx="31197248" cy="12913021"/>
        </a:xfrm>
      </xdr:grpSpPr>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1660357" y="627146"/>
            <a:ext cx="2931696" cy="2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p>
        </xdr:txBody>
      </xdr:sp>
      <xdr:graphicFrame macro="">
        <xdr:nvGraphicFramePr>
          <xdr:cNvPr id="10" name="Chart 9">
            <a:extLst>
              <a:ext uri="{FF2B5EF4-FFF2-40B4-BE49-F238E27FC236}">
                <a16:creationId xmlns:a16="http://schemas.microsoft.com/office/drawing/2014/main" id="{1CD4D0CB-F0D9-4AD0-9D5C-35D70076AF03}"/>
              </a:ext>
            </a:extLst>
          </xdr:cNvPr>
          <xdr:cNvGraphicFramePr>
            <a:graphicFrameLocks/>
          </xdr:cNvGraphicFramePr>
        </xdr:nvGraphicFramePr>
        <xdr:xfrm>
          <a:off x="214427" y="8104383"/>
          <a:ext cx="10509371" cy="480863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 name="Chart 10">
            <a:extLst>
              <a:ext uri="{FF2B5EF4-FFF2-40B4-BE49-F238E27FC236}">
                <a16:creationId xmlns:a16="http://schemas.microsoft.com/office/drawing/2014/main" id="{7256D691-4960-4B32-9CDA-92C0B4786C7A}"/>
              </a:ext>
            </a:extLst>
          </xdr:cNvPr>
          <xdr:cNvGraphicFramePr>
            <a:graphicFrameLocks/>
          </xdr:cNvGraphicFramePr>
        </xdr:nvGraphicFramePr>
        <xdr:xfrm>
          <a:off x="11001175" y="8104383"/>
          <a:ext cx="8293812" cy="4808384"/>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46632B57-24DC-4893-95CA-30FC1B3C31AB}"/>
                  </a:ext>
                </a:extLst>
              </xdr:cNvPr>
              <xdr:cNvGraphicFramePr/>
            </xdr:nvGraphicFramePr>
            <xdr:xfrm>
              <a:off x="214427" y="3150878"/>
              <a:ext cx="10505800" cy="4808384"/>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14427" y="3150878"/>
                <a:ext cx="10505800" cy="48083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13" name="Chart 12">
            <a:extLst>
              <a:ext uri="{FF2B5EF4-FFF2-40B4-BE49-F238E27FC236}">
                <a16:creationId xmlns:a16="http://schemas.microsoft.com/office/drawing/2014/main" id="{F6B3CE07-E791-41DF-AB2E-460F8BA13ACE}"/>
              </a:ext>
            </a:extLst>
          </xdr:cNvPr>
          <xdr:cNvGraphicFramePr>
            <a:graphicFrameLocks/>
          </xdr:cNvGraphicFramePr>
        </xdr:nvGraphicFramePr>
        <xdr:xfrm>
          <a:off x="11049215" y="3150878"/>
          <a:ext cx="8291143" cy="4808384"/>
        </xdr:xfrm>
        <a:graphic>
          <a:graphicData uri="http://schemas.openxmlformats.org/drawingml/2006/chart">
            <c:chart xmlns:c="http://schemas.openxmlformats.org/drawingml/2006/chart" xmlns:r="http://schemas.openxmlformats.org/officeDocument/2006/relationships" r:id="rId4"/>
          </a:graphicData>
        </a:graphic>
      </xdr:graphicFrame>
      <xdr:pic>
        <xdr:nvPicPr>
          <xdr:cNvPr id="15" name="Picture 14">
            <a:extLst>
              <a:ext uri="{FF2B5EF4-FFF2-40B4-BE49-F238E27FC236}">
                <a16:creationId xmlns:a16="http://schemas.microsoft.com/office/drawing/2014/main" id="{01B68D0E-D40F-0E5F-A0A8-DD5A9EE1A1D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1"/>
            <a:ext cx="4947364" cy="3121215"/>
          </a:xfrm>
          <a:prstGeom prst="rect">
            <a:avLst/>
          </a:prstGeom>
        </xdr:spPr>
      </xdr:pic>
      <xdr:sp macro="" textlink="">
        <xdr:nvSpPr>
          <xdr:cNvPr id="17" name="Rectangle: Rounded Corners 16">
            <a:extLst>
              <a:ext uri="{FF2B5EF4-FFF2-40B4-BE49-F238E27FC236}">
                <a16:creationId xmlns:a16="http://schemas.microsoft.com/office/drawing/2014/main" id="{227B734E-0379-67CE-0971-3BE247D85373}"/>
              </a:ext>
            </a:extLst>
          </xdr:cNvPr>
          <xdr:cNvSpPr/>
        </xdr:nvSpPr>
        <xdr:spPr>
          <a:xfrm>
            <a:off x="5344344" y="194662"/>
            <a:ext cx="10933731" cy="1249128"/>
          </a:xfrm>
          <a:prstGeom prst="roundRect">
            <a:avLst/>
          </a:prstGeom>
          <a:solidFill>
            <a:schemeClr val="bg1"/>
          </a:solidFill>
          <a:ln>
            <a:noFill/>
          </a:ln>
          <a:effectLst>
            <a:glow rad="228600">
              <a:schemeClr val="bg1">
                <a:lumMod val="8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28026968-1BFA-2465-671C-830C6B7D245B}"/>
              </a:ext>
            </a:extLst>
          </xdr:cNvPr>
          <xdr:cNvSpPr txBox="1"/>
        </xdr:nvSpPr>
        <xdr:spPr>
          <a:xfrm>
            <a:off x="5657990" y="411895"/>
            <a:ext cx="10248877" cy="854203"/>
          </a:xfrm>
          <a:prstGeom prst="rect">
            <a:avLst/>
          </a:prstGeom>
          <a:noFill/>
          <a:ln w="9525" cmpd="sng">
            <a:noFill/>
          </a:ln>
          <a:effectLst>
            <a:glow rad="1397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a:t>End-to-End Lead Performance Overview</a:t>
            </a:r>
          </a:p>
        </xdr:txBody>
      </xdr:sp>
      <mc:AlternateContent xmlns:mc="http://schemas.openxmlformats.org/markup-compatibility/2006">
        <mc:Choice xmlns:a14="http://schemas.microsoft.com/office/drawing/2010/main" Requires="a14">
          <xdr:graphicFrame macro="">
            <xdr:nvGraphicFramePr>
              <xdr:cNvPr id="69" name="Store Name 3">
                <a:extLst>
                  <a:ext uri="{FF2B5EF4-FFF2-40B4-BE49-F238E27FC236}">
                    <a16:creationId xmlns:a16="http://schemas.microsoft.com/office/drawing/2014/main" id="{4EB8334D-649A-4872-AD7B-8E1FCAECC1FB}"/>
                  </a:ext>
                </a:extLst>
              </xdr:cNvPr>
              <xdr:cNvGraphicFramePr/>
            </xdr:nvGraphicFramePr>
            <xdr:xfrm>
              <a:off x="27634479" y="3120372"/>
              <a:ext cx="3562769" cy="6805681"/>
            </xdr:xfrm>
            <a:graphic>
              <a:graphicData uri="http://schemas.microsoft.com/office/drawing/2010/slicer">
                <sle:slicer xmlns:sle="http://schemas.microsoft.com/office/drawing/2010/slicer" name="Store Name 3"/>
              </a:graphicData>
            </a:graphic>
          </xdr:graphicFrame>
        </mc:Choice>
        <mc:Fallback>
          <xdr:sp macro="" textlink="">
            <xdr:nvSpPr>
              <xdr:cNvPr id="0" name=""/>
              <xdr:cNvSpPr>
                <a:spLocks noTextEdit="1"/>
              </xdr:cNvSpPr>
            </xdr:nvSpPr>
            <xdr:spPr>
              <a:xfrm>
                <a:off x="28368987" y="3204057"/>
                <a:ext cx="3657465" cy="6988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3" name="Group 2">
            <a:extLst>
              <a:ext uri="{FF2B5EF4-FFF2-40B4-BE49-F238E27FC236}">
                <a16:creationId xmlns:a16="http://schemas.microsoft.com/office/drawing/2014/main" id="{72E27D1A-331F-4E58-95C2-0B91A9EAE618}"/>
              </a:ext>
            </a:extLst>
          </xdr:cNvPr>
          <xdr:cNvGrpSpPr/>
        </xdr:nvGrpSpPr>
        <xdr:grpSpPr>
          <a:xfrm>
            <a:off x="5227468" y="1700193"/>
            <a:ext cx="3586533" cy="1102895"/>
            <a:chOff x="13322439" y="1649605"/>
            <a:chExt cx="1850572" cy="669890"/>
          </a:xfrm>
        </xdr:grpSpPr>
        <xdr:sp macro="" textlink="">
          <xdr:nvSpPr>
            <xdr:cNvPr id="5" name="Rectangle: Rounded Corners 4">
              <a:extLst>
                <a:ext uri="{FF2B5EF4-FFF2-40B4-BE49-F238E27FC236}">
                  <a16:creationId xmlns:a16="http://schemas.microsoft.com/office/drawing/2014/main" id="{ED6A1D6A-B118-C7D1-574F-5629D632B54C}"/>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6" name="Group 5">
              <a:extLst>
                <a:ext uri="{FF2B5EF4-FFF2-40B4-BE49-F238E27FC236}">
                  <a16:creationId xmlns:a16="http://schemas.microsoft.com/office/drawing/2014/main" id="{A09227DF-6469-262A-182F-7C29300E0F12}"/>
                </a:ext>
              </a:extLst>
            </xdr:cNvPr>
            <xdr:cNvGrpSpPr/>
          </xdr:nvGrpSpPr>
          <xdr:grpSpPr>
            <a:xfrm>
              <a:off x="13322439" y="1649605"/>
              <a:ext cx="1842197" cy="586153"/>
              <a:chOff x="13322439" y="1649605"/>
              <a:chExt cx="1842197" cy="586153"/>
            </a:xfrm>
          </xdr:grpSpPr>
          <xdr:sp macro="" textlink="'Cancellation Summary'!A118">
            <xdr:nvSpPr>
              <xdr:cNvPr id="7" name="TextBox 6">
                <a:extLst>
                  <a:ext uri="{FF2B5EF4-FFF2-40B4-BE49-F238E27FC236}">
                    <a16:creationId xmlns:a16="http://schemas.microsoft.com/office/drawing/2014/main" id="{48A09686-970F-7667-C240-E0323BE16E7B}"/>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0989BB-EC3A-4FC9-BB5F-A0B81AB06FBE}" type="TxLink">
                  <a:rPr lang="en-US" sz="3600" b="1" i="0" u="none" strike="noStrike">
                    <a:solidFill>
                      <a:schemeClr val="tx1"/>
                    </a:solidFill>
                    <a:latin typeface="Calibri"/>
                    <a:ea typeface="Calibri"/>
                    <a:cs typeface="Calibri"/>
                  </a:rPr>
                  <a:t>729</a:t>
                </a:fld>
                <a:endParaRPr lang="en-US" sz="3600" b="1" i="0" u="none" strike="noStrike">
                  <a:solidFill>
                    <a:schemeClr val="tx1"/>
                  </a:solidFill>
                  <a:latin typeface="Calibri"/>
                  <a:ea typeface="Calibri"/>
                  <a:cs typeface="Calibri"/>
                </a:endParaRPr>
              </a:p>
            </xdr:txBody>
          </xdr:sp>
          <xdr:sp macro="" textlink="">
            <xdr:nvSpPr>
              <xdr:cNvPr id="8" name="TextBox 7">
                <a:extLst>
                  <a:ext uri="{FF2B5EF4-FFF2-40B4-BE49-F238E27FC236}">
                    <a16:creationId xmlns:a16="http://schemas.microsoft.com/office/drawing/2014/main" id="{85662F58-C2D4-E4C6-6403-1882A1847B6D}"/>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Total Delivered</a:t>
                </a:r>
              </a:p>
            </xdr:txBody>
          </xdr:sp>
        </xdr:grpSp>
      </xdr:grpSp>
      <xdr:pic>
        <xdr:nvPicPr>
          <xdr:cNvPr id="78" name="Picture 77">
            <a:extLst>
              <a:ext uri="{FF2B5EF4-FFF2-40B4-BE49-F238E27FC236}">
                <a16:creationId xmlns:a16="http://schemas.microsoft.com/office/drawing/2014/main" id="{C722D240-85E1-E261-C595-315EE39E453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844170" y="2104522"/>
            <a:ext cx="688260" cy="537330"/>
          </a:xfrm>
          <a:prstGeom prst="rect">
            <a:avLst/>
          </a:prstGeom>
        </xdr:spPr>
      </xdr:pic>
      <xdr:grpSp>
        <xdr:nvGrpSpPr>
          <xdr:cNvPr id="14" name="Group 13">
            <a:extLst>
              <a:ext uri="{FF2B5EF4-FFF2-40B4-BE49-F238E27FC236}">
                <a16:creationId xmlns:a16="http://schemas.microsoft.com/office/drawing/2014/main" id="{D4EF0519-F617-441C-8F7A-6CA3BEA8AAEF}"/>
              </a:ext>
            </a:extLst>
          </xdr:cNvPr>
          <xdr:cNvGrpSpPr/>
        </xdr:nvGrpSpPr>
        <xdr:grpSpPr>
          <a:xfrm>
            <a:off x="8939273" y="1700193"/>
            <a:ext cx="3586534" cy="1102895"/>
            <a:chOff x="13322439" y="1649605"/>
            <a:chExt cx="1850572" cy="669890"/>
          </a:xfrm>
        </xdr:grpSpPr>
        <xdr:sp macro="" textlink="">
          <xdr:nvSpPr>
            <xdr:cNvPr id="16" name="Rectangle: Rounded Corners 15">
              <a:extLst>
                <a:ext uri="{FF2B5EF4-FFF2-40B4-BE49-F238E27FC236}">
                  <a16:creationId xmlns:a16="http://schemas.microsoft.com/office/drawing/2014/main" id="{6091681B-DEB3-1E16-6BBF-E5AE70C5BDC6}"/>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4" name="Group 23">
              <a:extLst>
                <a:ext uri="{FF2B5EF4-FFF2-40B4-BE49-F238E27FC236}">
                  <a16:creationId xmlns:a16="http://schemas.microsoft.com/office/drawing/2014/main" id="{0DA5CD8B-70DA-9565-B834-92CA5D79B20A}"/>
                </a:ext>
              </a:extLst>
            </xdr:cNvPr>
            <xdr:cNvGrpSpPr/>
          </xdr:nvGrpSpPr>
          <xdr:grpSpPr>
            <a:xfrm>
              <a:off x="13322439" y="1649605"/>
              <a:ext cx="1842197" cy="586153"/>
              <a:chOff x="13322439" y="1649605"/>
              <a:chExt cx="1842197" cy="586153"/>
            </a:xfrm>
          </xdr:grpSpPr>
          <xdr:sp macro="" textlink="'Funnel Summary'!M6">
            <xdr:nvSpPr>
              <xdr:cNvPr id="25" name="TextBox 24">
                <a:extLst>
                  <a:ext uri="{FF2B5EF4-FFF2-40B4-BE49-F238E27FC236}">
                    <a16:creationId xmlns:a16="http://schemas.microsoft.com/office/drawing/2014/main" id="{986F7639-96BF-079F-C35C-39C03DF26645}"/>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081DE6-0EE2-442B-A8E0-16164F517980}" type="TxLink">
                  <a:rPr lang="en-US" sz="3600" b="1" i="0" u="none" strike="noStrike">
                    <a:solidFill>
                      <a:schemeClr val="tx1"/>
                    </a:solidFill>
                    <a:latin typeface="Calibri"/>
                    <a:ea typeface="Calibri"/>
                    <a:cs typeface="Calibri"/>
                  </a:rPr>
                  <a:t>72.90%</a:t>
                </a:fld>
                <a:endParaRPr lang="en-IN" sz="3600" b="1">
                  <a:solidFill>
                    <a:schemeClr val="tx1"/>
                  </a:solidFill>
                </a:endParaRPr>
              </a:p>
            </xdr:txBody>
          </xdr:sp>
          <xdr:sp macro="" textlink="">
            <xdr:nvSpPr>
              <xdr:cNvPr id="26" name="TextBox 25">
                <a:extLst>
                  <a:ext uri="{FF2B5EF4-FFF2-40B4-BE49-F238E27FC236}">
                    <a16:creationId xmlns:a16="http://schemas.microsoft.com/office/drawing/2014/main" id="{4DFC6D8B-C51F-B44E-0DAF-5A288B38C684}"/>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Overall Lead-to-Delivery Rate</a:t>
                </a:r>
              </a:p>
            </xdr:txBody>
          </xdr:sp>
        </xdr:grpSp>
      </xdr:grpSp>
      <xdr:grpSp>
        <xdr:nvGrpSpPr>
          <xdr:cNvPr id="27" name="Group 26">
            <a:extLst>
              <a:ext uri="{FF2B5EF4-FFF2-40B4-BE49-F238E27FC236}">
                <a16:creationId xmlns:a16="http://schemas.microsoft.com/office/drawing/2014/main" id="{E2CE2566-7457-4DF6-A6FE-8F6A556CE14A}"/>
              </a:ext>
            </a:extLst>
          </xdr:cNvPr>
          <xdr:cNvGrpSpPr/>
        </xdr:nvGrpSpPr>
        <xdr:grpSpPr>
          <a:xfrm>
            <a:off x="12649408" y="1700193"/>
            <a:ext cx="3588205" cy="1102895"/>
            <a:chOff x="13322439" y="1649605"/>
            <a:chExt cx="1850572" cy="669890"/>
          </a:xfrm>
        </xdr:grpSpPr>
        <xdr:sp macro="" textlink="">
          <xdr:nvSpPr>
            <xdr:cNvPr id="28" name="Rectangle: Rounded Corners 27">
              <a:extLst>
                <a:ext uri="{FF2B5EF4-FFF2-40B4-BE49-F238E27FC236}">
                  <a16:creationId xmlns:a16="http://schemas.microsoft.com/office/drawing/2014/main" id="{F36198B9-BB74-915F-61B4-9C4C7D00BC64}"/>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9" name="Group 28">
              <a:extLst>
                <a:ext uri="{FF2B5EF4-FFF2-40B4-BE49-F238E27FC236}">
                  <a16:creationId xmlns:a16="http://schemas.microsoft.com/office/drawing/2014/main" id="{8F80D8A1-901E-F7B2-FF44-EA714B5EDA2C}"/>
                </a:ext>
              </a:extLst>
            </xdr:cNvPr>
            <xdr:cNvGrpSpPr/>
          </xdr:nvGrpSpPr>
          <xdr:grpSpPr>
            <a:xfrm>
              <a:off x="13322439" y="1649605"/>
              <a:ext cx="1842197" cy="586153"/>
              <a:chOff x="13322439" y="1649605"/>
              <a:chExt cx="1842197" cy="586153"/>
            </a:xfrm>
          </xdr:grpSpPr>
          <xdr:sp macro="" textlink="'TAT Summary'!D104">
            <xdr:nvSpPr>
              <xdr:cNvPr id="30" name="TextBox 29">
                <a:extLst>
                  <a:ext uri="{FF2B5EF4-FFF2-40B4-BE49-F238E27FC236}">
                    <a16:creationId xmlns:a16="http://schemas.microsoft.com/office/drawing/2014/main" id="{CE42246C-7E3F-E40D-4151-289668BD0568}"/>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C2A42A-643A-4392-8886-0C2494541F52}" type="TxLink">
                  <a:rPr lang="en-US" sz="3600" b="1" i="0" u="none" strike="noStrike">
                    <a:solidFill>
                      <a:srgbClr val="000000"/>
                    </a:solidFill>
                    <a:latin typeface="Calibri"/>
                    <a:ea typeface="Calibri"/>
                    <a:cs typeface="Calibri"/>
                  </a:rPr>
                  <a:t>4.63</a:t>
                </a:fld>
                <a:endParaRPr lang="en-IN" sz="3600" b="1"/>
              </a:p>
            </xdr:txBody>
          </xdr:sp>
          <xdr:sp macro="" textlink="">
            <xdr:nvSpPr>
              <xdr:cNvPr id="31" name="TextBox 30">
                <a:extLst>
                  <a:ext uri="{FF2B5EF4-FFF2-40B4-BE49-F238E27FC236}">
                    <a16:creationId xmlns:a16="http://schemas.microsoft.com/office/drawing/2014/main" id="{36FCEE21-797C-17BF-938C-4116CDE86912}"/>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Avg Delivery TAT (Days)</a:t>
                </a:r>
              </a:p>
            </xdr:txBody>
          </xdr:sp>
        </xdr:grpSp>
      </xdr:grpSp>
      <xdr:grpSp>
        <xdr:nvGrpSpPr>
          <xdr:cNvPr id="32" name="Group 31">
            <a:extLst>
              <a:ext uri="{FF2B5EF4-FFF2-40B4-BE49-F238E27FC236}">
                <a16:creationId xmlns:a16="http://schemas.microsoft.com/office/drawing/2014/main" id="{58C12738-EE89-4A26-B39C-D735E00839D5}"/>
              </a:ext>
            </a:extLst>
          </xdr:cNvPr>
          <xdr:cNvGrpSpPr/>
        </xdr:nvGrpSpPr>
        <xdr:grpSpPr>
          <a:xfrm>
            <a:off x="16361214" y="1700193"/>
            <a:ext cx="3586532" cy="1110515"/>
            <a:chOff x="13322439" y="1649605"/>
            <a:chExt cx="1850572" cy="669890"/>
          </a:xfrm>
          <a:effectLst>
            <a:outerShdw blurRad="50800" dist="38100" dir="2700000" algn="tl" rotWithShape="0">
              <a:prstClr val="black">
                <a:alpha val="40000"/>
              </a:prstClr>
            </a:outerShdw>
          </a:effectLst>
        </xdr:grpSpPr>
        <xdr:sp macro="" textlink="">
          <xdr:nvSpPr>
            <xdr:cNvPr id="33" name="Rectangle: Rounded Corners 32">
              <a:extLst>
                <a:ext uri="{FF2B5EF4-FFF2-40B4-BE49-F238E27FC236}">
                  <a16:creationId xmlns:a16="http://schemas.microsoft.com/office/drawing/2014/main" id="{8541C111-E2EC-99C4-C4E2-18E8D0747960}"/>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4" name="Group 33">
              <a:extLst>
                <a:ext uri="{FF2B5EF4-FFF2-40B4-BE49-F238E27FC236}">
                  <a16:creationId xmlns:a16="http://schemas.microsoft.com/office/drawing/2014/main" id="{A1A042AA-1012-7D54-3EE1-95532186533F}"/>
                </a:ext>
              </a:extLst>
            </xdr:cNvPr>
            <xdr:cNvGrpSpPr/>
          </xdr:nvGrpSpPr>
          <xdr:grpSpPr>
            <a:xfrm>
              <a:off x="13322439" y="1649605"/>
              <a:ext cx="1842197" cy="569707"/>
              <a:chOff x="13322439" y="1649605"/>
              <a:chExt cx="1842197" cy="569707"/>
            </a:xfrm>
          </xdr:grpSpPr>
          <xdr:sp macro="" textlink="'NPS Summary'!C100">
            <xdr:nvSpPr>
              <xdr:cNvPr id="35" name="TextBox 34">
                <a:extLst>
                  <a:ext uri="{FF2B5EF4-FFF2-40B4-BE49-F238E27FC236}">
                    <a16:creationId xmlns:a16="http://schemas.microsoft.com/office/drawing/2014/main" id="{4F34286B-278D-B37C-ABF9-4CC6EEB7A05A}"/>
                  </a:ext>
                </a:extLst>
              </xdr:cNvPr>
              <xdr:cNvSpPr txBox="1"/>
            </xdr:nvSpPr>
            <xdr:spPr>
              <a:xfrm>
                <a:off x="13800318" y="1867619"/>
                <a:ext cx="949875"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6453EF-E839-4DE2-8D8D-CFB0FEA662D8}" type="TxLink">
                  <a:rPr lang="en-US" sz="3600" b="1" i="0" u="none" strike="noStrike">
                    <a:solidFill>
                      <a:srgbClr val="000000"/>
                    </a:solidFill>
                    <a:latin typeface="Calibri"/>
                    <a:ea typeface="Calibri"/>
                    <a:cs typeface="Calibri"/>
                  </a:rPr>
                  <a:t>-53.50%</a:t>
                </a:fld>
                <a:endParaRPr lang="en-US" sz="3600" b="1" i="0" u="none" strike="noStrike">
                  <a:solidFill>
                    <a:srgbClr val="000000"/>
                  </a:solidFill>
                  <a:latin typeface="Calibri"/>
                  <a:ea typeface="Calibri"/>
                  <a:cs typeface="Calibri"/>
                </a:endParaRPr>
              </a:p>
            </xdr:txBody>
          </xdr:sp>
          <xdr:sp macro="" textlink="">
            <xdr:nvSpPr>
              <xdr:cNvPr id="36" name="TextBox 35">
                <a:extLst>
                  <a:ext uri="{FF2B5EF4-FFF2-40B4-BE49-F238E27FC236}">
                    <a16:creationId xmlns:a16="http://schemas.microsoft.com/office/drawing/2014/main" id="{9208BD98-2FC8-7BA1-1DA7-077D60E9BFBC}"/>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Net Promoter Score (NPS)</a:t>
                </a:r>
              </a:p>
            </xdr:txBody>
          </xdr:sp>
        </xdr:grpSp>
      </xdr:grpSp>
      <xdr:grpSp>
        <xdr:nvGrpSpPr>
          <xdr:cNvPr id="37" name="Group 36">
            <a:extLst>
              <a:ext uri="{FF2B5EF4-FFF2-40B4-BE49-F238E27FC236}">
                <a16:creationId xmlns:a16="http://schemas.microsoft.com/office/drawing/2014/main" id="{F2C882FD-D41B-4802-9EF6-3FDF299F479B}"/>
              </a:ext>
            </a:extLst>
          </xdr:cNvPr>
          <xdr:cNvGrpSpPr/>
        </xdr:nvGrpSpPr>
        <xdr:grpSpPr>
          <a:xfrm>
            <a:off x="20073018" y="1700193"/>
            <a:ext cx="3586534" cy="1102895"/>
            <a:chOff x="13322439" y="1649605"/>
            <a:chExt cx="1850572" cy="669890"/>
          </a:xfrm>
        </xdr:grpSpPr>
        <xdr:sp macro="" textlink="">
          <xdr:nvSpPr>
            <xdr:cNvPr id="38" name="Rectangle: Rounded Corners 37">
              <a:extLst>
                <a:ext uri="{FF2B5EF4-FFF2-40B4-BE49-F238E27FC236}">
                  <a16:creationId xmlns:a16="http://schemas.microsoft.com/office/drawing/2014/main" id="{B8D6A4DC-C73B-461B-E570-3C1943643BC7}"/>
                </a:ext>
              </a:extLst>
            </xdr:cNvPr>
            <xdr:cNvSpPr/>
          </xdr:nvSpPr>
          <xdr:spPr>
            <a:xfrm>
              <a:off x="13347560" y="1657978"/>
              <a:ext cx="1825451" cy="66151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9" name="Group 38">
              <a:extLst>
                <a:ext uri="{FF2B5EF4-FFF2-40B4-BE49-F238E27FC236}">
                  <a16:creationId xmlns:a16="http://schemas.microsoft.com/office/drawing/2014/main" id="{694DAFF1-4300-7C16-482E-ECB4AD450274}"/>
                </a:ext>
              </a:extLst>
            </xdr:cNvPr>
            <xdr:cNvGrpSpPr/>
          </xdr:nvGrpSpPr>
          <xdr:grpSpPr>
            <a:xfrm>
              <a:off x="13322439" y="1649605"/>
              <a:ext cx="1842197" cy="586153"/>
              <a:chOff x="13322439" y="1649605"/>
              <a:chExt cx="1842197" cy="586153"/>
            </a:xfrm>
          </xdr:grpSpPr>
          <xdr:sp macro="" textlink="'Cancellation Summary'!B121">
            <xdr:nvSpPr>
              <xdr:cNvPr id="40" name="TextBox 39">
                <a:extLst>
                  <a:ext uri="{FF2B5EF4-FFF2-40B4-BE49-F238E27FC236}">
                    <a16:creationId xmlns:a16="http://schemas.microsoft.com/office/drawing/2014/main" id="{BBE5B106-1666-2431-7789-810EA0C3AD60}"/>
                  </a:ext>
                </a:extLst>
              </xdr:cNvPr>
              <xdr:cNvSpPr txBox="1"/>
            </xdr:nvSpPr>
            <xdr:spPr>
              <a:xfrm>
                <a:off x="13866725" y="1884065"/>
                <a:ext cx="879231"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BE0EE0-97D8-4C9F-8346-6700862081EB}" type="TxLink">
                  <a:rPr lang="en-US" sz="3600" b="1" i="0" u="none" strike="noStrike">
                    <a:solidFill>
                      <a:srgbClr val="000000"/>
                    </a:solidFill>
                    <a:latin typeface="Calibri"/>
                    <a:ea typeface="Calibri"/>
                    <a:cs typeface="Calibri"/>
                  </a:rPr>
                  <a:t>27.10%</a:t>
                </a:fld>
                <a:endParaRPr lang="en-US" sz="3600" b="1" i="0" u="none" strike="noStrike">
                  <a:solidFill>
                    <a:srgbClr val="000000"/>
                  </a:solidFill>
                  <a:latin typeface="Calibri"/>
                  <a:ea typeface="Calibri"/>
                  <a:cs typeface="Calibri"/>
                </a:endParaRPr>
              </a:p>
            </xdr:txBody>
          </xdr:sp>
          <xdr:sp macro="" textlink="">
            <xdr:nvSpPr>
              <xdr:cNvPr id="41" name="TextBox 40">
                <a:extLst>
                  <a:ext uri="{FF2B5EF4-FFF2-40B4-BE49-F238E27FC236}">
                    <a16:creationId xmlns:a16="http://schemas.microsoft.com/office/drawing/2014/main" id="{132F6046-3842-9A04-714A-330D85D404BD}"/>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Cancellation %</a:t>
                </a:r>
              </a:p>
            </xdr:txBody>
          </xdr:sp>
        </xdr:grpSp>
      </xdr:grpSp>
      <xdr:grpSp>
        <xdr:nvGrpSpPr>
          <xdr:cNvPr id="42" name="Group 41">
            <a:extLst>
              <a:ext uri="{FF2B5EF4-FFF2-40B4-BE49-F238E27FC236}">
                <a16:creationId xmlns:a16="http://schemas.microsoft.com/office/drawing/2014/main" id="{90607272-3391-40FD-9808-C1A091FB8A13}"/>
              </a:ext>
            </a:extLst>
          </xdr:cNvPr>
          <xdr:cNvGrpSpPr/>
        </xdr:nvGrpSpPr>
        <xdr:grpSpPr>
          <a:xfrm>
            <a:off x="23784825" y="1700193"/>
            <a:ext cx="3594157" cy="1110516"/>
            <a:chOff x="13322439" y="1649605"/>
            <a:chExt cx="1850810" cy="670733"/>
          </a:xfrm>
          <a:solidFill>
            <a:schemeClr val="accent3">
              <a:lumMod val="60000"/>
              <a:lumOff val="40000"/>
            </a:schemeClr>
          </a:solidFill>
        </xdr:grpSpPr>
        <xdr:sp macro="" textlink="">
          <xdr:nvSpPr>
            <xdr:cNvPr id="43" name="Rectangle: Rounded Corners 42">
              <a:extLst>
                <a:ext uri="{FF2B5EF4-FFF2-40B4-BE49-F238E27FC236}">
                  <a16:creationId xmlns:a16="http://schemas.microsoft.com/office/drawing/2014/main" id="{14024625-A520-81BC-9C40-AC38B757731E}"/>
                </a:ext>
              </a:extLst>
            </xdr:cNvPr>
            <xdr:cNvSpPr/>
          </xdr:nvSpPr>
          <xdr:spPr>
            <a:xfrm>
              <a:off x="13351351" y="1662375"/>
              <a:ext cx="1821898" cy="657963"/>
            </a:xfrm>
            <a:prstGeom prst="roundRect">
              <a:avLst/>
            </a:prstGeom>
            <a:grp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70" name="Group 69">
              <a:extLst>
                <a:ext uri="{FF2B5EF4-FFF2-40B4-BE49-F238E27FC236}">
                  <a16:creationId xmlns:a16="http://schemas.microsoft.com/office/drawing/2014/main" id="{4DC75324-0BC9-6211-AB80-CA9115302ED8}"/>
                </a:ext>
              </a:extLst>
            </xdr:cNvPr>
            <xdr:cNvGrpSpPr/>
          </xdr:nvGrpSpPr>
          <xdr:grpSpPr>
            <a:xfrm>
              <a:off x="13322439" y="1649605"/>
              <a:ext cx="1842197" cy="586153"/>
              <a:chOff x="13322439" y="1649605"/>
              <a:chExt cx="1842197" cy="586153"/>
            </a:xfrm>
            <a:grpFill/>
          </xdr:grpSpPr>
          <xdr:sp macro="" textlink="'Lead Type Summary'!C107">
            <xdr:nvSpPr>
              <xdr:cNvPr id="71" name="TextBox 70">
                <a:extLst>
                  <a:ext uri="{FF2B5EF4-FFF2-40B4-BE49-F238E27FC236}">
                    <a16:creationId xmlns:a16="http://schemas.microsoft.com/office/drawing/2014/main" id="{42A96EDD-88D9-59F4-01C2-D7D892B977C3}"/>
                  </a:ext>
                </a:extLst>
              </xdr:cNvPr>
              <xdr:cNvSpPr txBox="1"/>
            </xdr:nvSpPr>
            <xdr:spPr>
              <a:xfrm>
                <a:off x="13690016" y="1884065"/>
                <a:ext cx="1225803" cy="35169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D2A891-F801-4BE6-86E6-BC0564F0C830}" type="TxLink">
                  <a:rPr lang="en-US" sz="3600" b="1" i="0" u="none" strike="noStrike">
                    <a:solidFill>
                      <a:srgbClr val="000000"/>
                    </a:solidFill>
                    <a:latin typeface="Calibri"/>
                    <a:ea typeface="Calibri"/>
                    <a:cs typeface="Calibri"/>
                  </a:rPr>
                  <a:t>30.30%</a:t>
                </a:fld>
                <a:endParaRPr lang="en-IN" sz="3600" b="1"/>
              </a:p>
            </xdr:txBody>
          </xdr:sp>
          <xdr:sp macro="" textlink="">
            <xdr:nvSpPr>
              <xdr:cNvPr id="72" name="TextBox 71">
                <a:extLst>
                  <a:ext uri="{FF2B5EF4-FFF2-40B4-BE49-F238E27FC236}">
                    <a16:creationId xmlns:a16="http://schemas.microsoft.com/office/drawing/2014/main" id="{91E6C7C5-4933-526A-D96B-D1430AD3BF19}"/>
                  </a:ext>
                </a:extLst>
              </xdr:cNvPr>
              <xdr:cNvSpPr txBox="1"/>
            </xdr:nvSpPr>
            <xdr:spPr>
              <a:xfrm>
                <a:off x="13322439" y="1649605"/>
                <a:ext cx="1842197"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Hot Leads %</a:t>
                </a:r>
              </a:p>
            </xdr:txBody>
          </xdr:sp>
        </xdr:grpSp>
      </xdr:grpSp>
      <xdr:pic>
        <xdr:nvPicPr>
          <xdr:cNvPr id="82" name="Picture 81">
            <a:extLst>
              <a:ext uri="{FF2B5EF4-FFF2-40B4-BE49-F238E27FC236}">
                <a16:creationId xmlns:a16="http://schemas.microsoft.com/office/drawing/2014/main" id="{972F9102-F90B-8C3C-2BE1-D9F5521E5A3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553908" y="2105860"/>
            <a:ext cx="540619" cy="562523"/>
          </a:xfrm>
          <a:prstGeom prst="rect">
            <a:avLst/>
          </a:prstGeom>
        </xdr:spPr>
      </xdr:pic>
      <xdr:pic>
        <xdr:nvPicPr>
          <xdr:cNvPr id="80" name="Picture 79">
            <a:extLst>
              <a:ext uri="{FF2B5EF4-FFF2-40B4-BE49-F238E27FC236}">
                <a16:creationId xmlns:a16="http://schemas.microsoft.com/office/drawing/2014/main" id="{D02BF2EA-23D3-CA6F-928A-34686EECE91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318996" y="2145182"/>
            <a:ext cx="551853" cy="518561"/>
          </a:xfrm>
          <a:prstGeom prst="rect">
            <a:avLst/>
          </a:prstGeom>
        </xdr:spPr>
      </xdr:pic>
      <xdr:pic>
        <xdr:nvPicPr>
          <xdr:cNvPr id="86" name="Picture 85">
            <a:extLst>
              <a:ext uri="{FF2B5EF4-FFF2-40B4-BE49-F238E27FC236}">
                <a16:creationId xmlns:a16="http://schemas.microsoft.com/office/drawing/2014/main" id="{7D8E05BF-79F6-C699-C9C2-485B0F866B0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747290" y="2066256"/>
            <a:ext cx="538613" cy="528587"/>
          </a:xfrm>
          <a:prstGeom prst="rect">
            <a:avLst/>
          </a:prstGeom>
        </xdr:spPr>
      </xdr:pic>
      <xdr:pic>
        <xdr:nvPicPr>
          <xdr:cNvPr id="88" name="Picture 87">
            <a:extLst>
              <a:ext uri="{FF2B5EF4-FFF2-40B4-BE49-F238E27FC236}">
                <a16:creationId xmlns:a16="http://schemas.microsoft.com/office/drawing/2014/main" id="{3EDB6007-E6A8-599D-C1E7-A3E2883371E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469559" y="2087225"/>
            <a:ext cx="648569" cy="573867"/>
          </a:xfrm>
          <a:prstGeom prst="rect">
            <a:avLst/>
          </a:prstGeom>
        </xdr:spPr>
      </xdr:pic>
      <xdr:pic>
        <xdr:nvPicPr>
          <xdr:cNvPr id="90" name="Picture 89">
            <a:extLst>
              <a:ext uri="{FF2B5EF4-FFF2-40B4-BE49-F238E27FC236}">
                <a16:creationId xmlns:a16="http://schemas.microsoft.com/office/drawing/2014/main" id="{9668B42B-C076-F76B-BA62-E0A19C86316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4289347" y="2188362"/>
            <a:ext cx="548640" cy="548640"/>
          </a:xfrm>
          <a:prstGeom prst="rect">
            <a:avLst/>
          </a:prstGeom>
        </xdr:spPr>
      </xdr:pic>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7603336-B376-4F2C-8686-CF52B96E7DD3}"/>
                  </a:ext>
                </a:extLst>
              </xdr:cNvPr>
              <xdr:cNvGraphicFramePr/>
            </xdr:nvGraphicFramePr>
            <xdr:xfrm>
              <a:off x="19641295" y="3146205"/>
              <a:ext cx="7722835" cy="9765119"/>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9641295" y="3146205"/>
                <a:ext cx="7722835" cy="97651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1.825259722224" createdVersion="4" refreshedVersion="8" minRefreshableVersion="3" recordCount="1000" xr:uid="{00000000-000A-0000-FFFF-FFFF2A000000}">
  <cacheSource type="worksheet">
    <worksheetSource name="Table1"/>
  </cacheSource>
  <cacheFields count="21">
    <cacheField name="Lead ID" numFmtId="0">
      <sharedItems/>
    </cacheField>
    <cacheField name="Store Name" numFmtId="0">
      <sharedItems count="4">
        <s v="Mumbai MBC"/>
        <s v="Bangalore MBC"/>
        <s v="Delhi MBC"/>
        <s v="Chennai MBC"/>
      </sharedItems>
    </cacheField>
    <cacheField name="Lead Type" numFmtId="0">
      <sharedItems count="3">
        <s v="Warm"/>
        <s v="Hot"/>
        <s v="Cold"/>
      </sharedItems>
    </cacheField>
    <cacheField name="Lead Date" numFmtId="165">
      <sharedItems containsSemiMixedTypes="0" containsNonDate="0" containsDate="1" containsString="0" minDate="2025-10-01T00:00:00" maxDate="2025-11-01T00:00:00"/>
    </cacheField>
    <cacheField name="Is Lead" numFmtId="1">
      <sharedItems containsSemiMixedTypes="0" containsString="0" containsNumber="1" containsInteger="1" minValue="1" maxValue="1"/>
    </cacheField>
    <cacheField name="Pre-Booking Date" numFmtId="165">
      <sharedItems containsNonDate="0" containsDate="1" containsString="0" containsBlank="1" minDate="2025-10-02T00:00:00" maxDate="2025-11-06T00:00:00"/>
    </cacheField>
    <cacheField name="Is Pre-Booked" numFmtId="1">
      <sharedItems containsSemiMixedTypes="0" containsString="0" containsNumber="1" containsInteger="1" minValue="0" maxValue="1"/>
    </cacheField>
    <cacheField name="Booking Date" numFmtId="0">
      <sharedItems containsNonDate="0" containsDate="1" containsString="0" containsBlank="1" minDate="2025-10-03T00:00:00" maxDate="2025-11-11T00:00:00"/>
    </cacheField>
    <cacheField name="Is Booked" numFmtId="1">
      <sharedItems containsSemiMixedTypes="0" containsString="0" containsNumber="1" containsInteger="1" minValue="0" maxValue="1"/>
    </cacheField>
    <cacheField name="Delivery Date" numFmtId="0">
      <sharedItems containsNonDate="0" containsDate="1" containsString="0" containsBlank="1" minDate="2025-10-06T00:00:00" maxDate="2025-11-18T00:00:00"/>
    </cacheField>
    <cacheField name="Delivery Confirmed" numFmtId="1">
      <sharedItems containsSemiMixedTypes="0" containsString="0" containsNumber="1" containsInteger="1" minValue="0" maxValue="1"/>
    </cacheField>
    <cacheField name="Cancellation Status" numFmtId="0">
      <sharedItems count="2">
        <s v="No"/>
        <s v="Yes"/>
      </sharedItems>
    </cacheField>
    <cacheField name="Is Delivered" numFmtId="0">
      <sharedItems containsSemiMixedTypes="0" containsString="0" containsNumber="1" containsInteger="1" minValue="0" maxValue="1"/>
    </cacheField>
    <cacheField name="Cancellation Reason" numFmtId="0">
      <sharedItems containsBlank="1" count="6">
        <m/>
        <s v="Price"/>
        <s v="Financing Issue"/>
        <s v="Changed Mind"/>
        <s v="Other"/>
        <s v="Model Unavailable"/>
      </sharedItems>
    </cacheField>
    <cacheField name="Service Follow-up Date" numFmtId="0">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String="0" containsBlank="1" containsNumber="1" containsInteger="1" minValue="0" maxValue="10"/>
    </cacheField>
    <cacheField name="Current Stage" numFmtId="0">
      <sharedItems/>
    </cacheField>
    <cacheField name="NPS Category" numFmtId="0">
      <sharedItems count="3">
        <s v="Detractor"/>
        <s v="Passive"/>
        <s v="Promote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9"/>
    <x v="0"/>
    <x v="0"/>
    <d v="2025-10-31T00:00:00"/>
    <n v="1"/>
    <d v="2025-11-04T00:00:00"/>
    <n v="1"/>
    <d v="2025-11-05T00:00:00"/>
    <n v="1"/>
    <d v="2025-11-10T00:00:00"/>
    <n v="1"/>
    <x v="0"/>
    <n v="1"/>
    <x v="0"/>
    <d v="2025-11-22T00:00:00"/>
    <n v="4"/>
    <n v="1"/>
    <n v="5"/>
    <n v="6"/>
    <s v="Lead"/>
    <x v="0"/>
  </r>
  <r>
    <s v="L1021"/>
    <x v="1"/>
    <x v="1"/>
    <d v="2025-10-31T00:00:00"/>
    <n v="1"/>
    <d v="2025-11-01T00:00:00"/>
    <n v="1"/>
    <d v="2025-11-02T00:00:00"/>
    <n v="1"/>
    <d v="2025-11-05T00:00:00"/>
    <n v="1"/>
    <x v="0"/>
    <n v="1"/>
    <x v="0"/>
    <d v="2025-12-04T00:00:00"/>
    <n v="1"/>
    <n v="1"/>
    <n v="3"/>
    <n v="3"/>
    <s v="Lead"/>
    <x v="0"/>
  </r>
  <r>
    <s v="L1073"/>
    <x v="2"/>
    <x v="2"/>
    <d v="2025-10-31T00:00:00"/>
    <n v="1"/>
    <m/>
    <n v="0"/>
    <m/>
    <n v="0"/>
    <m/>
    <n v="0"/>
    <x v="1"/>
    <n v="0"/>
    <x v="1"/>
    <m/>
    <m/>
    <m/>
    <m/>
    <m/>
    <s v="Cancelled (Lead Stage)"/>
    <x v="0"/>
  </r>
  <r>
    <s v="L1123"/>
    <x v="0"/>
    <x v="1"/>
    <d v="2025-10-31T00:00:00"/>
    <n v="1"/>
    <d v="2025-11-05T00:00:00"/>
    <n v="1"/>
    <d v="2025-11-08T00:00:00"/>
    <n v="1"/>
    <d v="2025-11-14T00:00:00"/>
    <n v="1"/>
    <x v="0"/>
    <n v="1"/>
    <x v="0"/>
    <d v="2025-12-05T00:00:00"/>
    <n v="5"/>
    <n v="3"/>
    <n v="6"/>
    <n v="5"/>
    <s v="Lead"/>
    <x v="0"/>
  </r>
  <r>
    <s v="L1156"/>
    <x v="2"/>
    <x v="2"/>
    <d v="2025-10-31T00:00:00"/>
    <n v="1"/>
    <m/>
    <n v="0"/>
    <m/>
    <n v="0"/>
    <m/>
    <n v="0"/>
    <x v="1"/>
    <n v="0"/>
    <x v="2"/>
    <m/>
    <m/>
    <m/>
    <m/>
    <m/>
    <s v="Cancelled (Lead Stage)"/>
    <x v="0"/>
  </r>
  <r>
    <s v="L1172"/>
    <x v="3"/>
    <x v="1"/>
    <d v="2025-10-31T00:00:00"/>
    <n v="1"/>
    <d v="2025-11-05T00:00:00"/>
    <n v="1"/>
    <d v="2025-11-09T00:00:00"/>
    <n v="1"/>
    <d v="2025-11-15T00:00:00"/>
    <n v="1"/>
    <x v="0"/>
    <n v="1"/>
    <x v="0"/>
    <d v="2025-12-07T00:00:00"/>
    <n v="5"/>
    <n v="4"/>
    <n v="6"/>
    <n v="8"/>
    <s v="Lead"/>
    <x v="1"/>
  </r>
  <r>
    <s v="L1175"/>
    <x v="3"/>
    <x v="2"/>
    <d v="2025-10-31T00:00:00"/>
    <n v="1"/>
    <m/>
    <n v="0"/>
    <m/>
    <n v="0"/>
    <m/>
    <n v="0"/>
    <x v="1"/>
    <n v="0"/>
    <x v="1"/>
    <m/>
    <m/>
    <m/>
    <m/>
    <m/>
    <s v="Cancelled (Lead Stage)"/>
    <x v="0"/>
  </r>
  <r>
    <s v="L1192"/>
    <x v="2"/>
    <x v="0"/>
    <d v="2025-10-31T00:00:00"/>
    <n v="1"/>
    <d v="2025-11-04T00:00:00"/>
    <n v="1"/>
    <d v="2025-11-09T00:00:00"/>
    <n v="1"/>
    <d v="2025-11-11T00:00:00"/>
    <n v="1"/>
    <x v="1"/>
    <n v="0"/>
    <x v="3"/>
    <m/>
    <n v="4"/>
    <n v="5"/>
    <n v="2"/>
    <m/>
    <s v="Cancelled (Lead Stage)"/>
    <x v="0"/>
  </r>
  <r>
    <s v="L1220"/>
    <x v="3"/>
    <x v="2"/>
    <d v="2025-10-31T00:00:00"/>
    <n v="1"/>
    <m/>
    <n v="0"/>
    <m/>
    <n v="0"/>
    <m/>
    <n v="0"/>
    <x v="1"/>
    <n v="0"/>
    <x v="1"/>
    <m/>
    <m/>
    <m/>
    <m/>
    <m/>
    <s v="Cancelled (Lead Stage)"/>
    <x v="0"/>
  </r>
  <r>
    <s v="L1223"/>
    <x v="2"/>
    <x v="0"/>
    <d v="2025-10-31T00:00:00"/>
    <n v="1"/>
    <d v="2025-11-04T00:00:00"/>
    <n v="1"/>
    <d v="2025-11-09T00:00:00"/>
    <n v="1"/>
    <d v="2025-11-13T00:00:00"/>
    <n v="1"/>
    <x v="0"/>
    <n v="1"/>
    <x v="0"/>
    <d v="2025-12-08T00:00:00"/>
    <n v="4"/>
    <n v="5"/>
    <n v="4"/>
    <n v="7"/>
    <s v="Lead"/>
    <x v="1"/>
  </r>
  <r>
    <s v="L1293"/>
    <x v="2"/>
    <x v="1"/>
    <d v="2025-10-31T00:00:00"/>
    <n v="1"/>
    <d v="2025-11-05T00:00:00"/>
    <n v="1"/>
    <d v="2025-11-10T00:00:00"/>
    <n v="1"/>
    <d v="2025-11-17T00:00:00"/>
    <n v="1"/>
    <x v="0"/>
    <n v="1"/>
    <x v="0"/>
    <d v="2025-11-29T00:00:00"/>
    <n v="5"/>
    <n v="5"/>
    <n v="7"/>
    <n v="6"/>
    <s v="Lead"/>
    <x v="0"/>
  </r>
  <r>
    <s v="L1311"/>
    <x v="1"/>
    <x v="1"/>
    <d v="2025-10-31T00:00:00"/>
    <n v="1"/>
    <d v="2025-11-04T00:00:00"/>
    <n v="1"/>
    <d v="2025-11-08T00:00:00"/>
    <n v="1"/>
    <d v="2025-11-14T00:00:00"/>
    <n v="1"/>
    <x v="0"/>
    <n v="1"/>
    <x v="0"/>
    <d v="2025-12-01T00:00:00"/>
    <n v="4"/>
    <n v="4"/>
    <n v="6"/>
    <n v="6"/>
    <s v="Lead"/>
    <x v="0"/>
  </r>
  <r>
    <s v="L1317"/>
    <x v="2"/>
    <x v="0"/>
    <d v="2025-10-31T00:00:00"/>
    <n v="1"/>
    <d v="2025-11-01T00:00:00"/>
    <n v="1"/>
    <d v="2025-11-06T00:00:00"/>
    <n v="1"/>
    <d v="2025-11-13T00:00:00"/>
    <n v="1"/>
    <x v="1"/>
    <n v="0"/>
    <x v="2"/>
    <m/>
    <n v="1"/>
    <n v="5"/>
    <n v="7"/>
    <m/>
    <s v="Cancelled (Lead Stage)"/>
    <x v="0"/>
  </r>
  <r>
    <s v="L1356"/>
    <x v="2"/>
    <x v="0"/>
    <d v="2025-10-31T00:00:00"/>
    <n v="1"/>
    <d v="2025-11-05T00:00:00"/>
    <n v="1"/>
    <d v="2025-11-08T00:00:00"/>
    <n v="1"/>
    <d v="2025-11-15T00:00:00"/>
    <n v="1"/>
    <x v="0"/>
    <n v="1"/>
    <x v="0"/>
    <d v="2025-12-12T00:00:00"/>
    <n v="5"/>
    <n v="3"/>
    <n v="7"/>
    <n v="10"/>
    <s v="Lead"/>
    <x v="2"/>
  </r>
  <r>
    <s v="L1419"/>
    <x v="1"/>
    <x v="0"/>
    <d v="2025-10-31T00:00:00"/>
    <n v="1"/>
    <d v="2025-11-04T00:00:00"/>
    <n v="1"/>
    <d v="2025-11-09T00:00:00"/>
    <n v="1"/>
    <d v="2025-11-15T00:00:00"/>
    <n v="1"/>
    <x v="0"/>
    <n v="1"/>
    <x v="0"/>
    <d v="2025-12-04T00:00:00"/>
    <n v="4"/>
    <n v="5"/>
    <n v="6"/>
    <n v="5"/>
    <s v="Lead"/>
    <x v="0"/>
  </r>
  <r>
    <s v="L1508"/>
    <x v="1"/>
    <x v="2"/>
    <d v="2025-10-31T00:00:00"/>
    <n v="1"/>
    <m/>
    <n v="0"/>
    <m/>
    <n v="0"/>
    <m/>
    <n v="0"/>
    <x v="1"/>
    <n v="0"/>
    <x v="2"/>
    <m/>
    <m/>
    <m/>
    <m/>
    <m/>
    <s v="Cancelled (Lead Stage)"/>
    <x v="0"/>
  </r>
  <r>
    <s v="L1512"/>
    <x v="1"/>
    <x v="2"/>
    <d v="2025-10-31T00:00:00"/>
    <n v="1"/>
    <m/>
    <n v="0"/>
    <m/>
    <n v="0"/>
    <m/>
    <n v="0"/>
    <x v="1"/>
    <n v="0"/>
    <x v="4"/>
    <m/>
    <m/>
    <m/>
    <m/>
    <m/>
    <s v="Cancelled (Lead Stage)"/>
    <x v="0"/>
  </r>
  <r>
    <s v="L1548"/>
    <x v="0"/>
    <x v="0"/>
    <d v="2025-10-31T00:00:00"/>
    <n v="1"/>
    <d v="2025-11-05T00:00:00"/>
    <n v="1"/>
    <d v="2025-11-06T00:00:00"/>
    <n v="1"/>
    <d v="2025-11-13T00:00:00"/>
    <n v="1"/>
    <x v="0"/>
    <n v="1"/>
    <x v="0"/>
    <d v="2025-12-12T00:00:00"/>
    <n v="5"/>
    <n v="1"/>
    <n v="7"/>
    <n v="6"/>
    <s v="Lead"/>
    <x v="0"/>
  </r>
  <r>
    <s v="L1628"/>
    <x v="2"/>
    <x v="0"/>
    <d v="2025-10-31T00:00:00"/>
    <n v="1"/>
    <d v="2025-11-03T00:00:00"/>
    <n v="1"/>
    <d v="2025-11-04T00:00:00"/>
    <n v="1"/>
    <d v="2025-11-07T00:00:00"/>
    <n v="1"/>
    <x v="1"/>
    <n v="0"/>
    <x v="5"/>
    <m/>
    <n v="3"/>
    <n v="1"/>
    <n v="3"/>
    <m/>
    <s v="Cancelled (Lead Stage)"/>
    <x v="0"/>
  </r>
  <r>
    <s v="L1633"/>
    <x v="1"/>
    <x v="0"/>
    <d v="2025-10-31T00:00:00"/>
    <n v="1"/>
    <d v="2025-11-03T00:00:00"/>
    <n v="1"/>
    <d v="2025-11-05T00:00:00"/>
    <n v="1"/>
    <d v="2025-11-07T00:00:00"/>
    <n v="1"/>
    <x v="0"/>
    <n v="1"/>
    <x v="0"/>
    <d v="2025-11-26T00:00:00"/>
    <n v="3"/>
    <n v="2"/>
    <n v="2"/>
    <n v="3"/>
    <s v="Lead"/>
    <x v="0"/>
  </r>
  <r>
    <s v="L1728"/>
    <x v="0"/>
    <x v="0"/>
    <d v="2025-10-31T00:00:00"/>
    <n v="1"/>
    <d v="2025-11-02T00:00:00"/>
    <n v="1"/>
    <d v="2025-11-06T00:00:00"/>
    <n v="1"/>
    <d v="2025-11-11T00:00:00"/>
    <n v="1"/>
    <x v="0"/>
    <n v="1"/>
    <x v="0"/>
    <d v="2025-12-10T00:00:00"/>
    <n v="2"/>
    <n v="4"/>
    <n v="5"/>
    <n v="3"/>
    <s v="Lead"/>
    <x v="0"/>
  </r>
  <r>
    <s v="L1730"/>
    <x v="2"/>
    <x v="0"/>
    <d v="2025-10-31T00:00:00"/>
    <n v="1"/>
    <d v="2025-11-05T00:00:00"/>
    <n v="1"/>
    <d v="2025-11-07T00:00:00"/>
    <n v="1"/>
    <d v="2025-11-09T00:00:00"/>
    <n v="1"/>
    <x v="0"/>
    <n v="1"/>
    <x v="0"/>
    <d v="2025-12-09T00:00:00"/>
    <n v="5"/>
    <n v="2"/>
    <n v="2"/>
    <n v="1"/>
    <s v="Lead"/>
    <x v="0"/>
  </r>
  <r>
    <s v="L1739"/>
    <x v="3"/>
    <x v="1"/>
    <d v="2025-10-31T00:00:00"/>
    <n v="1"/>
    <d v="2025-11-03T00:00:00"/>
    <n v="1"/>
    <d v="2025-11-04T00:00:00"/>
    <n v="1"/>
    <d v="2025-11-09T00:00:00"/>
    <n v="1"/>
    <x v="0"/>
    <n v="1"/>
    <x v="0"/>
    <d v="2025-12-06T00:00:00"/>
    <n v="3"/>
    <n v="1"/>
    <n v="5"/>
    <n v="7"/>
    <s v="Lead"/>
    <x v="1"/>
  </r>
  <r>
    <s v="L1743"/>
    <x v="1"/>
    <x v="0"/>
    <d v="2025-10-31T00:00:00"/>
    <n v="1"/>
    <d v="2025-11-04T00:00:00"/>
    <n v="1"/>
    <d v="2025-11-05T00:00:00"/>
    <n v="1"/>
    <d v="2025-11-12T00:00:00"/>
    <n v="1"/>
    <x v="0"/>
    <n v="1"/>
    <x v="0"/>
    <d v="2025-12-02T00:00:00"/>
    <n v="4"/>
    <n v="1"/>
    <n v="7"/>
    <n v="1"/>
    <s v="Lead"/>
    <x v="0"/>
  </r>
  <r>
    <s v="L1750"/>
    <x v="0"/>
    <x v="1"/>
    <d v="2025-10-31T00:00:00"/>
    <n v="1"/>
    <d v="2025-11-03T00:00:00"/>
    <n v="1"/>
    <d v="2025-11-07T00:00:00"/>
    <n v="1"/>
    <d v="2025-11-14T00:00:00"/>
    <n v="1"/>
    <x v="0"/>
    <n v="1"/>
    <x v="0"/>
    <d v="2025-12-14T00:00:00"/>
    <n v="3"/>
    <n v="4"/>
    <n v="7"/>
    <n v="7"/>
    <s v="Lead"/>
    <x v="1"/>
  </r>
  <r>
    <s v="L1772"/>
    <x v="2"/>
    <x v="1"/>
    <d v="2025-10-31T00:00:00"/>
    <n v="1"/>
    <d v="2025-11-05T00:00:00"/>
    <n v="1"/>
    <d v="2025-11-10T00:00:00"/>
    <n v="1"/>
    <d v="2025-11-14T00:00:00"/>
    <n v="1"/>
    <x v="0"/>
    <n v="1"/>
    <x v="0"/>
    <d v="2025-12-03T00:00:00"/>
    <n v="5"/>
    <n v="5"/>
    <n v="4"/>
    <n v="4"/>
    <s v="Lead"/>
    <x v="0"/>
  </r>
  <r>
    <s v="L1781"/>
    <x v="0"/>
    <x v="1"/>
    <d v="2025-10-31T00:00:00"/>
    <n v="1"/>
    <d v="2025-11-01T00:00:00"/>
    <n v="1"/>
    <d v="2025-11-04T00:00:00"/>
    <n v="1"/>
    <d v="2025-11-07T00:00:00"/>
    <n v="1"/>
    <x v="0"/>
    <n v="1"/>
    <x v="0"/>
    <d v="2025-11-21T00:00:00"/>
    <n v="1"/>
    <n v="3"/>
    <n v="3"/>
    <n v="4"/>
    <s v="Lead"/>
    <x v="0"/>
  </r>
  <r>
    <s v="L1800"/>
    <x v="1"/>
    <x v="2"/>
    <d v="2025-10-31T00:00:00"/>
    <n v="1"/>
    <m/>
    <n v="0"/>
    <m/>
    <n v="0"/>
    <m/>
    <n v="0"/>
    <x v="1"/>
    <n v="0"/>
    <x v="4"/>
    <m/>
    <m/>
    <m/>
    <m/>
    <m/>
    <s v="Cancelled (Lead Stage)"/>
    <x v="0"/>
  </r>
  <r>
    <s v="L1814"/>
    <x v="1"/>
    <x v="0"/>
    <d v="2025-10-31T00:00:00"/>
    <n v="1"/>
    <d v="2025-11-05T00:00:00"/>
    <n v="1"/>
    <d v="2025-11-09T00:00:00"/>
    <n v="1"/>
    <d v="2025-11-16T00:00:00"/>
    <n v="1"/>
    <x v="0"/>
    <n v="1"/>
    <x v="0"/>
    <d v="2025-12-04T00:00:00"/>
    <n v="5"/>
    <n v="4"/>
    <n v="7"/>
    <n v="2"/>
    <s v="Lead"/>
    <x v="0"/>
  </r>
  <r>
    <s v="L1817"/>
    <x v="2"/>
    <x v="1"/>
    <d v="2025-10-31T00:00:00"/>
    <n v="1"/>
    <d v="2025-11-02T00:00:00"/>
    <n v="1"/>
    <d v="2025-11-04T00:00:00"/>
    <n v="1"/>
    <d v="2025-11-06T00:00:00"/>
    <n v="1"/>
    <x v="0"/>
    <n v="1"/>
    <x v="0"/>
    <d v="2025-12-05T00:00:00"/>
    <n v="2"/>
    <n v="2"/>
    <n v="2"/>
    <n v="8"/>
    <s v="Lead"/>
    <x v="1"/>
  </r>
  <r>
    <s v="L1832"/>
    <x v="0"/>
    <x v="1"/>
    <d v="2025-10-31T00:00:00"/>
    <n v="1"/>
    <d v="2025-11-05T00:00:00"/>
    <n v="1"/>
    <d v="2025-11-10T00:00:00"/>
    <n v="1"/>
    <d v="2025-11-14T00:00:00"/>
    <n v="1"/>
    <x v="0"/>
    <n v="1"/>
    <x v="0"/>
    <d v="2025-12-07T00:00:00"/>
    <n v="5"/>
    <n v="5"/>
    <n v="4"/>
    <n v="9"/>
    <s v="Lead"/>
    <x v="2"/>
  </r>
  <r>
    <s v="L1833"/>
    <x v="2"/>
    <x v="0"/>
    <d v="2025-10-31T00:00:00"/>
    <n v="1"/>
    <d v="2025-11-04T00:00:00"/>
    <n v="1"/>
    <d v="2025-11-06T00:00:00"/>
    <n v="1"/>
    <d v="2025-11-10T00:00:00"/>
    <n v="1"/>
    <x v="0"/>
    <n v="1"/>
    <x v="0"/>
    <d v="2025-12-04T00:00:00"/>
    <n v="4"/>
    <n v="2"/>
    <n v="4"/>
    <n v="6"/>
    <s v="Lead"/>
    <x v="0"/>
  </r>
  <r>
    <s v="L1841"/>
    <x v="2"/>
    <x v="0"/>
    <d v="2025-10-31T00:00:00"/>
    <n v="1"/>
    <d v="2025-11-04T00:00:00"/>
    <n v="1"/>
    <d v="2025-11-07T00:00:00"/>
    <n v="1"/>
    <d v="2025-11-13T00:00:00"/>
    <n v="1"/>
    <x v="0"/>
    <n v="1"/>
    <x v="0"/>
    <d v="2025-11-27T00:00:00"/>
    <n v="4"/>
    <n v="3"/>
    <n v="6"/>
    <n v="9"/>
    <s v="Lead"/>
    <x v="2"/>
  </r>
  <r>
    <s v="L1856"/>
    <x v="1"/>
    <x v="1"/>
    <d v="2025-10-31T00:00:00"/>
    <n v="1"/>
    <d v="2025-11-02T00:00:00"/>
    <n v="1"/>
    <d v="2025-11-04T00:00:00"/>
    <n v="1"/>
    <d v="2025-11-09T00:00:00"/>
    <n v="1"/>
    <x v="0"/>
    <n v="1"/>
    <x v="0"/>
    <d v="2025-12-08T00:00:00"/>
    <n v="2"/>
    <n v="2"/>
    <n v="5"/>
    <n v="1"/>
    <s v="Lead"/>
    <x v="0"/>
  </r>
  <r>
    <s v="L1858"/>
    <x v="2"/>
    <x v="0"/>
    <d v="2025-10-31T00:00:00"/>
    <n v="1"/>
    <d v="2025-11-05T00:00:00"/>
    <n v="1"/>
    <d v="2025-11-08T00:00:00"/>
    <n v="1"/>
    <d v="2025-11-15T00:00:00"/>
    <n v="1"/>
    <x v="0"/>
    <n v="1"/>
    <x v="0"/>
    <d v="2025-12-08T00:00:00"/>
    <n v="5"/>
    <n v="3"/>
    <n v="7"/>
    <n v="7"/>
    <s v="Lead"/>
    <x v="1"/>
  </r>
  <r>
    <s v="L1935"/>
    <x v="1"/>
    <x v="0"/>
    <d v="2025-10-31T00:00:00"/>
    <n v="1"/>
    <d v="2025-11-05T00:00:00"/>
    <n v="1"/>
    <d v="2025-11-10T00:00:00"/>
    <n v="1"/>
    <d v="2025-11-16T00:00:00"/>
    <n v="1"/>
    <x v="0"/>
    <n v="1"/>
    <x v="0"/>
    <d v="2025-12-15T00:00:00"/>
    <n v="5"/>
    <n v="5"/>
    <n v="6"/>
    <n v="2"/>
    <s v="Lead"/>
    <x v="0"/>
  </r>
  <r>
    <s v="L1947"/>
    <x v="1"/>
    <x v="2"/>
    <d v="2025-10-31T00:00:00"/>
    <n v="1"/>
    <m/>
    <n v="0"/>
    <m/>
    <n v="0"/>
    <m/>
    <n v="0"/>
    <x v="1"/>
    <n v="0"/>
    <x v="4"/>
    <m/>
    <m/>
    <m/>
    <m/>
    <m/>
    <s v="Cancelled (Lead Stage)"/>
    <x v="0"/>
  </r>
  <r>
    <s v="L1026"/>
    <x v="0"/>
    <x v="0"/>
    <d v="2025-10-30T00:00:00"/>
    <n v="1"/>
    <d v="2025-11-04T00:00:00"/>
    <n v="1"/>
    <d v="2025-11-09T00:00:00"/>
    <n v="1"/>
    <d v="2025-11-15T00:00:00"/>
    <n v="1"/>
    <x v="0"/>
    <n v="1"/>
    <x v="0"/>
    <d v="2025-12-05T00:00:00"/>
    <n v="5"/>
    <n v="5"/>
    <n v="6"/>
    <n v="1"/>
    <s v="Lead"/>
    <x v="0"/>
  </r>
  <r>
    <s v="L1040"/>
    <x v="1"/>
    <x v="2"/>
    <d v="2025-10-30T00:00:00"/>
    <n v="1"/>
    <m/>
    <n v="0"/>
    <m/>
    <n v="0"/>
    <m/>
    <n v="0"/>
    <x v="1"/>
    <n v="0"/>
    <x v="5"/>
    <m/>
    <m/>
    <m/>
    <m/>
    <m/>
    <s v="Cancelled (Lead Stage)"/>
    <x v="0"/>
  </r>
  <r>
    <s v="L1209"/>
    <x v="1"/>
    <x v="1"/>
    <d v="2025-10-30T00:00:00"/>
    <n v="1"/>
    <d v="2025-11-03T00:00:00"/>
    <n v="1"/>
    <d v="2025-11-06T00:00:00"/>
    <n v="1"/>
    <d v="2025-11-11T00:00:00"/>
    <n v="1"/>
    <x v="0"/>
    <n v="1"/>
    <x v="0"/>
    <d v="2025-11-28T00:00:00"/>
    <n v="4"/>
    <n v="3"/>
    <n v="5"/>
    <n v="9"/>
    <s v="Lead"/>
    <x v="2"/>
  </r>
  <r>
    <s v="L1255"/>
    <x v="0"/>
    <x v="0"/>
    <d v="2025-10-30T00:00:00"/>
    <n v="1"/>
    <d v="2025-11-03T00:00:00"/>
    <n v="1"/>
    <d v="2025-11-07T00:00:00"/>
    <n v="1"/>
    <d v="2025-11-12T00:00:00"/>
    <n v="1"/>
    <x v="1"/>
    <n v="0"/>
    <x v="5"/>
    <m/>
    <n v="4"/>
    <n v="4"/>
    <n v="5"/>
    <m/>
    <s v="Cancelled (Lead Stage)"/>
    <x v="0"/>
  </r>
  <r>
    <s v="L1263"/>
    <x v="0"/>
    <x v="0"/>
    <d v="2025-10-30T00:00:00"/>
    <n v="1"/>
    <d v="2025-11-03T00:00:00"/>
    <n v="1"/>
    <d v="2025-11-04T00:00:00"/>
    <n v="1"/>
    <d v="2025-11-11T00:00:00"/>
    <n v="1"/>
    <x v="0"/>
    <n v="1"/>
    <x v="0"/>
    <d v="2025-12-08T00:00:00"/>
    <n v="4"/>
    <n v="1"/>
    <n v="7"/>
    <n v="5"/>
    <s v="Lead"/>
    <x v="0"/>
  </r>
  <r>
    <s v="L1271"/>
    <x v="1"/>
    <x v="1"/>
    <d v="2025-10-30T00:00:00"/>
    <n v="1"/>
    <d v="2025-11-04T00:00:00"/>
    <n v="1"/>
    <d v="2025-11-06T00:00:00"/>
    <n v="1"/>
    <d v="2025-11-08T00:00:00"/>
    <n v="1"/>
    <x v="0"/>
    <n v="1"/>
    <x v="0"/>
    <d v="2025-11-23T00:00:00"/>
    <n v="5"/>
    <n v="2"/>
    <n v="2"/>
    <n v="6"/>
    <s v="Lead"/>
    <x v="0"/>
  </r>
  <r>
    <s v="L1284"/>
    <x v="2"/>
    <x v="0"/>
    <d v="2025-10-30T00:00:00"/>
    <n v="1"/>
    <d v="2025-11-02T00:00:00"/>
    <n v="1"/>
    <d v="2025-11-04T00:00:00"/>
    <n v="1"/>
    <d v="2025-11-10T00:00:00"/>
    <n v="1"/>
    <x v="0"/>
    <n v="1"/>
    <x v="0"/>
    <d v="2025-11-28T00:00:00"/>
    <n v="3"/>
    <n v="2"/>
    <n v="6"/>
    <n v="4"/>
    <s v="Lead"/>
    <x v="0"/>
  </r>
  <r>
    <s v="L1332"/>
    <x v="1"/>
    <x v="1"/>
    <d v="2025-10-30T00:00:00"/>
    <n v="1"/>
    <d v="2025-11-04T00:00:00"/>
    <n v="1"/>
    <d v="2025-11-08T00:00:00"/>
    <n v="1"/>
    <d v="2025-11-15T00:00:00"/>
    <n v="1"/>
    <x v="0"/>
    <n v="1"/>
    <x v="0"/>
    <d v="2025-12-01T00:00:00"/>
    <n v="5"/>
    <n v="4"/>
    <n v="7"/>
    <n v="2"/>
    <s v="Lead"/>
    <x v="0"/>
  </r>
  <r>
    <s v="L1394"/>
    <x v="3"/>
    <x v="1"/>
    <d v="2025-10-30T00:00:00"/>
    <n v="1"/>
    <d v="2025-11-03T00:00:00"/>
    <n v="1"/>
    <d v="2025-11-08T00:00:00"/>
    <n v="1"/>
    <d v="2025-11-12T00:00:00"/>
    <n v="1"/>
    <x v="0"/>
    <n v="1"/>
    <x v="0"/>
    <d v="2025-12-11T00:00:00"/>
    <n v="4"/>
    <n v="5"/>
    <n v="4"/>
    <n v="2"/>
    <s v="Lead"/>
    <x v="0"/>
  </r>
  <r>
    <s v="L1416"/>
    <x v="0"/>
    <x v="0"/>
    <d v="2025-10-30T00:00:00"/>
    <n v="1"/>
    <d v="2025-11-01T00:00:00"/>
    <n v="1"/>
    <d v="2025-11-06T00:00:00"/>
    <n v="1"/>
    <d v="2025-11-13T00:00:00"/>
    <n v="1"/>
    <x v="0"/>
    <n v="1"/>
    <x v="0"/>
    <d v="2025-12-04T00:00:00"/>
    <n v="2"/>
    <n v="5"/>
    <n v="7"/>
    <n v="4"/>
    <s v="Lead"/>
    <x v="0"/>
  </r>
  <r>
    <s v="L1425"/>
    <x v="2"/>
    <x v="1"/>
    <d v="2025-10-30T00:00:00"/>
    <n v="1"/>
    <d v="2025-11-04T00:00:00"/>
    <n v="1"/>
    <d v="2025-11-06T00:00:00"/>
    <n v="1"/>
    <d v="2025-11-08T00:00:00"/>
    <n v="1"/>
    <x v="0"/>
    <n v="1"/>
    <x v="0"/>
    <d v="2025-11-25T00:00:00"/>
    <n v="5"/>
    <n v="2"/>
    <n v="2"/>
    <n v="3"/>
    <s v="Lead"/>
    <x v="0"/>
  </r>
  <r>
    <s v="L1441"/>
    <x v="3"/>
    <x v="0"/>
    <d v="2025-10-30T00:00:00"/>
    <n v="1"/>
    <d v="2025-11-02T00:00:00"/>
    <n v="1"/>
    <d v="2025-11-06T00:00:00"/>
    <n v="1"/>
    <d v="2025-11-09T00:00:00"/>
    <n v="1"/>
    <x v="0"/>
    <n v="1"/>
    <x v="0"/>
    <d v="2025-12-04T00:00:00"/>
    <n v="3"/>
    <n v="4"/>
    <n v="3"/>
    <n v="8"/>
    <s v="Lead"/>
    <x v="1"/>
  </r>
  <r>
    <s v="L1455"/>
    <x v="2"/>
    <x v="0"/>
    <d v="2025-10-30T00:00:00"/>
    <n v="1"/>
    <d v="2025-10-31T00:00:00"/>
    <n v="1"/>
    <d v="2025-11-02T00:00:00"/>
    <n v="1"/>
    <d v="2025-11-04T00:00:00"/>
    <n v="1"/>
    <x v="0"/>
    <n v="1"/>
    <x v="0"/>
    <d v="2025-11-23T00:00:00"/>
    <n v="1"/>
    <n v="2"/>
    <n v="2"/>
    <n v="9"/>
    <s v="Lead"/>
    <x v="2"/>
  </r>
  <r>
    <s v="L1481"/>
    <x v="0"/>
    <x v="0"/>
    <d v="2025-10-30T00:00:00"/>
    <n v="1"/>
    <d v="2025-11-01T00:00:00"/>
    <n v="1"/>
    <d v="2025-11-04T00:00:00"/>
    <n v="1"/>
    <d v="2025-11-10T00:00:00"/>
    <n v="1"/>
    <x v="0"/>
    <n v="1"/>
    <x v="0"/>
    <d v="2025-12-01T00:00:00"/>
    <n v="2"/>
    <n v="3"/>
    <n v="6"/>
    <n v="8"/>
    <s v="Lead"/>
    <x v="1"/>
  </r>
  <r>
    <s v="L1498"/>
    <x v="3"/>
    <x v="1"/>
    <d v="2025-10-30T00:00:00"/>
    <n v="1"/>
    <d v="2025-11-01T00:00:00"/>
    <n v="1"/>
    <d v="2025-11-06T00:00:00"/>
    <n v="1"/>
    <d v="2025-11-09T00:00:00"/>
    <n v="1"/>
    <x v="0"/>
    <n v="1"/>
    <x v="0"/>
    <d v="2025-11-30T00:00:00"/>
    <n v="2"/>
    <n v="5"/>
    <n v="3"/>
    <n v="8"/>
    <s v="Lead"/>
    <x v="1"/>
  </r>
  <r>
    <s v="L1522"/>
    <x v="1"/>
    <x v="2"/>
    <d v="2025-10-30T00:00:00"/>
    <n v="1"/>
    <m/>
    <n v="0"/>
    <m/>
    <n v="0"/>
    <m/>
    <n v="0"/>
    <x v="1"/>
    <n v="0"/>
    <x v="1"/>
    <m/>
    <m/>
    <m/>
    <m/>
    <m/>
    <s v="Cancelled (Lead Stage)"/>
    <x v="0"/>
  </r>
  <r>
    <s v="L1563"/>
    <x v="3"/>
    <x v="1"/>
    <d v="2025-10-30T00:00:00"/>
    <n v="1"/>
    <d v="2025-11-02T00:00:00"/>
    <n v="1"/>
    <d v="2025-11-04T00:00:00"/>
    <n v="1"/>
    <d v="2025-11-09T00:00:00"/>
    <n v="1"/>
    <x v="0"/>
    <n v="1"/>
    <x v="0"/>
    <d v="2025-12-05T00:00:00"/>
    <n v="3"/>
    <n v="2"/>
    <n v="5"/>
    <n v="3"/>
    <s v="Lead"/>
    <x v="0"/>
  </r>
  <r>
    <s v="L1607"/>
    <x v="2"/>
    <x v="1"/>
    <d v="2025-10-30T00:00:00"/>
    <n v="1"/>
    <d v="2025-11-03T00:00:00"/>
    <n v="1"/>
    <d v="2025-11-07T00:00:00"/>
    <n v="1"/>
    <d v="2025-11-09T00:00:00"/>
    <n v="1"/>
    <x v="0"/>
    <n v="1"/>
    <x v="0"/>
    <d v="2025-12-09T00:00:00"/>
    <n v="4"/>
    <n v="4"/>
    <n v="2"/>
    <n v="4"/>
    <s v="Lead"/>
    <x v="0"/>
  </r>
  <r>
    <s v="L1665"/>
    <x v="0"/>
    <x v="0"/>
    <d v="2025-10-30T00:00:00"/>
    <n v="1"/>
    <d v="2025-11-01T00:00:00"/>
    <n v="1"/>
    <d v="2025-11-05T00:00:00"/>
    <n v="1"/>
    <d v="2025-11-07T00:00:00"/>
    <n v="1"/>
    <x v="0"/>
    <n v="1"/>
    <x v="0"/>
    <d v="2025-12-05T00:00:00"/>
    <n v="2"/>
    <n v="4"/>
    <n v="2"/>
    <n v="2"/>
    <s v="Lead"/>
    <x v="0"/>
  </r>
  <r>
    <s v="L1707"/>
    <x v="2"/>
    <x v="1"/>
    <d v="2025-10-30T00:00:00"/>
    <n v="1"/>
    <d v="2025-11-01T00:00:00"/>
    <n v="1"/>
    <d v="2025-11-06T00:00:00"/>
    <n v="1"/>
    <d v="2025-11-08T00:00:00"/>
    <n v="1"/>
    <x v="1"/>
    <n v="0"/>
    <x v="3"/>
    <m/>
    <n v="2"/>
    <n v="5"/>
    <n v="2"/>
    <m/>
    <s v="Cancelled (Lead Stage)"/>
    <x v="0"/>
  </r>
  <r>
    <s v="L1721"/>
    <x v="0"/>
    <x v="0"/>
    <d v="2025-10-30T00:00:00"/>
    <n v="1"/>
    <d v="2025-10-31T00:00:00"/>
    <n v="1"/>
    <d v="2025-11-05T00:00:00"/>
    <n v="1"/>
    <d v="2025-11-12T00:00:00"/>
    <n v="1"/>
    <x v="0"/>
    <n v="1"/>
    <x v="0"/>
    <d v="2025-11-27T00:00:00"/>
    <n v="1"/>
    <n v="5"/>
    <n v="7"/>
    <n v="6"/>
    <s v="Lead"/>
    <x v="0"/>
  </r>
  <r>
    <s v="L1726"/>
    <x v="0"/>
    <x v="0"/>
    <d v="2025-10-30T00:00:00"/>
    <n v="1"/>
    <d v="2025-11-01T00:00:00"/>
    <n v="1"/>
    <d v="2025-11-04T00:00:00"/>
    <n v="1"/>
    <d v="2025-11-07T00:00:00"/>
    <n v="1"/>
    <x v="0"/>
    <n v="1"/>
    <x v="0"/>
    <d v="2025-11-21T00:00:00"/>
    <n v="2"/>
    <n v="3"/>
    <n v="3"/>
    <n v="10"/>
    <s v="Lead"/>
    <x v="2"/>
  </r>
  <r>
    <s v="L1784"/>
    <x v="2"/>
    <x v="2"/>
    <d v="2025-10-30T00:00:00"/>
    <n v="1"/>
    <m/>
    <n v="0"/>
    <m/>
    <n v="0"/>
    <m/>
    <n v="0"/>
    <x v="1"/>
    <n v="0"/>
    <x v="2"/>
    <m/>
    <m/>
    <m/>
    <m/>
    <m/>
    <s v="Cancelled (Lead Stage)"/>
    <x v="0"/>
  </r>
  <r>
    <s v="L1792"/>
    <x v="3"/>
    <x v="2"/>
    <d v="2025-10-30T00:00:00"/>
    <n v="1"/>
    <m/>
    <n v="0"/>
    <m/>
    <n v="0"/>
    <m/>
    <n v="0"/>
    <x v="1"/>
    <n v="0"/>
    <x v="1"/>
    <m/>
    <m/>
    <m/>
    <m/>
    <m/>
    <s v="Cancelled (Lead Stage)"/>
    <x v="0"/>
  </r>
  <r>
    <s v="L1940"/>
    <x v="0"/>
    <x v="0"/>
    <d v="2025-10-30T00:00:00"/>
    <n v="1"/>
    <d v="2025-11-02T00:00:00"/>
    <n v="1"/>
    <d v="2025-11-07T00:00:00"/>
    <n v="1"/>
    <d v="2025-11-13T00:00:00"/>
    <n v="1"/>
    <x v="0"/>
    <n v="1"/>
    <x v="0"/>
    <d v="2025-12-04T00:00:00"/>
    <n v="3"/>
    <n v="5"/>
    <n v="6"/>
    <n v="8"/>
    <s v="Lead"/>
    <x v="1"/>
  </r>
  <r>
    <s v="L1958"/>
    <x v="1"/>
    <x v="0"/>
    <d v="2025-10-30T00:00:00"/>
    <n v="1"/>
    <d v="2025-11-02T00:00:00"/>
    <n v="1"/>
    <d v="2025-11-03T00:00:00"/>
    <n v="1"/>
    <d v="2025-11-09T00:00:00"/>
    <n v="1"/>
    <x v="0"/>
    <n v="1"/>
    <x v="0"/>
    <d v="2025-11-24T00:00:00"/>
    <n v="3"/>
    <n v="1"/>
    <n v="6"/>
    <n v="1"/>
    <s v="Lead"/>
    <x v="0"/>
  </r>
  <r>
    <s v="L1012"/>
    <x v="2"/>
    <x v="0"/>
    <d v="2025-10-29T00:00:00"/>
    <n v="1"/>
    <d v="2025-11-01T00:00:00"/>
    <n v="1"/>
    <d v="2025-11-06T00:00:00"/>
    <n v="1"/>
    <d v="2025-11-13T00:00:00"/>
    <n v="1"/>
    <x v="0"/>
    <n v="1"/>
    <x v="0"/>
    <d v="2025-11-30T00:00:00"/>
    <n v="3"/>
    <n v="5"/>
    <n v="7"/>
    <n v="10"/>
    <s v="Lead"/>
    <x v="2"/>
  </r>
  <r>
    <s v="L1043"/>
    <x v="1"/>
    <x v="2"/>
    <d v="2025-10-29T00:00:00"/>
    <n v="1"/>
    <m/>
    <n v="0"/>
    <m/>
    <n v="0"/>
    <m/>
    <n v="0"/>
    <x v="1"/>
    <n v="0"/>
    <x v="3"/>
    <m/>
    <m/>
    <m/>
    <m/>
    <m/>
    <s v="Cancelled (Lead Stage)"/>
    <x v="0"/>
  </r>
  <r>
    <s v="L1065"/>
    <x v="2"/>
    <x v="0"/>
    <d v="2025-10-29T00:00:00"/>
    <n v="1"/>
    <d v="2025-10-30T00:00:00"/>
    <n v="1"/>
    <d v="2025-11-04T00:00:00"/>
    <n v="1"/>
    <d v="2025-11-07T00:00:00"/>
    <n v="1"/>
    <x v="0"/>
    <n v="1"/>
    <x v="0"/>
    <d v="2025-11-22T00:00:00"/>
    <n v="1"/>
    <n v="5"/>
    <n v="3"/>
    <n v="10"/>
    <s v="Lead"/>
    <x v="2"/>
  </r>
  <r>
    <s v="L1068"/>
    <x v="1"/>
    <x v="2"/>
    <d v="2025-10-29T00:00:00"/>
    <n v="1"/>
    <m/>
    <n v="0"/>
    <m/>
    <n v="0"/>
    <m/>
    <n v="0"/>
    <x v="1"/>
    <n v="0"/>
    <x v="2"/>
    <m/>
    <m/>
    <m/>
    <m/>
    <m/>
    <s v="Cancelled (Lead Stage)"/>
    <x v="0"/>
  </r>
  <r>
    <s v="L1302"/>
    <x v="1"/>
    <x v="0"/>
    <d v="2025-10-29T00:00:00"/>
    <n v="1"/>
    <d v="2025-11-02T00:00:00"/>
    <n v="1"/>
    <d v="2025-11-07T00:00:00"/>
    <n v="1"/>
    <d v="2025-11-12T00:00:00"/>
    <n v="1"/>
    <x v="0"/>
    <n v="1"/>
    <x v="0"/>
    <d v="2025-11-29T00:00:00"/>
    <n v="4"/>
    <n v="5"/>
    <n v="5"/>
    <n v="5"/>
    <s v="Lead"/>
    <x v="0"/>
  </r>
  <r>
    <s v="L1397"/>
    <x v="0"/>
    <x v="0"/>
    <d v="2025-10-29T00:00:00"/>
    <n v="1"/>
    <d v="2025-10-31T00:00:00"/>
    <n v="1"/>
    <d v="2025-11-02T00:00:00"/>
    <n v="1"/>
    <d v="2025-11-07T00:00:00"/>
    <n v="1"/>
    <x v="0"/>
    <n v="1"/>
    <x v="0"/>
    <d v="2025-11-22T00:00:00"/>
    <n v="2"/>
    <n v="2"/>
    <n v="5"/>
    <n v="2"/>
    <s v="Lead"/>
    <x v="0"/>
  </r>
  <r>
    <s v="L1445"/>
    <x v="2"/>
    <x v="1"/>
    <d v="2025-10-29T00:00:00"/>
    <n v="1"/>
    <d v="2025-11-01T00:00:00"/>
    <n v="1"/>
    <d v="2025-11-05T00:00:00"/>
    <n v="1"/>
    <d v="2025-11-11T00:00:00"/>
    <n v="1"/>
    <x v="0"/>
    <n v="1"/>
    <x v="0"/>
    <d v="2025-12-02T00:00:00"/>
    <n v="3"/>
    <n v="4"/>
    <n v="6"/>
    <n v="3"/>
    <s v="Lead"/>
    <x v="0"/>
  </r>
  <r>
    <s v="L1552"/>
    <x v="2"/>
    <x v="0"/>
    <d v="2025-10-29T00:00:00"/>
    <n v="1"/>
    <d v="2025-11-02T00:00:00"/>
    <n v="1"/>
    <d v="2025-11-03T00:00:00"/>
    <n v="1"/>
    <d v="2025-11-08T00:00:00"/>
    <n v="1"/>
    <x v="0"/>
    <n v="1"/>
    <x v="0"/>
    <d v="2025-12-01T00:00:00"/>
    <n v="4"/>
    <n v="1"/>
    <n v="5"/>
    <n v="9"/>
    <s v="Lead"/>
    <x v="2"/>
  </r>
  <r>
    <s v="L1579"/>
    <x v="3"/>
    <x v="1"/>
    <d v="2025-10-29T00:00:00"/>
    <n v="1"/>
    <d v="2025-10-30T00:00:00"/>
    <n v="1"/>
    <d v="2025-11-01T00:00:00"/>
    <n v="1"/>
    <d v="2025-11-03T00:00:00"/>
    <n v="1"/>
    <x v="0"/>
    <n v="1"/>
    <x v="0"/>
    <d v="2025-11-28T00:00:00"/>
    <n v="1"/>
    <n v="2"/>
    <n v="2"/>
    <n v="9"/>
    <s v="Lead"/>
    <x v="2"/>
  </r>
  <r>
    <s v="L1618"/>
    <x v="2"/>
    <x v="2"/>
    <d v="2025-10-29T00:00:00"/>
    <n v="1"/>
    <m/>
    <n v="0"/>
    <m/>
    <n v="0"/>
    <m/>
    <n v="0"/>
    <x v="1"/>
    <n v="0"/>
    <x v="1"/>
    <m/>
    <m/>
    <m/>
    <m/>
    <m/>
    <s v="Cancelled (Lead Stage)"/>
    <x v="0"/>
  </r>
  <r>
    <s v="L1621"/>
    <x v="3"/>
    <x v="1"/>
    <d v="2025-10-29T00:00:00"/>
    <n v="1"/>
    <d v="2025-10-30T00:00:00"/>
    <n v="1"/>
    <d v="2025-11-02T00:00:00"/>
    <n v="1"/>
    <d v="2025-11-04T00:00:00"/>
    <n v="1"/>
    <x v="0"/>
    <n v="1"/>
    <x v="0"/>
    <d v="2025-11-20T00:00:00"/>
    <n v="1"/>
    <n v="3"/>
    <n v="2"/>
    <n v="6"/>
    <s v="Lead"/>
    <x v="0"/>
  </r>
  <r>
    <s v="L1670"/>
    <x v="2"/>
    <x v="2"/>
    <d v="2025-10-29T00:00:00"/>
    <n v="1"/>
    <m/>
    <n v="0"/>
    <m/>
    <n v="0"/>
    <m/>
    <n v="0"/>
    <x v="1"/>
    <n v="0"/>
    <x v="3"/>
    <m/>
    <m/>
    <m/>
    <m/>
    <m/>
    <s v="Cancelled (Lead Stage)"/>
    <x v="0"/>
  </r>
  <r>
    <s v="L1671"/>
    <x v="1"/>
    <x v="0"/>
    <d v="2025-10-29T00:00:00"/>
    <n v="1"/>
    <d v="2025-10-30T00:00:00"/>
    <n v="1"/>
    <d v="2025-11-04T00:00:00"/>
    <n v="1"/>
    <d v="2025-11-09T00:00:00"/>
    <n v="1"/>
    <x v="0"/>
    <n v="1"/>
    <x v="0"/>
    <d v="2025-12-04T00:00:00"/>
    <n v="1"/>
    <n v="5"/>
    <n v="5"/>
    <n v="0"/>
    <s v="Lead"/>
    <x v="0"/>
  </r>
  <r>
    <s v="L1694"/>
    <x v="3"/>
    <x v="0"/>
    <d v="2025-10-29T00:00:00"/>
    <n v="1"/>
    <d v="2025-10-30T00:00:00"/>
    <n v="1"/>
    <d v="2025-11-04T00:00:00"/>
    <n v="1"/>
    <d v="2025-11-07T00:00:00"/>
    <n v="1"/>
    <x v="0"/>
    <n v="1"/>
    <x v="0"/>
    <d v="2025-11-21T00:00:00"/>
    <n v="1"/>
    <n v="5"/>
    <n v="3"/>
    <n v="2"/>
    <s v="Lead"/>
    <x v="0"/>
  </r>
  <r>
    <s v="L1717"/>
    <x v="2"/>
    <x v="1"/>
    <d v="2025-10-29T00:00:00"/>
    <n v="1"/>
    <d v="2025-11-02T00:00:00"/>
    <n v="1"/>
    <d v="2025-11-04T00:00:00"/>
    <n v="1"/>
    <d v="2025-11-06T00:00:00"/>
    <n v="1"/>
    <x v="0"/>
    <n v="1"/>
    <x v="0"/>
    <d v="2025-11-16T00:00:00"/>
    <n v="4"/>
    <n v="2"/>
    <n v="2"/>
    <n v="7"/>
    <s v="Lead"/>
    <x v="1"/>
  </r>
  <r>
    <s v="L1780"/>
    <x v="2"/>
    <x v="0"/>
    <d v="2025-10-29T00:00:00"/>
    <n v="1"/>
    <d v="2025-10-30T00:00:00"/>
    <n v="1"/>
    <d v="2025-10-31T00:00:00"/>
    <n v="1"/>
    <d v="2025-11-03T00:00:00"/>
    <n v="1"/>
    <x v="0"/>
    <n v="1"/>
    <x v="0"/>
    <d v="2025-11-26T00:00:00"/>
    <n v="1"/>
    <n v="1"/>
    <n v="3"/>
    <n v="2"/>
    <s v="Lead"/>
    <x v="0"/>
  </r>
  <r>
    <s v="L1807"/>
    <x v="2"/>
    <x v="0"/>
    <d v="2025-10-29T00:00:00"/>
    <n v="1"/>
    <d v="2025-11-03T00:00:00"/>
    <n v="1"/>
    <d v="2025-11-05T00:00:00"/>
    <n v="1"/>
    <d v="2025-11-07T00:00:00"/>
    <n v="1"/>
    <x v="0"/>
    <n v="1"/>
    <x v="0"/>
    <d v="2025-11-28T00:00:00"/>
    <n v="5"/>
    <n v="2"/>
    <n v="2"/>
    <n v="2"/>
    <s v="Lead"/>
    <x v="0"/>
  </r>
  <r>
    <s v="L1824"/>
    <x v="2"/>
    <x v="0"/>
    <d v="2025-10-29T00:00:00"/>
    <n v="1"/>
    <d v="2025-10-30T00:00:00"/>
    <n v="1"/>
    <d v="2025-11-03T00:00:00"/>
    <n v="1"/>
    <d v="2025-11-10T00:00:00"/>
    <n v="1"/>
    <x v="1"/>
    <n v="0"/>
    <x v="2"/>
    <m/>
    <n v="1"/>
    <n v="4"/>
    <n v="7"/>
    <m/>
    <s v="Cancelled (Lead Stage)"/>
    <x v="0"/>
  </r>
  <r>
    <s v="L1849"/>
    <x v="2"/>
    <x v="0"/>
    <d v="2025-10-29T00:00:00"/>
    <n v="1"/>
    <d v="2025-10-30T00:00:00"/>
    <n v="1"/>
    <d v="2025-11-03T00:00:00"/>
    <n v="1"/>
    <d v="2025-11-05T00:00:00"/>
    <n v="1"/>
    <x v="0"/>
    <n v="1"/>
    <x v="0"/>
    <d v="2025-11-28T00:00:00"/>
    <n v="1"/>
    <n v="4"/>
    <n v="2"/>
    <n v="6"/>
    <s v="Lead"/>
    <x v="0"/>
  </r>
  <r>
    <s v="L1891"/>
    <x v="1"/>
    <x v="0"/>
    <d v="2025-10-29T00:00:00"/>
    <n v="1"/>
    <d v="2025-11-01T00:00:00"/>
    <n v="1"/>
    <d v="2025-11-05T00:00:00"/>
    <n v="1"/>
    <d v="2025-11-10T00:00:00"/>
    <n v="1"/>
    <x v="0"/>
    <n v="1"/>
    <x v="0"/>
    <d v="2025-11-20T00:00:00"/>
    <n v="3"/>
    <n v="4"/>
    <n v="5"/>
    <n v="7"/>
    <s v="Lead"/>
    <x v="1"/>
  </r>
  <r>
    <s v="L1961"/>
    <x v="0"/>
    <x v="0"/>
    <d v="2025-10-29T00:00:00"/>
    <n v="1"/>
    <d v="2025-11-01T00:00:00"/>
    <n v="1"/>
    <d v="2025-11-04T00:00:00"/>
    <n v="1"/>
    <d v="2025-11-07T00:00:00"/>
    <n v="1"/>
    <x v="0"/>
    <n v="1"/>
    <x v="0"/>
    <d v="2025-11-30T00:00:00"/>
    <n v="3"/>
    <n v="3"/>
    <n v="3"/>
    <n v="6"/>
    <s v="Lead"/>
    <x v="0"/>
  </r>
  <r>
    <s v="L1990"/>
    <x v="3"/>
    <x v="0"/>
    <d v="2025-10-29T00:00:00"/>
    <n v="1"/>
    <d v="2025-10-31T00:00:00"/>
    <n v="1"/>
    <d v="2025-11-05T00:00:00"/>
    <n v="1"/>
    <d v="2025-11-07T00:00:00"/>
    <n v="1"/>
    <x v="0"/>
    <n v="1"/>
    <x v="0"/>
    <d v="2025-12-07T00:00:00"/>
    <n v="2"/>
    <n v="5"/>
    <n v="2"/>
    <n v="6"/>
    <s v="Lead"/>
    <x v="0"/>
  </r>
  <r>
    <s v="L1998"/>
    <x v="1"/>
    <x v="2"/>
    <d v="2025-10-29T00:00:00"/>
    <n v="1"/>
    <m/>
    <n v="0"/>
    <m/>
    <n v="0"/>
    <m/>
    <n v="0"/>
    <x v="1"/>
    <n v="0"/>
    <x v="3"/>
    <m/>
    <m/>
    <m/>
    <m/>
    <m/>
    <s v="Cancelled (Lead Stage)"/>
    <x v="0"/>
  </r>
  <r>
    <s v="L1003"/>
    <x v="1"/>
    <x v="2"/>
    <d v="2025-10-28T00:00:00"/>
    <n v="1"/>
    <m/>
    <n v="0"/>
    <m/>
    <n v="0"/>
    <m/>
    <n v="0"/>
    <x v="1"/>
    <n v="0"/>
    <x v="5"/>
    <m/>
    <m/>
    <m/>
    <m/>
    <m/>
    <s v="Cancelled (Lead Stage)"/>
    <x v="0"/>
  </r>
  <r>
    <s v="L1037"/>
    <x v="1"/>
    <x v="0"/>
    <d v="2025-10-28T00:00:00"/>
    <n v="1"/>
    <d v="2025-10-31T00:00:00"/>
    <n v="1"/>
    <d v="2025-11-04T00:00:00"/>
    <n v="1"/>
    <d v="2025-11-08T00:00:00"/>
    <n v="1"/>
    <x v="0"/>
    <n v="1"/>
    <x v="0"/>
    <d v="2025-11-29T00:00:00"/>
    <n v="3"/>
    <n v="4"/>
    <n v="4"/>
    <n v="2"/>
    <s v="Lead"/>
    <x v="0"/>
  </r>
  <r>
    <s v="L1055"/>
    <x v="1"/>
    <x v="1"/>
    <d v="2025-10-28T00:00:00"/>
    <n v="1"/>
    <d v="2025-10-29T00:00:00"/>
    <n v="1"/>
    <d v="2025-11-01T00:00:00"/>
    <n v="1"/>
    <d v="2025-11-07T00:00:00"/>
    <n v="1"/>
    <x v="0"/>
    <n v="1"/>
    <x v="0"/>
    <d v="2025-12-07T00:00:00"/>
    <n v="1"/>
    <n v="3"/>
    <n v="6"/>
    <n v="3"/>
    <s v="Lead"/>
    <x v="0"/>
  </r>
  <r>
    <s v="L1159"/>
    <x v="3"/>
    <x v="1"/>
    <d v="2025-10-28T00:00:00"/>
    <n v="1"/>
    <d v="2025-10-30T00:00:00"/>
    <n v="1"/>
    <d v="2025-11-03T00:00:00"/>
    <n v="1"/>
    <d v="2025-11-08T00:00:00"/>
    <n v="1"/>
    <x v="0"/>
    <n v="1"/>
    <x v="0"/>
    <d v="2025-11-20T00:00:00"/>
    <n v="2"/>
    <n v="4"/>
    <n v="5"/>
    <n v="5"/>
    <s v="Lead"/>
    <x v="0"/>
  </r>
  <r>
    <s v="L1163"/>
    <x v="1"/>
    <x v="1"/>
    <d v="2025-10-28T00:00:00"/>
    <n v="1"/>
    <d v="2025-10-31T00:00:00"/>
    <n v="1"/>
    <d v="2025-11-03T00:00:00"/>
    <n v="1"/>
    <d v="2025-11-09T00:00:00"/>
    <n v="1"/>
    <x v="0"/>
    <n v="1"/>
    <x v="0"/>
    <d v="2025-11-29T00:00:00"/>
    <n v="3"/>
    <n v="3"/>
    <n v="6"/>
    <n v="5"/>
    <s v="Lead"/>
    <x v="0"/>
  </r>
  <r>
    <s v="L1176"/>
    <x v="1"/>
    <x v="0"/>
    <d v="2025-10-28T00:00:00"/>
    <n v="1"/>
    <d v="2025-11-02T00:00:00"/>
    <n v="1"/>
    <d v="2025-11-06T00:00:00"/>
    <n v="1"/>
    <d v="2025-11-11T00:00:00"/>
    <n v="1"/>
    <x v="0"/>
    <n v="1"/>
    <x v="0"/>
    <d v="2025-12-08T00:00:00"/>
    <n v="5"/>
    <n v="4"/>
    <n v="5"/>
    <n v="3"/>
    <s v="Lead"/>
    <x v="0"/>
  </r>
  <r>
    <s v="L1212"/>
    <x v="0"/>
    <x v="1"/>
    <d v="2025-10-28T00:00:00"/>
    <n v="1"/>
    <d v="2025-10-30T00:00:00"/>
    <n v="1"/>
    <d v="2025-10-31T00:00:00"/>
    <n v="1"/>
    <d v="2025-11-06T00:00:00"/>
    <n v="1"/>
    <x v="0"/>
    <n v="1"/>
    <x v="0"/>
    <d v="2025-11-19T00:00:00"/>
    <n v="2"/>
    <n v="1"/>
    <n v="6"/>
    <n v="4"/>
    <s v="Lead"/>
    <x v="0"/>
  </r>
  <r>
    <s v="L1250"/>
    <x v="0"/>
    <x v="0"/>
    <d v="2025-10-28T00:00:00"/>
    <n v="1"/>
    <d v="2025-10-30T00:00:00"/>
    <n v="1"/>
    <d v="2025-11-02T00:00:00"/>
    <n v="1"/>
    <d v="2025-11-05T00:00:00"/>
    <n v="1"/>
    <x v="0"/>
    <n v="1"/>
    <x v="0"/>
    <d v="2025-11-30T00:00:00"/>
    <n v="2"/>
    <n v="3"/>
    <n v="3"/>
    <n v="2"/>
    <s v="Lead"/>
    <x v="0"/>
  </r>
  <r>
    <s v="L1314"/>
    <x v="1"/>
    <x v="0"/>
    <d v="2025-10-28T00:00:00"/>
    <n v="1"/>
    <d v="2025-10-29T00:00:00"/>
    <n v="1"/>
    <d v="2025-11-03T00:00:00"/>
    <n v="1"/>
    <d v="2025-11-09T00:00:00"/>
    <n v="1"/>
    <x v="0"/>
    <n v="1"/>
    <x v="0"/>
    <d v="2025-11-21T00:00:00"/>
    <n v="1"/>
    <n v="5"/>
    <n v="6"/>
    <n v="4"/>
    <s v="Lead"/>
    <x v="0"/>
  </r>
  <r>
    <s v="L1348"/>
    <x v="0"/>
    <x v="0"/>
    <d v="2025-10-28T00:00:00"/>
    <n v="1"/>
    <d v="2025-10-29T00:00:00"/>
    <n v="1"/>
    <d v="2025-11-02T00:00:00"/>
    <n v="1"/>
    <d v="2025-11-09T00:00:00"/>
    <n v="1"/>
    <x v="0"/>
    <n v="1"/>
    <x v="0"/>
    <d v="2025-11-21T00:00:00"/>
    <n v="1"/>
    <n v="4"/>
    <n v="7"/>
    <n v="4"/>
    <s v="Lead"/>
    <x v="0"/>
  </r>
  <r>
    <s v="L1370"/>
    <x v="3"/>
    <x v="0"/>
    <d v="2025-10-28T00:00:00"/>
    <n v="1"/>
    <d v="2025-10-31T00:00:00"/>
    <n v="1"/>
    <d v="2025-11-05T00:00:00"/>
    <n v="1"/>
    <d v="2025-11-08T00:00:00"/>
    <n v="1"/>
    <x v="0"/>
    <n v="1"/>
    <x v="0"/>
    <d v="2025-11-22T00:00:00"/>
    <n v="3"/>
    <n v="5"/>
    <n v="3"/>
    <n v="7"/>
    <s v="Lead"/>
    <x v="1"/>
  </r>
  <r>
    <s v="L1375"/>
    <x v="1"/>
    <x v="0"/>
    <d v="2025-10-28T00:00:00"/>
    <n v="1"/>
    <d v="2025-11-01T00:00:00"/>
    <n v="1"/>
    <d v="2025-11-04T00:00:00"/>
    <n v="1"/>
    <d v="2025-11-06T00:00:00"/>
    <n v="1"/>
    <x v="1"/>
    <n v="0"/>
    <x v="3"/>
    <m/>
    <n v="4"/>
    <n v="3"/>
    <n v="2"/>
    <m/>
    <s v="Cancelled (Lead Stage)"/>
    <x v="0"/>
  </r>
  <r>
    <s v="L1447"/>
    <x v="2"/>
    <x v="2"/>
    <d v="2025-10-28T00:00:00"/>
    <n v="1"/>
    <m/>
    <n v="0"/>
    <m/>
    <n v="0"/>
    <m/>
    <n v="0"/>
    <x v="1"/>
    <n v="0"/>
    <x v="5"/>
    <m/>
    <m/>
    <m/>
    <m/>
    <m/>
    <s v="Cancelled (Lead Stage)"/>
    <x v="0"/>
  </r>
  <r>
    <s v="L1452"/>
    <x v="0"/>
    <x v="0"/>
    <d v="2025-10-28T00:00:00"/>
    <n v="1"/>
    <d v="2025-11-01T00:00:00"/>
    <n v="1"/>
    <d v="2025-11-05T00:00:00"/>
    <n v="1"/>
    <d v="2025-11-12T00:00:00"/>
    <n v="1"/>
    <x v="0"/>
    <n v="1"/>
    <x v="0"/>
    <d v="2025-11-24T00:00:00"/>
    <n v="4"/>
    <n v="4"/>
    <n v="7"/>
    <n v="4"/>
    <s v="Lead"/>
    <x v="0"/>
  </r>
  <r>
    <s v="L1469"/>
    <x v="0"/>
    <x v="2"/>
    <d v="2025-10-28T00:00:00"/>
    <n v="1"/>
    <m/>
    <n v="0"/>
    <m/>
    <n v="0"/>
    <m/>
    <n v="0"/>
    <x v="1"/>
    <n v="0"/>
    <x v="3"/>
    <m/>
    <m/>
    <m/>
    <m/>
    <m/>
    <s v="Cancelled (Lead Stage)"/>
    <x v="0"/>
  </r>
  <r>
    <s v="L1483"/>
    <x v="2"/>
    <x v="0"/>
    <d v="2025-10-28T00:00:00"/>
    <n v="1"/>
    <d v="2025-10-31T00:00:00"/>
    <n v="1"/>
    <d v="2025-11-03T00:00:00"/>
    <n v="1"/>
    <d v="2025-11-09T00:00:00"/>
    <n v="1"/>
    <x v="0"/>
    <n v="1"/>
    <x v="0"/>
    <d v="2025-11-27T00:00:00"/>
    <n v="3"/>
    <n v="3"/>
    <n v="6"/>
    <n v="5"/>
    <s v="Lead"/>
    <x v="0"/>
  </r>
  <r>
    <s v="L1490"/>
    <x v="2"/>
    <x v="0"/>
    <d v="2025-10-28T00:00:00"/>
    <n v="1"/>
    <d v="2025-10-29T00:00:00"/>
    <n v="1"/>
    <d v="2025-10-30T00:00:00"/>
    <n v="1"/>
    <d v="2025-11-04T00:00:00"/>
    <n v="1"/>
    <x v="0"/>
    <n v="1"/>
    <x v="0"/>
    <d v="2025-11-17T00:00:00"/>
    <n v="1"/>
    <n v="1"/>
    <n v="5"/>
    <n v="9"/>
    <s v="Lead"/>
    <x v="2"/>
  </r>
  <r>
    <s v="L1515"/>
    <x v="0"/>
    <x v="1"/>
    <d v="2025-10-28T00:00:00"/>
    <n v="1"/>
    <d v="2025-11-01T00:00:00"/>
    <n v="1"/>
    <d v="2025-11-02T00:00:00"/>
    <n v="1"/>
    <d v="2025-11-09T00:00:00"/>
    <n v="1"/>
    <x v="1"/>
    <n v="0"/>
    <x v="4"/>
    <m/>
    <n v="4"/>
    <n v="1"/>
    <n v="7"/>
    <m/>
    <s v="Cancelled (Lead Stage)"/>
    <x v="0"/>
  </r>
  <r>
    <s v="L1517"/>
    <x v="2"/>
    <x v="1"/>
    <d v="2025-10-28T00:00:00"/>
    <n v="1"/>
    <d v="2025-10-29T00:00:00"/>
    <n v="1"/>
    <d v="2025-10-31T00:00:00"/>
    <n v="1"/>
    <d v="2025-11-06T00:00:00"/>
    <n v="1"/>
    <x v="0"/>
    <n v="1"/>
    <x v="0"/>
    <d v="2025-11-28T00:00:00"/>
    <n v="1"/>
    <n v="2"/>
    <n v="6"/>
    <n v="1"/>
    <s v="Lead"/>
    <x v="0"/>
  </r>
  <r>
    <s v="L1518"/>
    <x v="3"/>
    <x v="1"/>
    <d v="2025-10-28T00:00:00"/>
    <n v="1"/>
    <d v="2025-11-01T00:00:00"/>
    <n v="1"/>
    <d v="2025-11-06T00:00:00"/>
    <n v="1"/>
    <d v="2025-11-11T00:00:00"/>
    <n v="1"/>
    <x v="0"/>
    <n v="1"/>
    <x v="0"/>
    <d v="2025-11-22T00:00:00"/>
    <n v="4"/>
    <n v="5"/>
    <n v="5"/>
    <n v="10"/>
    <s v="Lead"/>
    <x v="2"/>
  </r>
  <r>
    <s v="L1528"/>
    <x v="1"/>
    <x v="2"/>
    <d v="2025-10-28T00:00:00"/>
    <n v="1"/>
    <m/>
    <n v="0"/>
    <m/>
    <n v="0"/>
    <m/>
    <n v="0"/>
    <x v="1"/>
    <n v="0"/>
    <x v="2"/>
    <m/>
    <m/>
    <m/>
    <m/>
    <m/>
    <s v="Cancelled (Lead Stage)"/>
    <x v="0"/>
  </r>
  <r>
    <s v="L1541"/>
    <x v="0"/>
    <x v="2"/>
    <d v="2025-10-28T00:00:00"/>
    <n v="1"/>
    <m/>
    <n v="0"/>
    <m/>
    <n v="0"/>
    <m/>
    <n v="0"/>
    <x v="1"/>
    <n v="0"/>
    <x v="1"/>
    <m/>
    <m/>
    <m/>
    <m/>
    <m/>
    <s v="Cancelled (Lead Stage)"/>
    <x v="0"/>
  </r>
  <r>
    <s v="L1543"/>
    <x v="3"/>
    <x v="0"/>
    <d v="2025-10-28T00:00:00"/>
    <n v="1"/>
    <d v="2025-10-31T00:00:00"/>
    <n v="1"/>
    <d v="2025-11-03T00:00:00"/>
    <n v="1"/>
    <d v="2025-11-08T00:00:00"/>
    <n v="1"/>
    <x v="0"/>
    <n v="1"/>
    <x v="0"/>
    <d v="2025-11-23T00:00:00"/>
    <n v="3"/>
    <n v="3"/>
    <n v="5"/>
    <n v="4"/>
    <s v="Lead"/>
    <x v="0"/>
  </r>
  <r>
    <s v="L1545"/>
    <x v="2"/>
    <x v="1"/>
    <d v="2025-10-28T00:00:00"/>
    <n v="1"/>
    <d v="2025-11-02T00:00:00"/>
    <n v="1"/>
    <d v="2025-11-05T00:00:00"/>
    <n v="1"/>
    <d v="2025-11-12T00:00:00"/>
    <n v="1"/>
    <x v="0"/>
    <n v="1"/>
    <x v="0"/>
    <d v="2025-11-22T00:00:00"/>
    <n v="5"/>
    <n v="3"/>
    <n v="7"/>
    <n v="6"/>
    <s v="Lead"/>
    <x v="0"/>
  </r>
  <r>
    <s v="L1555"/>
    <x v="1"/>
    <x v="0"/>
    <d v="2025-10-28T00:00:00"/>
    <n v="1"/>
    <d v="2025-11-01T00:00:00"/>
    <n v="1"/>
    <d v="2025-11-06T00:00:00"/>
    <n v="1"/>
    <d v="2025-11-09T00:00:00"/>
    <n v="1"/>
    <x v="0"/>
    <n v="1"/>
    <x v="0"/>
    <d v="2025-11-30T00:00:00"/>
    <n v="4"/>
    <n v="5"/>
    <n v="3"/>
    <n v="8"/>
    <s v="Lead"/>
    <x v="1"/>
  </r>
  <r>
    <s v="L1573"/>
    <x v="2"/>
    <x v="1"/>
    <d v="2025-10-28T00:00:00"/>
    <n v="1"/>
    <d v="2025-10-31T00:00:00"/>
    <n v="1"/>
    <d v="2025-11-03T00:00:00"/>
    <n v="1"/>
    <d v="2025-11-06T00:00:00"/>
    <n v="1"/>
    <x v="0"/>
    <n v="1"/>
    <x v="0"/>
    <d v="2025-12-06T00:00:00"/>
    <n v="3"/>
    <n v="3"/>
    <n v="3"/>
    <n v="7"/>
    <s v="Lead"/>
    <x v="1"/>
  </r>
  <r>
    <s v="L1601"/>
    <x v="3"/>
    <x v="0"/>
    <d v="2025-10-28T00:00:00"/>
    <n v="1"/>
    <d v="2025-10-29T00:00:00"/>
    <n v="1"/>
    <d v="2025-11-03T00:00:00"/>
    <n v="1"/>
    <d v="2025-11-09T00:00:00"/>
    <n v="1"/>
    <x v="0"/>
    <n v="1"/>
    <x v="0"/>
    <d v="2025-11-20T00:00:00"/>
    <n v="1"/>
    <n v="5"/>
    <n v="6"/>
    <n v="3"/>
    <s v="Lead"/>
    <x v="0"/>
  </r>
  <r>
    <s v="L1638"/>
    <x v="2"/>
    <x v="1"/>
    <d v="2025-10-28T00:00:00"/>
    <n v="1"/>
    <d v="2025-11-01T00:00:00"/>
    <n v="1"/>
    <d v="2025-11-04T00:00:00"/>
    <n v="1"/>
    <d v="2025-11-08T00:00:00"/>
    <n v="1"/>
    <x v="0"/>
    <n v="1"/>
    <x v="0"/>
    <d v="2025-11-27T00:00:00"/>
    <n v="4"/>
    <n v="3"/>
    <n v="4"/>
    <n v="1"/>
    <s v="Lead"/>
    <x v="0"/>
  </r>
  <r>
    <s v="L1642"/>
    <x v="0"/>
    <x v="0"/>
    <d v="2025-10-28T00:00:00"/>
    <n v="1"/>
    <d v="2025-10-31T00:00:00"/>
    <n v="1"/>
    <d v="2025-11-01T00:00:00"/>
    <n v="1"/>
    <d v="2025-11-04T00:00:00"/>
    <n v="1"/>
    <x v="0"/>
    <n v="1"/>
    <x v="0"/>
    <d v="2025-11-18T00:00:00"/>
    <n v="3"/>
    <n v="1"/>
    <n v="3"/>
    <n v="4"/>
    <s v="Lead"/>
    <x v="0"/>
  </r>
  <r>
    <s v="L1660"/>
    <x v="1"/>
    <x v="0"/>
    <d v="2025-10-28T00:00:00"/>
    <n v="1"/>
    <d v="2025-11-02T00:00:00"/>
    <n v="1"/>
    <d v="2025-11-06T00:00:00"/>
    <n v="1"/>
    <d v="2025-11-12T00:00:00"/>
    <n v="1"/>
    <x v="0"/>
    <n v="1"/>
    <x v="0"/>
    <d v="2025-12-01T00:00:00"/>
    <n v="5"/>
    <n v="4"/>
    <n v="6"/>
    <n v="1"/>
    <s v="Lead"/>
    <x v="0"/>
  </r>
  <r>
    <s v="L1734"/>
    <x v="2"/>
    <x v="0"/>
    <d v="2025-10-28T00:00:00"/>
    <n v="1"/>
    <d v="2025-10-30T00:00:00"/>
    <n v="1"/>
    <d v="2025-11-03T00:00:00"/>
    <n v="1"/>
    <d v="2025-11-05T00:00:00"/>
    <n v="1"/>
    <x v="0"/>
    <n v="1"/>
    <x v="0"/>
    <d v="2025-11-30T00:00:00"/>
    <n v="2"/>
    <n v="4"/>
    <n v="2"/>
    <n v="4"/>
    <s v="Lead"/>
    <x v="0"/>
  </r>
  <r>
    <s v="L1745"/>
    <x v="1"/>
    <x v="0"/>
    <d v="2025-10-28T00:00:00"/>
    <n v="1"/>
    <d v="2025-10-30T00:00:00"/>
    <n v="1"/>
    <d v="2025-11-02T00:00:00"/>
    <n v="1"/>
    <d v="2025-11-08T00:00:00"/>
    <n v="1"/>
    <x v="0"/>
    <n v="1"/>
    <x v="0"/>
    <d v="2025-11-24T00:00:00"/>
    <n v="2"/>
    <n v="3"/>
    <n v="6"/>
    <n v="9"/>
    <s v="Lead"/>
    <x v="2"/>
  </r>
  <r>
    <s v="L1751"/>
    <x v="0"/>
    <x v="1"/>
    <d v="2025-10-28T00:00:00"/>
    <n v="1"/>
    <d v="2025-11-01T00:00:00"/>
    <n v="1"/>
    <d v="2025-11-04T00:00:00"/>
    <n v="1"/>
    <d v="2025-11-09T00:00:00"/>
    <n v="1"/>
    <x v="0"/>
    <n v="1"/>
    <x v="0"/>
    <d v="2025-11-26T00:00:00"/>
    <n v="4"/>
    <n v="3"/>
    <n v="5"/>
    <n v="4"/>
    <s v="Lead"/>
    <x v="0"/>
  </r>
  <r>
    <s v="L1843"/>
    <x v="3"/>
    <x v="1"/>
    <d v="2025-10-28T00:00:00"/>
    <n v="1"/>
    <d v="2025-11-01T00:00:00"/>
    <n v="1"/>
    <d v="2025-11-05T00:00:00"/>
    <n v="1"/>
    <d v="2025-11-07T00:00:00"/>
    <n v="1"/>
    <x v="1"/>
    <n v="0"/>
    <x v="3"/>
    <m/>
    <n v="4"/>
    <n v="4"/>
    <n v="2"/>
    <m/>
    <s v="Cancelled (Lead Stage)"/>
    <x v="0"/>
  </r>
  <r>
    <s v="L1859"/>
    <x v="0"/>
    <x v="1"/>
    <d v="2025-10-28T00:00:00"/>
    <n v="1"/>
    <d v="2025-10-30T00:00:00"/>
    <n v="1"/>
    <d v="2025-11-01T00:00:00"/>
    <n v="1"/>
    <d v="2025-11-08T00:00:00"/>
    <n v="1"/>
    <x v="0"/>
    <n v="1"/>
    <x v="0"/>
    <d v="2025-11-21T00:00:00"/>
    <n v="2"/>
    <n v="2"/>
    <n v="7"/>
    <n v="4"/>
    <s v="Lead"/>
    <x v="0"/>
  </r>
  <r>
    <s v="L1885"/>
    <x v="2"/>
    <x v="1"/>
    <d v="2025-10-28T00:00:00"/>
    <n v="1"/>
    <d v="2025-11-02T00:00:00"/>
    <n v="1"/>
    <d v="2025-11-06T00:00:00"/>
    <n v="1"/>
    <d v="2025-11-13T00:00:00"/>
    <n v="1"/>
    <x v="0"/>
    <n v="1"/>
    <x v="0"/>
    <d v="2025-11-29T00:00:00"/>
    <n v="5"/>
    <n v="4"/>
    <n v="7"/>
    <n v="3"/>
    <s v="Lead"/>
    <x v="0"/>
  </r>
  <r>
    <s v="L1895"/>
    <x v="1"/>
    <x v="0"/>
    <d v="2025-10-28T00:00:00"/>
    <n v="1"/>
    <d v="2025-10-30T00:00:00"/>
    <n v="1"/>
    <d v="2025-11-02T00:00:00"/>
    <n v="1"/>
    <d v="2025-11-06T00:00:00"/>
    <n v="1"/>
    <x v="1"/>
    <n v="0"/>
    <x v="1"/>
    <m/>
    <n v="2"/>
    <n v="3"/>
    <n v="4"/>
    <m/>
    <s v="Cancelled (Lead Stage)"/>
    <x v="0"/>
  </r>
  <r>
    <s v="L1904"/>
    <x v="2"/>
    <x v="2"/>
    <d v="2025-10-28T00:00:00"/>
    <n v="1"/>
    <m/>
    <n v="0"/>
    <m/>
    <n v="0"/>
    <m/>
    <n v="0"/>
    <x v="1"/>
    <n v="0"/>
    <x v="2"/>
    <m/>
    <m/>
    <m/>
    <m/>
    <m/>
    <s v="Cancelled (Lead Stage)"/>
    <x v="0"/>
  </r>
  <r>
    <s v="L1941"/>
    <x v="0"/>
    <x v="0"/>
    <d v="2025-10-28T00:00:00"/>
    <n v="1"/>
    <d v="2025-11-02T00:00:00"/>
    <n v="1"/>
    <d v="2025-11-04T00:00:00"/>
    <n v="1"/>
    <d v="2025-11-10T00:00:00"/>
    <n v="1"/>
    <x v="0"/>
    <n v="1"/>
    <x v="0"/>
    <d v="2025-11-30T00:00:00"/>
    <n v="5"/>
    <n v="2"/>
    <n v="6"/>
    <n v="5"/>
    <s v="Lead"/>
    <x v="0"/>
  </r>
  <r>
    <s v="L1951"/>
    <x v="2"/>
    <x v="1"/>
    <d v="2025-10-28T00:00:00"/>
    <n v="1"/>
    <d v="2025-11-02T00:00:00"/>
    <n v="1"/>
    <d v="2025-11-03T00:00:00"/>
    <n v="1"/>
    <d v="2025-11-05T00:00:00"/>
    <n v="1"/>
    <x v="0"/>
    <n v="1"/>
    <x v="0"/>
    <d v="2025-11-28T00:00:00"/>
    <n v="5"/>
    <n v="1"/>
    <n v="2"/>
    <n v="1"/>
    <s v="Lead"/>
    <x v="0"/>
  </r>
  <r>
    <s v="L1987"/>
    <x v="0"/>
    <x v="1"/>
    <d v="2025-10-28T00:00:00"/>
    <n v="1"/>
    <d v="2025-11-02T00:00:00"/>
    <n v="1"/>
    <d v="2025-11-04T00:00:00"/>
    <n v="1"/>
    <d v="2025-11-08T00:00:00"/>
    <n v="1"/>
    <x v="0"/>
    <n v="1"/>
    <x v="0"/>
    <d v="2025-11-20T00:00:00"/>
    <n v="5"/>
    <n v="2"/>
    <n v="4"/>
    <n v="0"/>
    <s v="Lead"/>
    <x v="0"/>
  </r>
  <r>
    <s v="L1994"/>
    <x v="0"/>
    <x v="1"/>
    <d v="2025-10-28T00:00:00"/>
    <n v="1"/>
    <d v="2025-11-02T00:00:00"/>
    <n v="1"/>
    <d v="2025-11-05T00:00:00"/>
    <n v="1"/>
    <d v="2025-11-11T00:00:00"/>
    <n v="1"/>
    <x v="0"/>
    <n v="1"/>
    <x v="0"/>
    <d v="2025-12-09T00:00:00"/>
    <n v="5"/>
    <n v="3"/>
    <n v="6"/>
    <n v="1"/>
    <s v="Lead"/>
    <x v="0"/>
  </r>
  <r>
    <s v="L1005"/>
    <x v="2"/>
    <x v="0"/>
    <d v="2025-10-27T00:00:00"/>
    <n v="1"/>
    <d v="2025-10-31T00:00:00"/>
    <n v="1"/>
    <d v="2025-11-04T00:00:00"/>
    <n v="1"/>
    <d v="2025-11-07T00:00:00"/>
    <n v="1"/>
    <x v="0"/>
    <n v="1"/>
    <x v="0"/>
    <d v="2025-11-22T00:00:00"/>
    <n v="4"/>
    <n v="4"/>
    <n v="3"/>
    <n v="9"/>
    <s v="Lead"/>
    <x v="2"/>
  </r>
  <r>
    <s v="L1013"/>
    <x v="3"/>
    <x v="0"/>
    <d v="2025-10-27T00:00:00"/>
    <n v="1"/>
    <d v="2025-10-30T00:00:00"/>
    <n v="1"/>
    <d v="2025-11-02T00:00:00"/>
    <n v="1"/>
    <d v="2025-11-08T00:00:00"/>
    <n v="1"/>
    <x v="0"/>
    <n v="1"/>
    <x v="0"/>
    <d v="2025-12-07T00:00:00"/>
    <n v="3"/>
    <n v="3"/>
    <n v="6"/>
    <n v="2"/>
    <s v="Lead"/>
    <x v="0"/>
  </r>
  <r>
    <s v="L1032"/>
    <x v="1"/>
    <x v="0"/>
    <d v="2025-10-27T00:00:00"/>
    <n v="1"/>
    <d v="2025-10-31T00:00:00"/>
    <n v="1"/>
    <d v="2025-11-05T00:00:00"/>
    <n v="1"/>
    <d v="2025-11-09T00:00:00"/>
    <n v="1"/>
    <x v="0"/>
    <n v="1"/>
    <x v="0"/>
    <d v="2025-11-23T00:00:00"/>
    <n v="4"/>
    <n v="5"/>
    <n v="4"/>
    <n v="3"/>
    <s v="Lead"/>
    <x v="0"/>
  </r>
  <r>
    <s v="L1039"/>
    <x v="2"/>
    <x v="0"/>
    <d v="2025-10-27T00:00:00"/>
    <n v="1"/>
    <d v="2025-10-30T00:00:00"/>
    <n v="1"/>
    <d v="2025-11-03T00:00:00"/>
    <n v="1"/>
    <d v="2025-11-08T00:00:00"/>
    <n v="1"/>
    <x v="1"/>
    <n v="0"/>
    <x v="4"/>
    <m/>
    <n v="3"/>
    <n v="4"/>
    <n v="5"/>
    <m/>
    <s v="Cancelled (Lead Stage)"/>
    <x v="0"/>
  </r>
  <r>
    <s v="L1139"/>
    <x v="1"/>
    <x v="0"/>
    <d v="2025-10-27T00:00:00"/>
    <n v="1"/>
    <d v="2025-10-30T00:00:00"/>
    <n v="1"/>
    <d v="2025-11-01T00:00:00"/>
    <n v="1"/>
    <d v="2025-11-06T00:00:00"/>
    <n v="1"/>
    <x v="0"/>
    <n v="1"/>
    <x v="0"/>
    <d v="2025-11-29T00:00:00"/>
    <n v="3"/>
    <n v="2"/>
    <n v="5"/>
    <n v="5"/>
    <s v="Lead"/>
    <x v="0"/>
  </r>
  <r>
    <s v="L1179"/>
    <x v="0"/>
    <x v="0"/>
    <d v="2025-10-27T00:00:00"/>
    <n v="1"/>
    <d v="2025-10-31T00:00:00"/>
    <n v="1"/>
    <d v="2025-11-03T00:00:00"/>
    <n v="1"/>
    <d v="2025-11-08T00:00:00"/>
    <n v="1"/>
    <x v="0"/>
    <n v="1"/>
    <x v="0"/>
    <d v="2025-12-07T00:00:00"/>
    <n v="4"/>
    <n v="3"/>
    <n v="5"/>
    <n v="4"/>
    <s v="Lead"/>
    <x v="0"/>
  </r>
  <r>
    <s v="L1273"/>
    <x v="0"/>
    <x v="1"/>
    <d v="2025-10-27T00:00:00"/>
    <n v="1"/>
    <d v="2025-10-30T00:00:00"/>
    <n v="1"/>
    <d v="2025-11-01T00:00:00"/>
    <n v="1"/>
    <d v="2025-11-07T00:00:00"/>
    <n v="1"/>
    <x v="0"/>
    <n v="1"/>
    <x v="0"/>
    <d v="2025-11-18T00:00:00"/>
    <n v="3"/>
    <n v="2"/>
    <n v="6"/>
    <n v="2"/>
    <s v="Lead"/>
    <x v="0"/>
  </r>
  <r>
    <s v="L1282"/>
    <x v="1"/>
    <x v="1"/>
    <d v="2025-10-27T00:00:00"/>
    <n v="1"/>
    <d v="2025-10-28T00:00:00"/>
    <n v="1"/>
    <d v="2025-11-02T00:00:00"/>
    <n v="1"/>
    <d v="2025-11-06T00:00:00"/>
    <n v="1"/>
    <x v="1"/>
    <n v="0"/>
    <x v="5"/>
    <m/>
    <n v="1"/>
    <n v="5"/>
    <n v="4"/>
    <m/>
    <s v="Cancelled (Lead Stage)"/>
    <x v="0"/>
  </r>
  <r>
    <s v="L1313"/>
    <x v="1"/>
    <x v="0"/>
    <d v="2025-10-27T00:00:00"/>
    <n v="1"/>
    <d v="2025-10-30T00:00:00"/>
    <n v="1"/>
    <d v="2025-11-01T00:00:00"/>
    <n v="1"/>
    <d v="2025-11-04T00:00:00"/>
    <n v="1"/>
    <x v="0"/>
    <n v="1"/>
    <x v="0"/>
    <d v="2025-11-23T00:00:00"/>
    <n v="3"/>
    <n v="2"/>
    <n v="3"/>
    <n v="6"/>
    <s v="Lead"/>
    <x v="0"/>
  </r>
  <r>
    <s v="L1321"/>
    <x v="0"/>
    <x v="2"/>
    <d v="2025-10-27T00:00:00"/>
    <n v="1"/>
    <m/>
    <n v="0"/>
    <m/>
    <n v="0"/>
    <m/>
    <n v="0"/>
    <x v="1"/>
    <n v="0"/>
    <x v="5"/>
    <m/>
    <m/>
    <m/>
    <m/>
    <m/>
    <s v="Cancelled (Lead Stage)"/>
    <x v="0"/>
  </r>
  <r>
    <s v="L1338"/>
    <x v="1"/>
    <x v="0"/>
    <d v="2025-10-27T00:00:00"/>
    <n v="1"/>
    <d v="2025-10-30T00:00:00"/>
    <n v="1"/>
    <d v="2025-11-04T00:00:00"/>
    <n v="1"/>
    <d v="2025-11-07T00:00:00"/>
    <n v="1"/>
    <x v="0"/>
    <n v="1"/>
    <x v="0"/>
    <d v="2025-11-30T00:00:00"/>
    <n v="3"/>
    <n v="5"/>
    <n v="3"/>
    <n v="3"/>
    <s v="Lead"/>
    <x v="0"/>
  </r>
  <r>
    <s v="L1358"/>
    <x v="2"/>
    <x v="2"/>
    <d v="2025-10-27T00:00:00"/>
    <n v="1"/>
    <m/>
    <n v="0"/>
    <m/>
    <n v="0"/>
    <m/>
    <n v="0"/>
    <x v="1"/>
    <n v="0"/>
    <x v="4"/>
    <m/>
    <m/>
    <m/>
    <m/>
    <m/>
    <s v="Cancelled (Lead Stage)"/>
    <x v="0"/>
  </r>
  <r>
    <s v="L1372"/>
    <x v="3"/>
    <x v="0"/>
    <d v="2025-10-27T00:00:00"/>
    <n v="1"/>
    <d v="2025-10-29T00:00:00"/>
    <n v="1"/>
    <d v="2025-10-31T00:00:00"/>
    <n v="1"/>
    <d v="2025-11-07T00:00:00"/>
    <n v="1"/>
    <x v="0"/>
    <n v="1"/>
    <x v="0"/>
    <d v="2025-12-05T00:00:00"/>
    <n v="2"/>
    <n v="2"/>
    <n v="7"/>
    <n v="5"/>
    <s v="Lead"/>
    <x v="0"/>
  </r>
  <r>
    <s v="L1415"/>
    <x v="0"/>
    <x v="1"/>
    <d v="2025-10-27T00:00:00"/>
    <n v="1"/>
    <d v="2025-10-31T00:00:00"/>
    <n v="1"/>
    <d v="2025-11-02T00:00:00"/>
    <n v="1"/>
    <d v="2025-11-09T00:00:00"/>
    <n v="1"/>
    <x v="0"/>
    <n v="1"/>
    <x v="0"/>
    <d v="2025-11-27T00:00:00"/>
    <n v="4"/>
    <n v="2"/>
    <n v="7"/>
    <n v="0"/>
    <s v="Lead"/>
    <x v="0"/>
  </r>
  <r>
    <s v="L1422"/>
    <x v="3"/>
    <x v="0"/>
    <d v="2025-10-27T00:00:00"/>
    <n v="1"/>
    <d v="2025-10-31T00:00:00"/>
    <n v="1"/>
    <d v="2025-11-05T00:00:00"/>
    <n v="1"/>
    <d v="2025-11-08T00:00:00"/>
    <n v="1"/>
    <x v="0"/>
    <n v="1"/>
    <x v="0"/>
    <d v="2025-12-03T00:00:00"/>
    <n v="4"/>
    <n v="5"/>
    <n v="3"/>
    <n v="2"/>
    <s v="Lead"/>
    <x v="0"/>
  </r>
  <r>
    <s v="L1432"/>
    <x v="0"/>
    <x v="2"/>
    <d v="2025-10-27T00:00:00"/>
    <n v="1"/>
    <m/>
    <n v="0"/>
    <m/>
    <n v="0"/>
    <m/>
    <n v="0"/>
    <x v="1"/>
    <n v="0"/>
    <x v="4"/>
    <m/>
    <m/>
    <m/>
    <m/>
    <m/>
    <s v="Cancelled (Lead Stage)"/>
    <x v="0"/>
  </r>
  <r>
    <s v="L1459"/>
    <x v="1"/>
    <x v="0"/>
    <d v="2025-10-27T00:00:00"/>
    <n v="1"/>
    <d v="2025-10-28T00:00:00"/>
    <n v="1"/>
    <d v="2025-11-02T00:00:00"/>
    <n v="1"/>
    <d v="2025-11-08T00:00:00"/>
    <n v="1"/>
    <x v="0"/>
    <n v="1"/>
    <x v="0"/>
    <d v="2025-11-22T00:00:00"/>
    <n v="1"/>
    <n v="5"/>
    <n v="6"/>
    <n v="1"/>
    <s v="Lead"/>
    <x v="0"/>
  </r>
  <r>
    <s v="L1464"/>
    <x v="3"/>
    <x v="1"/>
    <d v="2025-10-27T00:00:00"/>
    <n v="1"/>
    <d v="2025-10-31T00:00:00"/>
    <n v="1"/>
    <d v="2025-11-02T00:00:00"/>
    <n v="1"/>
    <d v="2025-11-05T00:00:00"/>
    <n v="1"/>
    <x v="0"/>
    <n v="1"/>
    <x v="0"/>
    <d v="2025-12-03T00:00:00"/>
    <n v="4"/>
    <n v="2"/>
    <n v="3"/>
    <n v="4"/>
    <s v="Lead"/>
    <x v="0"/>
  </r>
  <r>
    <s v="L1504"/>
    <x v="2"/>
    <x v="0"/>
    <d v="2025-10-27T00:00:00"/>
    <n v="1"/>
    <d v="2025-10-30T00:00:00"/>
    <n v="1"/>
    <d v="2025-11-01T00:00:00"/>
    <n v="1"/>
    <d v="2025-11-03T00:00:00"/>
    <n v="1"/>
    <x v="0"/>
    <n v="1"/>
    <x v="0"/>
    <d v="2025-12-01T00:00:00"/>
    <n v="3"/>
    <n v="2"/>
    <n v="2"/>
    <n v="1"/>
    <s v="Lead"/>
    <x v="0"/>
  </r>
  <r>
    <s v="L1654"/>
    <x v="2"/>
    <x v="2"/>
    <d v="2025-10-27T00:00:00"/>
    <n v="1"/>
    <m/>
    <n v="0"/>
    <m/>
    <n v="0"/>
    <m/>
    <n v="0"/>
    <x v="1"/>
    <n v="0"/>
    <x v="2"/>
    <m/>
    <m/>
    <m/>
    <m/>
    <m/>
    <s v="Cancelled (Lead Stage)"/>
    <x v="0"/>
  </r>
  <r>
    <s v="L1669"/>
    <x v="3"/>
    <x v="1"/>
    <d v="2025-10-27T00:00:00"/>
    <n v="1"/>
    <d v="2025-11-01T00:00:00"/>
    <n v="1"/>
    <d v="2025-11-02T00:00:00"/>
    <n v="1"/>
    <d v="2025-11-04T00:00:00"/>
    <n v="1"/>
    <x v="1"/>
    <n v="0"/>
    <x v="4"/>
    <m/>
    <n v="5"/>
    <n v="1"/>
    <n v="2"/>
    <m/>
    <s v="Cancelled (Lead Stage)"/>
    <x v="0"/>
  </r>
  <r>
    <s v="L1690"/>
    <x v="2"/>
    <x v="0"/>
    <d v="2025-10-27T00:00:00"/>
    <n v="1"/>
    <d v="2025-10-30T00:00:00"/>
    <n v="1"/>
    <d v="2025-11-01T00:00:00"/>
    <n v="1"/>
    <d v="2025-11-07T00:00:00"/>
    <n v="1"/>
    <x v="0"/>
    <n v="1"/>
    <x v="0"/>
    <d v="2025-12-03T00:00:00"/>
    <n v="3"/>
    <n v="2"/>
    <n v="6"/>
    <n v="7"/>
    <s v="Lead"/>
    <x v="1"/>
  </r>
  <r>
    <s v="L1723"/>
    <x v="1"/>
    <x v="1"/>
    <d v="2025-10-27T00:00:00"/>
    <n v="1"/>
    <d v="2025-11-01T00:00:00"/>
    <n v="1"/>
    <d v="2025-11-05T00:00:00"/>
    <n v="1"/>
    <d v="2025-11-07T00:00:00"/>
    <n v="1"/>
    <x v="0"/>
    <n v="1"/>
    <x v="0"/>
    <d v="2025-11-22T00:00:00"/>
    <n v="5"/>
    <n v="4"/>
    <n v="2"/>
    <n v="4"/>
    <s v="Lead"/>
    <x v="0"/>
  </r>
  <r>
    <s v="L1727"/>
    <x v="0"/>
    <x v="2"/>
    <d v="2025-10-27T00:00:00"/>
    <n v="1"/>
    <m/>
    <n v="0"/>
    <m/>
    <n v="0"/>
    <m/>
    <n v="0"/>
    <x v="1"/>
    <n v="0"/>
    <x v="3"/>
    <m/>
    <m/>
    <m/>
    <m/>
    <m/>
    <s v="Cancelled (Lead Stage)"/>
    <x v="0"/>
  </r>
  <r>
    <s v="L1770"/>
    <x v="3"/>
    <x v="2"/>
    <d v="2025-10-27T00:00:00"/>
    <n v="1"/>
    <m/>
    <n v="0"/>
    <m/>
    <n v="0"/>
    <m/>
    <n v="0"/>
    <x v="1"/>
    <n v="0"/>
    <x v="5"/>
    <m/>
    <m/>
    <m/>
    <m/>
    <m/>
    <s v="Cancelled (Lead Stage)"/>
    <x v="0"/>
  </r>
  <r>
    <s v="L1790"/>
    <x v="1"/>
    <x v="0"/>
    <d v="2025-10-27T00:00:00"/>
    <n v="1"/>
    <d v="2025-10-30T00:00:00"/>
    <n v="1"/>
    <d v="2025-11-03T00:00:00"/>
    <n v="1"/>
    <d v="2025-11-08T00:00:00"/>
    <n v="1"/>
    <x v="0"/>
    <n v="1"/>
    <x v="0"/>
    <d v="2025-11-30T00:00:00"/>
    <n v="3"/>
    <n v="4"/>
    <n v="5"/>
    <n v="5"/>
    <s v="Lead"/>
    <x v="0"/>
  </r>
  <r>
    <s v="L1828"/>
    <x v="1"/>
    <x v="0"/>
    <d v="2025-10-27T00:00:00"/>
    <n v="1"/>
    <d v="2025-10-28T00:00:00"/>
    <n v="1"/>
    <d v="2025-10-31T00:00:00"/>
    <n v="1"/>
    <d v="2025-11-05T00:00:00"/>
    <n v="1"/>
    <x v="0"/>
    <n v="1"/>
    <x v="0"/>
    <d v="2025-11-16T00:00:00"/>
    <n v="1"/>
    <n v="3"/>
    <n v="5"/>
    <n v="2"/>
    <s v="Lead"/>
    <x v="0"/>
  </r>
  <r>
    <s v="L1860"/>
    <x v="1"/>
    <x v="0"/>
    <d v="2025-10-27T00:00:00"/>
    <n v="1"/>
    <d v="2025-10-30T00:00:00"/>
    <n v="1"/>
    <d v="2025-11-03T00:00:00"/>
    <n v="1"/>
    <d v="2025-11-10T00:00:00"/>
    <n v="1"/>
    <x v="0"/>
    <n v="1"/>
    <x v="0"/>
    <d v="2025-12-06T00:00:00"/>
    <n v="3"/>
    <n v="4"/>
    <n v="7"/>
    <n v="2"/>
    <s v="Lead"/>
    <x v="0"/>
  </r>
  <r>
    <s v="L1878"/>
    <x v="1"/>
    <x v="0"/>
    <d v="2025-10-27T00:00:00"/>
    <n v="1"/>
    <d v="2025-10-29T00:00:00"/>
    <n v="1"/>
    <d v="2025-10-31T00:00:00"/>
    <n v="1"/>
    <d v="2025-11-05T00:00:00"/>
    <n v="1"/>
    <x v="0"/>
    <n v="1"/>
    <x v="0"/>
    <d v="2025-11-24T00:00:00"/>
    <n v="2"/>
    <n v="2"/>
    <n v="5"/>
    <n v="4"/>
    <s v="Lead"/>
    <x v="0"/>
  </r>
  <r>
    <s v="L1884"/>
    <x v="0"/>
    <x v="1"/>
    <d v="2025-10-27T00:00:00"/>
    <n v="1"/>
    <d v="2025-10-31T00:00:00"/>
    <n v="1"/>
    <d v="2025-11-02T00:00:00"/>
    <n v="1"/>
    <d v="2025-11-07T00:00:00"/>
    <n v="1"/>
    <x v="0"/>
    <n v="1"/>
    <x v="0"/>
    <d v="2025-12-02T00:00:00"/>
    <n v="4"/>
    <n v="2"/>
    <n v="5"/>
    <n v="7"/>
    <s v="Lead"/>
    <x v="1"/>
  </r>
  <r>
    <s v="L1025"/>
    <x v="3"/>
    <x v="0"/>
    <d v="2025-10-26T00:00:00"/>
    <n v="1"/>
    <d v="2025-10-27T00:00:00"/>
    <n v="1"/>
    <d v="2025-11-01T00:00:00"/>
    <n v="1"/>
    <d v="2025-11-03T00:00:00"/>
    <n v="1"/>
    <x v="0"/>
    <n v="1"/>
    <x v="0"/>
    <d v="2025-11-18T00:00:00"/>
    <n v="1"/>
    <n v="5"/>
    <n v="2"/>
    <n v="4"/>
    <s v="Lead"/>
    <x v="0"/>
  </r>
  <r>
    <s v="L1061"/>
    <x v="2"/>
    <x v="1"/>
    <d v="2025-10-26T00:00:00"/>
    <n v="1"/>
    <d v="2025-10-31T00:00:00"/>
    <n v="1"/>
    <d v="2025-11-04T00:00:00"/>
    <n v="1"/>
    <d v="2025-11-10T00:00:00"/>
    <n v="1"/>
    <x v="0"/>
    <n v="1"/>
    <x v="0"/>
    <d v="2025-12-01T00:00:00"/>
    <n v="5"/>
    <n v="4"/>
    <n v="6"/>
    <n v="9"/>
    <s v="Lead"/>
    <x v="2"/>
  </r>
  <r>
    <s v="L1089"/>
    <x v="0"/>
    <x v="1"/>
    <d v="2025-10-26T00:00:00"/>
    <n v="1"/>
    <d v="2025-10-27T00:00:00"/>
    <n v="1"/>
    <d v="2025-10-31T00:00:00"/>
    <n v="1"/>
    <d v="2025-11-05T00:00:00"/>
    <n v="1"/>
    <x v="0"/>
    <n v="1"/>
    <x v="0"/>
    <d v="2025-11-22T00:00:00"/>
    <n v="1"/>
    <n v="4"/>
    <n v="5"/>
    <n v="8"/>
    <s v="Lead"/>
    <x v="1"/>
  </r>
  <r>
    <s v="L1190"/>
    <x v="2"/>
    <x v="2"/>
    <d v="2025-10-26T00:00:00"/>
    <n v="1"/>
    <m/>
    <n v="0"/>
    <m/>
    <n v="0"/>
    <m/>
    <n v="0"/>
    <x v="1"/>
    <n v="0"/>
    <x v="4"/>
    <m/>
    <m/>
    <m/>
    <m/>
    <m/>
    <s v="Cancelled (Lead Stage)"/>
    <x v="0"/>
  </r>
  <r>
    <s v="L1202"/>
    <x v="2"/>
    <x v="1"/>
    <d v="2025-10-26T00:00:00"/>
    <n v="1"/>
    <d v="2025-10-31T00:00:00"/>
    <n v="1"/>
    <d v="2025-11-01T00:00:00"/>
    <n v="1"/>
    <d v="2025-11-05T00:00:00"/>
    <n v="1"/>
    <x v="0"/>
    <n v="1"/>
    <x v="0"/>
    <d v="2025-12-02T00:00:00"/>
    <n v="5"/>
    <n v="1"/>
    <n v="4"/>
    <n v="2"/>
    <s v="Lead"/>
    <x v="0"/>
  </r>
  <r>
    <s v="L1257"/>
    <x v="1"/>
    <x v="2"/>
    <d v="2025-10-26T00:00:00"/>
    <n v="1"/>
    <m/>
    <n v="0"/>
    <m/>
    <n v="0"/>
    <m/>
    <n v="0"/>
    <x v="1"/>
    <n v="0"/>
    <x v="2"/>
    <m/>
    <m/>
    <m/>
    <m/>
    <m/>
    <s v="Cancelled (Lead Stage)"/>
    <x v="0"/>
  </r>
  <r>
    <s v="L1258"/>
    <x v="2"/>
    <x v="1"/>
    <d v="2025-10-26T00:00:00"/>
    <n v="1"/>
    <d v="2025-10-31T00:00:00"/>
    <n v="1"/>
    <d v="2025-11-02T00:00:00"/>
    <n v="1"/>
    <d v="2025-11-05T00:00:00"/>
    <n v="1"/>
    <x v="1"/>
    <n v="0"/>
    <x v="2"/>
    <m/>
    <n v="5"/>
    <n v="2"/>
    <n v="3"/>
    <m/>
    <s v="Cancelled (Lead Stage)"/>
    <x v="0"/>
  </r>
  <r>
    <s v="L1262"/>
    <x v="0"/>
    <x v="2"/>
    <d v="2025-10-26T00:00:00"/>
    <n v="1"/>
    <m/>
    <n v="0"/>
    <m/>
    <n v="0"/>
    <m/>
    <n v="0"/>
    <x v="1"/>
    <n v="0"/>
    <x v="4"/>
    <m/>
    <m/>
    <m/>
    <m/>
    <m/>
    <s v="Cancelled (Lead Stage)"/>
    <x v="0"/>
  </r>
  <r>
    <s v="L1278"/>
    <x v="1"/>
    <x v="2"/>
    <d v="2025-10-26T00:00:00"/>
    <n v="1"/>
    <m/>
    <n v="0"/>
    <m/>
    <n v="0"/>
    <m/>
    <n v="0"/>
    <x v="1"/>
    <n v="0"/>
    <x v="4"/>
    <m/>
    <m/>
    <m/>
    <m/>
    <m/>
    <s v="Cancelled (Lead Stage)"/>
    <x v="0"/>
  </r>
  <r>
    <s v="L1404"/>
    <x v="3"/>
    <x v="0"/>
    <d v="2025-10-26T00:00:00"/>
    <n v="1"/>
    <d v="2025-10-29T00:00:00"/>
    <n v="1"/>
    <d v="2025-11-03T00:00:00"/>
    <n v="1"/>
    <d v="2025-11-09T00:00:00"/>
    <n v="1"/>
    <x v="1"/>
    <n v="0"/>
    <x v="4"/>
    <m/>
    <n v="3"/>
    <n v="5"/>
    <n v="6"/>
    <m/>
    <s v="Cancelled (Lead Stage)"/>
    <x v="0"/>
  </r>
  <r>
    <s v="L1451"/>
    <x v="1"/>
    <x v="2"/>
    <d v="2025-10-26T00:00:00"/>
    <n v="1"/>
    <m/>
    <n v="0"/>
    <m/>
    <n v="0"/>
    <m/>
    <n v="0"/>
    <x v="1"/>
    <n v="0"/>
    <x v="4"/>
    <m/>
    <m/>
    <m/>
    <m/>
    <m/>
    <s v="Cancelled (Lead Stage)"/>
    <x v="0"/>
  </r>
  <r>
    <s v="L1456"/>
    <x v="2"/>
    <x v="0"/>
    <d v="2025-10-26T00:00:00"/>
    <n v="1"/>
    <d v="2025-10-28T00:00:00"/>
    <n v="1"/>
    <d v="2025-10-31T00:00:00"/>
    <n v="1"/>
    <d v="2025-11-07T00:00:00"/>
    <n v="1"/>
    <x v="1"/>
    <n v="0"/>
    <x v="2"/>
    <m/>
    <n v="2"/>
    <n v="3"/>
    <n v="7"/>
    <m/>
    <s v="Cancelled (Lead Stage)"/>
    <x v="0"/>
  </r>
  <r>
    <s v="L1499"/>
    <x v="0"/>
    <x v="1"/>
    <d v="2025-10-26T00:00:00"/>
    <n v="1"/>
    <d v="2025-10-31T00:00:00"/>
    <n v="1"/>
    <d v="2025-11-01T00:00:00"/>
    <n v="1"/>
    <d v="2025-11-06T00:00:00"/>
    <n v="1"/>
    <x v="0"/>
    <n v="1"/>
    <x v="0"/>
    <d v="2025-12-01T00:00:00"/>
    <n v="5"/>
    <n v="1"/>
    <n v="5"/>
    <n v="7"/>
    <s v="Lead"/>
    <x v="1"/>
  </r>
  <r>
    <s v="L1503"/>
    <x v="3"/>
    <x v="0"/>
    <d v="2025-10-26T00:00:00"/>
    <n v="1"/>
    <d v="2025-10-27T00:00:00"/>
    <n v="1"/>
    <d v="2025-11-01T00:00:00"/>
    <n v="1"/>
    <d v="2025-11-03T00:00:00"/>
    <n v="1"/>
    <x v="0"/>
    <n v="1"/>
    <x v="0"/>
    <d v="2025-11-28T00:00:00"/>
    <n v="1"/>
    <n v="5"/>
    <n v="2"/>
    <n v="10"/>
    <s v="Lead"/>
    <x v="2"/>
  </r>
  <r>
    <s v="L1533"/>
    <x v="3"/>
    <x v="0"/>
    <d v="2025-10-26T00:00:00"/>
    <n v="1"/>
    <d v="2025-10-31T00:00:00"/>
    <n v="1"/>
    <d v="2025-11-03T00:00:00"/>
    <n v="1"/>
    <d v="2025-11-05T00:00:00"/>
    <n v="1"/>
    <x v="0"/>
    <n v="1"/>
    <x v="0"/>
    <d v="2025-12-01T00:00:00"/>
    <n v="5"/>
    <n v="3"/>
    <n v="2"/>
    <n v="1"/>
    <s v="Lead"/>
    <x v="0"/>
  </r>
  <r>
    <s v="L1583"/>
    <x v="3"/>
    <x v="0"/>
    <d v="2025-10-26T00:00:00"/>
    <n v="1"/>
    <d v="2025-10-28T00:00:00"/>
    <n v="1"/>
    <d v="2025-10-30T00:00:00"/>
    <n v="1"/>
    <d v="2025-11-05T00:00:00"/>
    <n v="1"/>
    <x v="0"/>
    <n v="1"/>
    <x v="0"/>
    <d v="2025-12-05T00:00:00"/>
    <n v="2"/>
    <n v="2"/>
    <n v="6"/>
    <n v="5"/>
    <s v="Lead"/>
    <x v="0"/>
  </r>
  <r>
    <s v="L1595"/>
    <x v="2"/>
    <x v="0"/>
    <d v="2025-10-26T00:00:00"/>
    <n v="1"/>
    <d v="2025-10-29T00:00:00"/>
    <n v="1"/>
    <d v="2025-10-31T00:00:00"/>
    <n v="1"/>
    <d v="2025-11-02T00:00:00"/>
    <n v="1"/>
    <x v="0"/>
    <n v="1"/>
    <x v="0"/>
    <d v="2025-11-18T00:00:00"/>
    <n v="3"/>
    <n v="2"/>
    <n v="2"/>
    <n v="8"/>
    <s v="Lead"/>
    <x v="1"/>
  </r>
  <r>
    <s v="L1619"/>
    <x v="0"/>
    <x v="0"/>
    <d v="2025-10-26T00:00:00"/>
    <n v="1"/>
    <d v="2025-10-27T00:00:00"/>
    <n v="1"/>
    <d v="2025-10-30T00:00:00"/>
    <n v="1"/>
    <d v="2025-11-02T00:00:00"/>
    <n v="1"/>
    <x v="1"/>
    <n v="0"/>
    <x v="2"/>
    <m/>
    <n v="1"/>
    <n v="3"/>
    <n v="3"/>
    <m/>
    <s v="Cancelled (Lead Stage)"/>
    <x v="0"/>
  </r>
  <r>
    <s v="L1674"/>
    <x v="1"/>
    <x v="1"/>
    <d v="2025-10-26T00:00:00"/>
    <n v="1"/>
    <d v="2025-10-30T00:00:00"/>
    <n v="1"/>
    <d v="2025-11-01T00:00:00"/>
    <n v="1"/>
    <d v="2025-11-05T00:00:00"/>
    <n v="1"/>
    <x v="0"/>
    <n v="1"/>
    <x v="0"/>
    <d v="2025-12-03T00:00:00"/>
    <n v="4"/>
    <n v="2"/>
    <n v="4"/>
    <n v="8"/>
    <s v="Lead"/>
    <x v="1"/>
  </r>
  <r>
    <s v="L1677"/>
    <x v="1"/>
    <x v="2"/>
    <d v="2025-10-26T00:00:00"/>
    <n v="1"/>
    <m/>
    <n v="0"/>
    <m/>
    <n v="0"/>
    <m/>
    <n v="0"/>
    <x v="1"/>
    <n v="0"/>
    <x v="4"/>
    <m/>
    <m/>
    <m/>
    <m/>
    <m/>
    <s v="Cancelled (Lead Stage)"/>
    <x v="0"/>
  </r>
  <r>
    <s v="L1699"/>
    <x v="1"/>
    <x v="1"/>
    <d v="2025-10-26T00:00:00"/>
    <n v="1"/>
    <d v="2025-10-31T00:00:00"/>
    <n v="1"/>
    <d v="2025-11-01T00:00:00"/>
    <n v="1"/>
    <d v="2025-11-07T00:00:00"/>
    <n v="1"/>
    <x v="0"/>
    <n v="1"/>
    <x v="0"/>
    <d v="2025-11-27T00:00:00"/>
    <n v="5"/>
    <n v="1"/>
    <n v="6"/>
    <n v="7"/>
    <s v="Lead"/>
    <x v="1"/>
  </r>
  <r>
    <s v="L1715"/>
    <x v="3"/>
    <x v="1"/>
    <d v="2025-10-26T00:00:00"/>
    <n v="1"/>
    <d v="2025-10-30T00:00:00"/>
    <n v="1"/>
    <d v="2025-10-31T00:00:00"/>
    <n v="1"/>
    <d v="2025-11-02T00:00:00"/>
    <n v="1"/>
    <x v="0"/>
    <n v="1"/>
    <x v="0"/>
    <d v="2025-12-02T00:00:00"/>
    <n v="4"/>
    <n v="1"/>
    <n v="2"/>
    <n v="7"/>
    <s v="Lead"/>
    <x v="1"/>
  </r>
  <r>
    <s v="L1731"/>
    <x v="2"/>
    <x v="0"/>
    <d v="2025-10-26T00:00:00"/>
    <n v="1"/>
    <d v="2025-10-28T00:00:00"/>
    <n v="1"/>
    <d v="2025-10-31T00:00:00"/>
    <n v="1"/>
    <d v="2025-11-03T00:00:00"/>
    <n v="1"/>
    <x v="0"/>
    <n v="1"/>
    <x v="0"/>
    <d v="2025-11-26T00:00:00"/>
    <n v="2"/>
    <n v="3"/>
    <n v="3"/>
    <n v="8"/>
    <s v="Lead"/>
    <x v="1"/>
  </r>
  <r>
    <s v="L1736"/>
    <x v="1"/>
    <x v="0"/>
    <d v="2025-10-26T00:00:00"/>
    <n v="1"/>
    <d v="2025-10-30T00:00:00"/>
    <n v="1"/>
    <d v="2025-11-04T00:00:00"/>
    <n v="1"/>
    <d v="2025-11-07T00:00:00"/>
    <n v="1"/>
    <x v="0"/>
    <n v="1"/>
    <x v="0"/>
    <d v="2025-11-17T00:00:00"/>
    <n v="4"/>
    <n v="5"/>
    <n v="3"/>
    <n v="0"/>
    <s v="Lead"/>
    <x v="0"/>
  </r>
  <r>
    <s v="L1752"/>
    <x v="0"/>
    <x v="0"/>
    <d v="2025-10-26T00:00:00"/>
    <n v="1"/>
    <d v="2025-10-30T00:00:00"/>
    <n v="1"/>
    <d v="2025-11-02T00:00:00"/>
    <n v="1"/>
    <d v="2025-11-04T00:00:00"/>
    <n v="1"/>
    <x v="0"/>
    <n v="1"/>
    <x v="0"/>
    <d v="2025-11-21T00:00:00"/>
    <n v="4"/>
    <n v="3"/>
    <n v="2"/>
    <n v="4"/>
    <s v="Lead"/>
    <x v="0"/>
  </r>
  <r>
    <s v="L1756"/>
    <x v="1"/>
    <x v="1"/>
    <d v="2025-10-26T00:00:00"/>
    <n v="1"/>
    <d v="2025-10-31T00:00:00"/>
    <n v="1"/>
    <d v="2025-11-03T00:00:00"/>
    <n v="1"/>
    <d v="2025-11-08T00:00:00"/>
    <n v="1"/>
    <x v="0"/>
    <n v="1"/>
    <x v="0"/>
    <d v="2025-11-21T00:00:00"/>
    <n v="5"/>
    <n v="3"/>
    <n v="5"/>
    <n v="7"/>
    <s v="Lead"/>
    <x v="1"/>
  </r>
  <r>
    <s v="L1870"/>
    <x v="2"/>
    <x v="0"/>
    <d v="2025-10-26T00:00:00"/>
    <n v="1"/>
    <d v="2025-10-29T00:00:00"/>
    <n v="1"/>
    <d v="2025-11-02T00:00:00"/>
    <n v="1"/>
    <d v="2025-11-09T00:00:00"/>
    <n v="1"/>
    <x v="0"/>
    <n v="1"/>
    <x v="0"/>
    <d v="2025-12-08T00:00:00"/>
    <n v="3"/>
    <n v="4"/>
    <n v="7"/>
    <n v="8"/>
    <s v="Lead"/>
    <x v="1"/>
  </r>
  <r>
    <s v="L1874"/>
    <x v="2"/>
    <x v="1"/>
    <d v="2025-10-26T00:00:00"/>
    <n v="1"/>
    <d v="2025-10-29T00:00:00"/>
    <n v="1"/>
    <d v="2025-10-31T00:00:00"/>
    <n v="1"/>
    <d v="2025-11-04T00:00:00"/>
    <n v="1"/>
    <x v="0"/>
    <n v="1"/>
    <x v="0"/>
    <d v="2025-11-20T00:00:00"/>
    <n v="3"/>
    <n v="2"/>
    <n v="4"/>
    <n v="3"/>
    <s v="Lead"/>
    <x v="0"/>
  </r>
  <r>
    <s v="L1890"/>
    <x v="1"/>
    <x v="2"/>
    <d v="2025-10-26T00:00:00"/>
    <n v="1"/>
    <m/>
    <n v="0"/>
    <m/>
    <n v="0"/>
    <m/>
    <n v="0"/>
    <x v="1"/>
    <n v="0"/>
    <x v="3"/>
    <m/>
    <m/>
    <m/>
    <m/>
    <m/>
    <s v="Cancelled (Lead Stage)"/>
    <x v="0"/>
  </r>
  <r>
    <s v="L1900"/>
    <x v="2"/>
    <x v="0"/>
    <d v="2025-10-26T00:00:00"/>
    <n v="1"/>
    <d v="2025-10-31T00:00:00"/>
    <n v="1"/>
    <d v="2025-11-04T00:00:00"/>
    <n v="1"/>
    <d v="2025-11-07T00:00:00"/>
    <n v="1"/>
    <x v="0"/>
    <n v="1"/>
    <x v="0"/>
    <d v="2025-12-02T00:00:00"/>
    <n v="5"/>
    <n v="4"/>
    <n v="3"/>
    <n v="10"/>
    <s v="Lead"/>
    <x v="2"/>
  </r>
  <r>
    <s v="L1909"/>
    <x v="0"/>
    <x v="0"/>
    <d v="2025-10-26T00:00:00"/>
    <n v="1"/>
    <d v="2025-10-31T00:00:00"/>
    <n v="1"/>
    <d v="2025-11-05T00:00:00"/>
    <n v="1"/>
    <d v="2025-11-11T00:00:00"/>
    <n v="1"/>
    <x v="0"/>
    <n v="1"/>
    <x v="0"/>
    <d v="2025-11-28T00:00:00"/>
    <n v="5"/>
    <n v="5"/>
    <n v="6"/>
    <n v="2"/>
    <s v="Lead"/>
    <x v="0"/>
  </r>
  <r>
    <s v="L1910"/>
    <x v="1"/>
    <x v="0"/>
    <d v="2025-10-26T00:00:00"/>
    <n v="1"/>
    <d v="2025-10-30T00:00:00"/>
    <n v="1"/>
    <d v="2025-11-04T00:00:00"/>
    <n v="1"/>
    <d v="2025-11-07T00:00:00"/>
    <n v="1"/>
    <x v="0"/>
    <n v="1"/>
    <x v="0"/>
    <d v="2025-12-01T00:00:00"/>
    <n v="4"/>
    <n v="5"/>
    <n v="3"/>
    <n v="4"/>
    <s v="Lead"/>
    <x v="0"/>
  </r>
  <r>
    <s v="L1939"/>
    <x v="3"/>
    <x v="2"/>
    <d v="2025-10-26T00:00:00"/>
    <n v="1"/>
    <m/>
    <n v="0"/>
    <m/>
    <n v="0"/>
    <m/>
    <n v="0"/>
    <x v="1"/>
    <n v="0"/>
    <x v="1"/>
    <m/>
    <m/>
    <m/>
    <m/>
    <m/>
    <s v="Cancelled (Lead Stage)"/>
    <x v="0"/>
  </r>
  <r>
    <s v="L1984"/>
    <x v="1"/>
    <x v="1"/>
    <d v="2025-10-26T00:00:00"/>
    <n v="1"/>
    <d v="2025-10-31T00:00:00"/>
    <n v="1"/>
    <d v="2025-11-01T00:00:00"/>
    <n v="1"/>
    <d v="2025-11-05T00:00:00"/>
    <n v="1"/>
    <x v="0"/>
    <n v="1"/>
    <x v="0"/>
    <d v="2025-11-28T00:00:00"/>
    <n v="5"/>
    <n v="1"/>
    <n v="4"/>
    <n v="2"/>
    <s v="Lead"/>
    <x v="0"/>
  </r>
  <r>
    <s v="L1028"/>
    <x v="0"/>
    <x v="0"/>
    <d v="2025-10-25T00:00:00"/>
    <n v="1"/>
    <d v="2025-10-30T00:00:00"/>
    <n v="1"/>
    <d v="2025-11-01T00:00:00"/>
    <n v="1"/>
    <d v="2025-11-07T00:00:00"/>
    <n v="1"/>
    <x v="0"/>
    <n v="1"/>
    <x v="0"/>
    <d v="2025-11-17T00:00:00"/>
    <n v="5"/>
    <n v="2"/>
    <n v="6"/>
    <n v="3"/>
    <s v="Lead"/>
    <x v="0"/>
  </r>
  <r>
    <s v="L1046"/>
    <x v="0"/>
    <x v="0"/>
    <d v="2025-10-25T00:00:00"/>
    <n v="1"/>
    <d v="2025-10-27T00:00:00"/>
    <n v="1"/>
    <d v="2025-11-01T00:00:00"/>
    <n v="1"/>
    <d v="2025-11-06T00:00:00"/>
    <n v="1"/>
    <x v="0"/>
    <n v="1"/>
    <x v="0"/>
    <d v="2025-11-26T00:00:00"/>
    <n v="2"/>
    <n v="5"/>
    <n v="5"/>
    <n v="5"/>
    <s v="Lead"/>
    <x v="0"/>
  </r>
  <r>
    <s v="L1081"/>
    <x v="3"/>
    <x v="2"/>
    <d v="2025-10-25T00:00:00"/>
    <n v="1"/>
    <m/>
    <n v="0"/>
    <m/>
    <n v="0"/>
    <m/>
    <n v="0"/>
    <x v="1"/>
    <n v="0"/>
    <x v="4"/>
    <m/>
    <m/>
    <m/>
    <m/>
    <m/>
    <s v="Cancelled (Lead Stage)"/>
    <x v="0"/>
  </r>
  <r>
    <s v="L1124"/>
    <x v="0"/>
    <x v="0"/>
    <d v="2025-10-25T00:00:00"/>
    <n v="1"/>
    <d v="2025-10-29T00:00:00"/>
    <n v="1"/>
    <d v="2025-10-31T00:00:00"/>
    <n v="1"/>
    <d v="2025-11-06T00:00:00"/>
    <n v="1"/>
    <x v="0"/>
    <n v="1"/>
    <x v="0"/>
    <d v="2025-11-24T00:00:00"/>
    <n v="4"/>
    <n v="2"/>
    <n v="6"/>
    <n v="4"/>
    <s v="Lead"/>
    <x v="0"/>
  </r>
  <r>
    <s v="L1134"/>
    <x v="2"/>
    <x v="2"/>
    <d v="2025-10-25T00:00:00"/>
    <n v="1"/>
    <m/>
    <n v="0"/>
    <m/>
    <n v="0"/>
    <m/>
    <n v="0"/>
    <x v="1"/>
    <n v="0"/>
    <x v="5"/>
    <m/>
    <m/>
    <m/>
    <m/>
    <m/>
    <s v="Cancelled (Lead Stage)"/>
    <x v="0"/>
  </r>
  <r>
    <s v="L1160"/>
    <x v="0"/>
    <x v="0"/>
    <d v="2025-10-25T00:00:00"/>
    <n v="1"/>
    <d v="2025-10-27T00:00:00"/>
    <n v="1"/>
    <d v="2025-10-29T00:00:00"/>
    <n v="1"/>
    <d v="2025-11-04T00:00:00"/>
    <n v="1"/>
    <x v="0"/>
    <n v="1"/>
    <x v="0"/>
    <d v="2025-11-15T00:00:00"/>
    <n v="2"/>
    <n v="2"/>
    <n v="6"/>
    <n v="3"/>
    <s v="Lead"/>
    <x v="0"/>
  </r>
  <r>
    <s v="L1198"/>
    <x v="1"/>
    <x v="0"/>
    <d v="2025-10-25T00:00:00"/>
    <n v="1"/>
    <d v="2025-10-26T00:00:00"/>
    <n v="1"/>
    <d v="2025-10-30T00:00:00"/>
    <n v="1"/>
    <d v="2025-11-06T00:00:00"/>
    <n v="1"/>
    <x v="0"/>
    <n v="1"/>
    <x v="0"/>
    <d v="2025-11-22T00:00:00"/>
    <n v="1"/>
    <n v="4"/>
    <n v="7"/>
    <n v="8"/>
    <s v="Lead"/>
    <x v="1"/>
  </r>
  <r>
    <s v="L1205"/>
    <x v="2"/>
    <x v="1"/>
    <d v="2025-10-25T00:00:00"/>
    <n v="1"/>
    <d v="2025-10-28T00:00:00"/>
    <n v="1"/>
    <d v="2025-10-30T00:00:00"/>
    <n v="1"/>
    <d v="2025-11-05T00:00:00"/>
    <n v="1"/>
    <x v="0"/>
    <n v="1"/>
    <x v="0"/>
    <d v="2025-11-24T00:00:00"/>
    <n v="3"/>
    <n v="2"/>
    <n v="6"/>
    <n v="2"/>
    <s v="Lead"/>
    <x v="0"/>
  </r>
  <r>
    <s v="L1224"/>
    <x v="3"/>
    <x v="0"/>
    <d v="2025-10-25T00:00:00"/>
    <n v="1"/>
    <d v="2025-10-28T00:00:00"/>
    <n v="1"/>
    <d v="2025-11-01T00:00:00"/>
    <n v="1"/>
    <d v="2025-11-07T00:00:00"/>
    <n v="1"/>
    <x v="0"/>
    <n v="1"/>
    <x v="0"/>
    <d v="2025-11-21T00:00:00"/>
    <n v="3"/>
    <n v="4"/>
    <n v="6"/>
    <n v="3"/>
    <s v="Lead"/>
    <x v="0"/>
  </r>
  <r>
    <s v="L1319"/>
    <x v="2"/>
    <x v="0"/>
    <d v="2025-10-25T00:00:00"/>
    <n v="1"/>
    <d v="2025-10-29T00:00:00"/>
    <n v="1"/>
    <d v="2025-10-30T00:00:00"/>
    <n v="1"/>
    <d v="2025-11-01T00:00:00"/>
    <n v="1"/>
    <x v="1"/>
    <n v="0"/>
    <x v="3"/>
    <m/>
    <n v="4"/>
    <n v="1"/>
    <n v="2"/>
    <m/>
    <s v="Cancelled (Lead Stage)"/>
    <x v="0"/>
  </r>
  <r>
    <s v="L1325"/>
    <x v="0"/>
    <x v="1"/>
    <d v="2025-10-25T00:00:00"/>
    <n v="1"/>
    <d v="2025-10-27T00:00:00"/>
    <n v="1"/>
    <d v="2025-10-31T00:00:00"/>
    <n v="1"/>
    <d v="2025-11-02T00:00:00"/>
    <n v="1"/>
    <x v="0"/>
    <n v="1"/>
    <x v="0"/>
    <d v="2025-11-30T00:00:00"/>
    <n v="2"/>
    <n v="4"/>
    <n v="2"/>
    <n v="10"/>
    <s v="Lead"/>
    <x v="2"/>
  </r>
  <r>
    <s v="L1326"/>
    <x v="2"/>
    <x v="0"/>
    <d v="2025-10-25T00:00:00"/>
    <n v="1"/>
    <d v="2025-10-28T00:00:00"/>
    <n v="1"/>
    <d v="2025-11-02T00:00:00"/>
    <n v="1"/>
    <d v="2025-11-05T00:00:00"/>
    <n v="1"/>
    <x v="0"/>
    <n v="1"/>
    <x v="0"/>
    <d v="2025-12-04T00:00:00"/>
    <n v="3"/>
    <n v="5"/>
    <n v="3"/>
    <n v="6"/>
    <s v="Lead"/>
    <x v="0"/>
  </r>
  <r>
    <s v="L1359"/>
    <x v="0"/>
    <x v="1"/>
    <d v="2025-10-25T00:00:00"/>
    <n v="1"/>
    <d v="2025-10-28T00:00:00"/>
    <n v="1"/>
    <d v="2025-11-01T00:00:00"/>
    <n v="1"/>
    <d v="2025-11-06T00:00:00"/>
    <n v="1"/>
    <x v="0"/>
    <n v="1"/>
    <x v="0"/>
    <d v="2025-11-24T00:00:00"/>
    <n v="3"/>
    <n v="4"/>
    <n v="5"/>
    <n v="5"/>
    <s v="Lead"/>
    <x v="0"/>
  </r>
  <r>
    <s v="L1368"/>
    <x v="2"/>
    <x v="0"/>
    <d v="2025-10-25T00:00:00"/>
    <n v="1"/>
    <d v="2025-10-28T00:00:00"/>
    <n v="1"/>
    <d v="2025-11-02T00:00:00"/>
    <n v="1"/>
    <d v="2025-11-05T00:00:00"/>
    <n v="1"/>
    <x v="0"/>
    <n v="1"/>
    <x v="0"/>
    <d v="2025-11-18T00:00:00"/>
    <n v="3"/>
    <n v="5"/>
    <n v="3"/>
    <n v="10"/>
    <s v="Lead"/>
    <x v="2"/>
  </r>
  <r>
    <s v="L1384"/>
    <x v="2"/>
    <x v="1"/>
    <d v="2025-10-25T00:00:00"/>
    <n v="1"/>
    <d v="2025-10-30T00:00:00"/>
    <n v="1"/>
    <d v="2025-11-03T00:00:00"/>
    <n v="1"/>
    <d v="2025-11-05T00:00:00"/>
    <n v="1"/>
    <x v="1"/>
    <n v="0"/>
    <x v="5"/>
    <m/>
    <n v="5"/>
    <n v="4"/>
    <n v="2"/>
    <m/>
    <s v="Cancelled (Lead Stage)"/>
    <x v="0"/>
  </r>
  <r>
    <s v="L1388"/>
    <x v="1"/>
    <x v="0"/>
    <d v="2025-10-25T00:00:00"/>
    <n v="1"/>
    <d v="2025-10-26T00:00:00"/>
    <n v="1"/>
    <d v="2025-10-29T00:00:00"/>
    <n v="1"/>
    <d v="2025-10-31T00:00:00"/>
    <n v="1"/>
    <x v="0"/>
    <n v="1"/>
    <x v="0"/>
    <d v="2025-11-18T00:00:00"/>
    <n v="1"/>
    <n v="3"/>
    <n v="2"/>
    <n v="3"/>
    <s v="Lead"/>
    <x v="0"/>
  </r>
  <r>
    <s v="L1450"/>
    <x v="1"/>
    <x v="0"/>
    <d v="2025-10-25T00:00:00"/>
    <n v="1"/>
    <d v="2025-10-27T00:00:00"/>
    <n v="1"/>
    <d v="2025-10-31T00:00:00"/>
    <n v="1"/>
    <d v="2025-11-04T00:00:00"/>
    <n v="1"/>
    <x v="0"/>
    <n v="1"/>
    <x v="0"/>
    <d v="2025-11-19T00:00:00"/>
    <n v="2"/>
    <n v="4"/>
    <n v="4"/>
    <n v="0"/>
    <s v="Lead"/>
    <x v="0"/>
  </r>
  <r>
    <s v="L1477"/>
    <x v="1"/>
    <x v="0"/>
    <d v="2025-10-25T00:00:00"/>
    <n v="1"/>
    <d v="2025-10-28T00:00:00"/>
    <n v="1"/>
    <d v="2025-11-02T00:00:00"/>
    <n v="1"/>
    <d v="2025-11-04T00:00:00"/>
    <n v="1"/>
    <x v="1"/>
    <n v="0"/>
    <x v="4"/>
    <m/>
    <n v="3"/>
    <n v="5"/>
    <n v="2"/>
    <m/>
    <s v="Cancelled (Lead Stage)"/>
    <x v="0"/>
  </r>
  <r>
    <s v="L1491"/>
    <x v="2"/>
    <x v="0"/>
    <d v="2025-10-25T00:00:00"/>
    <n v="1"/>
    <d v="2025-10-26T00:00:00"/>
    <n v="1"/>
    <d v="2025-10-29T00:00:00"/>
    <n v="1"/>
    <d v="2025-11-02T00:00:00"/>
    <n v="1"/>
    <x v="1"/>
    <n v="0"/>
    <x v="4"/>
    <m/>
    <n v="1"/>
    <n v="3"/>
    <n v="4"/>
    <m/>
    <s v="Cancelled (Lead Stage)"/>
    <x v="0"/>
  </r>
  <r>
    <s v="L1553"/>
    <x v="0"/>
    <x v="2"/>
    <d v="2025-10-25T00:00:00"/>
    <n v="1"/>
    <m/>
    <n v="0"/>
    <m/>
    <n v="0"/>
    <m/>
    <n v="0"/>
    <x v="1"/>
    <n v="0"/>
    <x v="2"/>
    <m/>
    <m/>
    <m/>
    <m/>
    <m/>
    <s v="Cancelled (Lead Stage)"/>
    <x v="0"/>
  </r>
  <r>
    <s v="L1570"/>
    <x v="2"/>
    <x v="1"/>
    <d v="2025-10-25T00:00:00"/>
    <n v="1"/>
    <d v="2025-10-26T00:00:00"/>
    <n v="1"/>
    <d v="2025-10-30T00:00:00"/>
    <n v="1"/>
    <d v="2025-11-06T00:00:00"/>
    <n v="1"/>
    <x v="0"/>
    <n v="1"/>
    <x v="0"/>
    <d v="2025-12-02T00:00:00"/>
    <n v="1"/>
    <n v="4"/>
    <n v="7"/>
    <n v="9"/>
    <s v="Lead"/>
    <x v="2"/>
  </r>
  <r>
    <s v="L1662"/>
    <x v="1"/>
    <x v="0"/>
    <d v="2025-10-25T00:00:00"/>
    <n v="1"/>
    <d v="2025-10-26T00:00:00"/>
    <n v="1"/>
    <d v="2025-10-27T00:00:00"/>
    <n v="1"/>
    <d v="2025-10-29T00:00:00"/>
    <n v="1"/>
    <x v="0"/>
    <n v="1"/>
    <x v="0"/>
    <d v="2025-11-18T00:00:00"/>
    <n v="1"/>
    <n v="1"/>
    <n v="2"/>
    <n v="5"/>
    <s v="Lead"/>
    <x v="0"/>
  </r>
  <r>
    <s v="L1673"/>
    <x v="0"/>
    <x v="1"/>
    <d v="2025-10-25T00:00:00"/>
    <n v="1"/>
    <d v="2025-10-27T00:00:00"/>
    <n v="1"/>
    <d v="2025-10-29T00:00:00"/>
    <n v="1"/>
    <d v="2025-11-03T00:00:00"/>
    <n v="1"/>
    <x v="0"/>
    <n v="1"/>
    <x v="0"/>
    <d v="2025-12-03T00:00:00"/>
    <n v="2"/>
    <n v="2"/>
    <n v="5"/>
    <n v="10"/>
    <s v="Lead"/>
    <x v="2"/>
  </r>
  <r>
    <s v="L1685"/>
    <x v="1"/>
    <x v="0"/>
    <d v="2025-10-25T00:00:00"/>
    <n v="1"/>
    <d v="2025-10-30T00:00:00"/>
    <n v="1"/>
    <d v="2025-11-04T00:00:00"/>
    <n v="1"/>
    <d v="2025-11-08T00:00:00"/>
    <n v="1"/>
    <x v="0"/>
    <n v="1"/>
    <x v="0"/>
    <d v="2025-12-04T00:00:00"/>
    <n v="5"/>
    <n v="5"/>
    <n v="4"/>
    <n v="5"/>
    <s v="Lead"/>
    <x v="0"/>
  </r>
  <r>
    <s v="L1687"/>
    <x v="1"/>
    <x v="2"/>
    <d v="2025-10-25T00:00:00"/>
    <n v="1"/>
    <m/>
    <n v="0"/>
    <m/>
    <n v="0"/>
    <m/>
    <n v="0"/>
    <x v="1"/>
    <n v="0"/>
    <x v="4"/>
    <m/>
    <m/>
    <m/>
    <m/>
    <m/>
    <s v="Cancelled (Lead Stage)"/>
    <x v="0"/>
  </r>
  <r>
    <s v="L1742"/>
    <x v="0"/>
    <x v="0"/>
    <d v="2025-10-25T00:00:00"/>
    <n v="1"/>
    <d v="2025-10-28T00:00:00"/>
    <n v="1"/>
    <d v="2025-10-30T00:00:00"/>
    <n v="1"/>
    <d v="2025-11-04T00:00:00"/>
    <n v="1"/>
    <x v="0"/>
    <n v="1"/>
    <x v="0"/>
    <d v="2025-11-14T00:00:00"/>
    <n v="3"/>
    <n v="2"/>
    <n v="5"/>
    <n v="2"/>
    <s v="Lead"/>
    <x v="0"/>
  </r>
  <r>
    <s v="L1879"/>
    <x v="2"/>
    <x v="1"/>
    <d v="2025-10-25T00:00:00"/>
    <n v="1"/>
    <d v="2025-10-26T00:00:00"/>
    <n v="1"/>
    <d v="2025-10-31T00:00:00"/>
    <n v="1"/>
    <d v="2025-11-02T00:00:00"/>
    <n v="1"/>
    <x v="0"/>
    <n v="1"/>
    <x v="0"/>
    <d v="2025-11-17T00:00:00"/>
    <n v="1"/>
    <n v="5"/>
    <n v="2"/>
    <n v="4"/>
    <s v="Lead"/>
    <x v="0"/>
  </r>
  <r>
    <s v="L1888"/>
    <x v="2"/>
    <x v="0"/>
    <d v="2025-10-25T00:00:00"/>
    <n v="1"/>
    <d v="2025-10-27T00:00:00"/>
    <n v="1"/>
    <d v="2025-10-28T00:00:00"/>
    <n v="1"/>
    <d v="2025-11-02T00:00:00"/>
    <n v="1"/>
    <x v="0"/>
    <n v="1"/>
    <x v="0"/>
    <d v="2025-11-22T00:00:00"/>
    <n v="2"/>
    <n v="1"/>
    <n v="5"/>
    <n v="9"/>
    <s v="Lead"/>
    <x v="2"/>
  </r>
  <r>
    <s v="L1927"/>
    <x v="2"/>
    <x v="1"/>
    <d v="2025-10-25T00:00:00"/>
    <n v="1"/>
    <d v="2025-10-27T00:00:00"/>
    <n v="1"/>
    <d v="2025-10-30T00:00:00"/>
    <n v="1"/>
    <d v="2025-11-02T00:00:00"/>
    <n v="1"/>
    <x v="1"/>
    <n v="0"/>
    <x v="2"/>
    <m/>
    <n v="2"/>
    <n v="3"/>
    <n v="3"/>
    <m/>
    <s v="Cancelled (Lead Stage)"/>
    <x v="0"/>
  </r>
  <r>
    <s v="L1991"/>
    <x v="2"/>
    <x v="1"/>
    <d v="2025-10-25T00:00:00"/>
    <n v="1"/>
    <d v="2025-10-29T00:00:00"/>
    <n v="1"/>
    <d v="2025-10-31T00:00:00"/>
    <n v="1"/>
    <d v="2025-11-07T00:00:00"/>
    <n v="1"/>
    <x v="0"/>
    <n v="1"/>
    <x v="0"/>
    <d v="2025-11-27T00:00:00"/>
    <n v="4"/>
    <n v="2"/>
    <n v="7"/>
    <n v="3"/>
    <s v="Lead"/>
    <x v="0"/>
  </r>
  <r>
    <s v="L1019"/>
    <x v="0"/>
    <x v="0"/>
    <d v="2025-10-24T00:00:00"/>
    <n v="1"/>
    <d v="2025-10-25T00:00:00"/>
    <n v="1"/>
    <d v="2025-10-30T00:00:00"/>
    <n v="1"/>
    <d v="2025-11-01T00:00:00"/>
    <n v="1"/>
    <x v="0"/>
    <n v="1"/>
    <x v="0"/>
    <d v="2025-11-11T00:00:00"/>
    <n v="1"/>
    <n v="5"/>
    <n v="2"/>
    <n v="4"/>
    <s v="Lead"/>
    <x v="0"/>
  </r>
  <r>
    <s v="L1033"/>
    <x v="2"/>
    <x v="0"/>
    <d v="2025-10-24T00:00:00"/>
    <n v="1"/>
    <d v="2025-10-27T00:00:00"/>
    <n v="1"/>
    <d v="2025-10-28T00:00:00"/>
    <n v="1"/>
    <d v="2025-10-31T00:00:00"/>
    <n v="1"/>
    <x v="0"/>
    <n v="1"/>
    <x v="0"/>
    <d v="2025-11-13T00:00:00"/>
    <n v="3"/>
    <n v="1"/>
    <n v="3"/>
    <n v="3"/>
    <s v="Lead"/>
    <x v="0"/>
  </r>
  <r>
    <s v="L1077"/>
    <x v="3"/>
    <x v="2"/>
    <d v="2025-10-24T00:00:00"/>
    <n v="1"/>
    <m/>
    <n v="0"/>
    <m/>
    <n v="0"/>
    <m/>
    <n v="0"/>
    <x v="1"/>
    <n v="0"/>
    <x v="4"/>
    <m/>
    <m/>
    <m/>
    <m/>
    <m/>
    <s v="Cancelled (Lead Stage)"/>
    <x v="0"/>
  </r>
  <r>
    <s v="L1106"/>
    <x v="1"/>
    <x v="0"/>
    <d v="2025-10-24T00:00:00"/>
    <n v="1"/>
    <d v="2025-10-29T00:00:00"/>
    <n v="1"/>
    <d v="2025-11-01T00:00:00"/>
    <n v="1"/>
    <d v="2025-11-05T00:00:00"/>
    <n v="1"/>
    <x v="1"/>
    <n v="0"/>
    <x v="4"/>
    <m/>
    <n v="5"/>
    <n v="3"/>
    <n v="4"/>
    <m/>
    <s v="Cancelled (Lead Stage)"/>
    <x v="0"/>
  </r>
  <r>
    <s v="L1117"/>
    <x v="2"/>
    <x v="1"/>
    <d v="2025-10-24T00:00:00"/>
    <n v="1"/>
    <d v="2025-10-25T00:00:00"/>
    <n v="1"/>
    <d v="2025-10-27T00:00:00"/>
    <n v="1"/>
    <d v="2025-10-29T00:00:00"/>
    <n v="1"/>
    <x v="0"/>
    <n v="1"/>
    <x v="0"/>
    <d v="2025-11-08T00:00:00"/>
    <n v="1"/>
    <n v="2"/>
    <n v="2"/>
    <n v="1"/>
    <s v="Lead"/>
    <x v="0"/>
  </r>
  <r>
    <s v="L1121"/>
    <x v="2"/>
    <x v="1"/>
    <d v="2025-10-24T00:00:00"/>
    <n v="1"/>
    <d v="2025-10-28T00:00:00"/>
    <n v="1"/>
    <d v="2025-10-31T00:00:00"/>
    <n v="1"/>
    <d v="2025-11-03T00:00:00"/>
    <n v="1"/>
    <x v="0"/>
    <n v="1"/>
    <x v="0"/>
    <d v="2025-11-20T00:00:00"/>
    <n v="4"/>
    <n v="3"/>
    <n v="3"/>
    <n v="2"/>
    <s v="Lead"/>
    <x v="0"/>
  </r>
  <r>
    <s v="L1129"/>
    <x v="2"/>
    <x v="2"/>
    <d v="2025-10-24T00:00:00"/>
    <n v="1"/>
    <m/>
    <n v="0"/>
    <m/>
    <n v="0"/>
    <m/>
    <n v="0"/>
    <x v="1"/>
    <n v="0"/>
    <x v="2"/>
    <m/>
    <m/>
    <m/>
    <m/>
    <m/>
    <s v="Cancelled (Lead Stage)"/>
    <x v="0"/>
  </r>
  <r>
    <s v="L1132"/>
    <x v="0"/>
    <x v="2"/>
    <d v="2025-10-24T00:00:00"/>
    <n v="1"/>
    <m/>
    <n v="0"/>
    <m/>
    <n v="0"/>
    <m/>
    <n v="0"/>
    <x v="1"/>
    <n v="0"/>
    <x v="2"/>
    <m/>
    <m/>
    <m/>
    <m/>
    <m/>
    <s v="Cancelled (Lead Stage)"/>
    <x v="0"/>
  </r>
  <r>
    <s v="L1221"/>
    <x v="1"/>
    <x v="0"/>
    <d v="2025-10-24T00:00:00"/>
    <n v="1"/>
    <d v="2025-10-29T00:00:00"/>
    <n v="1"/>
    <d v="2025-10-31T00:00:00"/>
    <n v="1"/>
    <d v="2025-11-02T00:00:00"/>
    <n v="1"/>
    <x v="0"/>
    <n v="1"/>
    <x v="0"/>
    <d v="2025-11-30T00:00:00"/>
    <n v="5"/>
    <n v="2"/>
    <n v="2"/>
    <n v="3"/>
    <s v="Lead"/>
    <x v="0"/>
  </r>
  <r>
    <s v="L1281"/>
    <x v="3"/>
    <x v="2"/>
    <d v="2025-10-24T00:00:00"/>
    <n v="1"/>
    <m/>
    <n v="0"/>
    <m/>
    <n v="0"/>
    <m/>
    <n v="0"/>
    <x v="1"/>
    <n v="0"/>
    <x v="3"/>
    <m/>
    <m/>
    <m/>
    <m/>
    <m/>
    <s v="Cancelled (Lead Stage)"/>
    <x v="0"/>
  </r>
  <r>
    <s v="L1304"/>
    <x v="3"/>
    <x v="0"/>
    <d v="2025-10-24T00:00:00"/>
    <n v="1"/>
    <d v="2025-10-26T00:00:00"/>
    <n v="1"/>
    <d v="2025-10-28T00:00:00"/>
    <n v="1"/>
    <d v="2025-11-02T00:00:00"/>
    <n v="1"/>
    <x v="0"/>
    <n v="1"/>
    <x v="0"/>
    <d v="2025-11-13T00:00:00"/>
    <n v="2"/>
    <n v="2"/>
    <n v="5"/>
    <n v="1"/>
    <s v="Lead"/>
    <x v="0"/>
  </r>
  <r>
    <s v="L1444"/>
    <x v="1"/>
    <x v="1"/>
    <d v="2025-10-24T00:00:00"/>
    <n v="1"/>
    <d v="2025-10-26T00:00:00"/>
    <n v="1"/>
    <d v="2025-10-29T00:00:00"/>
    <n v="1"/>
    <d v="2025-11-04T00:00:00"/>
    <n v="1"/>
    <x v="1"/>
    <n v="0"/>
    <x v="4"/>
    <m/>
    <n v="2"/>
    <n v="3"/>
    <n v="6"/>
    <m/>
    <s v="Cancelled (Lead Stage)"/>
    <x v="0"/>
  </r>
  <r>
    <s v="L1462"/>
    <x v="2"/>
    <x v="2"/>
    <d v="2025-10-24T00:00:00"/>
    <n v="1"/>
    <m/>
    <n v="0"/>
    <m/>
    <n v="0"/>
    <m/>
    <n v="0"/>
    <x v="1"/>
    <n v="0"/>
    <x v="3"/>
    <m/>
    <m/>
    <m/>
    <m/>
    <m/>
    <s v="Cancelled (Lead Stage)"/>
    <x v="0"/>
  </r>
  <r>
    <s v="L1495"/>
    <x v="3"/>
    <x v="2"/>
    <d v="2025-10-24T00:00:00"/>
    <n v="1"/>
    <m/>
    <n v="0"/>
    <m/>
    <n v="0"/>
    <m/>
    <n v="0"/>
    <x v="1"/>
    <n v="0"/>
    <x v="2"/>
    <m/>
    <m/>
    <m/>
    <m/>
    <m/>
    <s v="Cancelled (Lead Stage)"/>
    <x v="0"/>
  </r>
  <r>
    <s v="L1525"/>
    <x v="1"/>
    <x v="1"/>
    <d v="2025-10-24T00:00:00"/>
    <n v="1"/>
    <d v="2025-10-26T00:00:00"/>
    <n v="1"/>
    <d v="2025-10-29T00:00:00"/>
    <n v="1"/>
    <d v="2025-11-04T00:00:00"/>
    <n v="1"/>
    <x v="0"/>
    <n v="1"/>
    <x v="0"/>
    <d v="2025-11-21T00:00:00"/>
    <n v="2"/>
    <n v="3"/>
    <n v="6"/>
    <n v="8"/>
    <s v="Lead"/>
    <x v="1"/>
  </r>
  <r>
    <s v="L1566"/>
    <x v="2"/>
    <x v="1"/>
    <d v="2025-10-24T00:00:00"/>
    <n v="1"/>
    <d v="2025-10-29T00:00:00"/>
    <n v="1"/>
    <d v="2025-11-02T00:00:00"/>
    <n v="1"/>
    <d v="2025-11-04T00:00:00"/>
    <n v="1"/>
    <x v="0"/>
    <n v="1"/>
    <x v="0"/>
    <d v="2025-12-02T00:00:00"/>
    <n v="5"/>
    <n v="4"/>
    <n v="2"/>
    <n v="3"/>
    <s v="Lead"/>
    <x v="0"/>
  </r>
  <r>
    <s v="L1663"/>
    <x v="1"/>
    <x v="0"/>
    <d v="2025-10-24T00:00:00"/>
    <n v="1"/>
    <d v="2025-10-26T00:00:00"/>
    <n v="1"/>
    <d v="2025-10-28T00:00:00"/>
    <n v="1"/>
    <d v="2025-11-03T00:00:00"/>
    <n v="1"/>
    <x v="0"/>
    <n v="1"/>
    <x v="0"/>
    <d v="2025-11-24T00:00:00"/>
    <n v="2"/>
    <n v="2"/>
    <n v="6"/>
    <n v="4"/>
    <s v="Lead"/>
    <x v="0"/>
  </r>
  <r>
    <s v="L1667"/>
    <x v="2"/>
    <x v="0"/>
    <d v="2025-10-24T00:00:00"/>
    <n v="1"/>
    <d v="2025-10-27T00:00:00"/>
    <n v="1"/>
    <d v="2025-10-30T00:00:00"/>
    <n v="1"/>
    <d v="2025-11-02T00:00:00"/>
    <n v="1"/>
    <x v="0"/>
    <n v="1"/>
    <x v="0"/>
    <d v="2025-11-26T00:00:00"/>
    <n v="3"/>
    <n v="3"/>
    <n v="3"/>
    <n v="0"/>
    <s v="Lead"/>
    <x v="0"/>
  </r>
  <r>
    <s v="L1686"/>
    <x v="0"/>
    <x v="2"/>
    <d v="2025-10-24T00:00:00"/>
    <n v="1"/>
    <m/>
    <n v="0"/>
    <m/>
    <n v="0"/>
    <m/>
    <n v="0"/>
    <x v="1"/>
    <n v="0"/>
    <x v="3"/>
    <m/>
    <m/>
    <m/>
    <m/>
    <m/>
    <s v="Cancelled (Lead Stage)"/>
    <x v="0"/>
  </r>
  <r>
    <s v="L1704"/>
    <x v="3"/>
    <x v="0"/>
    <d v="2025-10-24T00:00:00"/>
    <n v="1"/>
    <d v="2025-10-27T00:00:00"/>
    <n v="1"/>
    <d v="2025-10-29T00:00:00"/>
    <n v="1"/>
    <d v="2025-11-04T00:00:00"/>
    <n v="1"/>
    <x v="0"/>
    <n v="1"/>
    <x v="0"/>
    <d v="2025-11-28T00:00:00"/>
    <n v="3"/>
    <n v="2"/>
    <n v="6"/>
    <n v="9"/>
    <s v="Lead"/>
    <x v="2"/>
  </r>
  <r>
    <s v="L1710"/>
    <x v="0"/>
    <x v="0"/>
    <d v="2025-10-24T00:00:00"/>
    <n v="1"/>
    <d v="2025-10-28T00:00:00"/>
    <n v="1"/>
    <d v="2025-10-30T00:00:00"/>
    <n v="1"/>
    <d v="2025-11-02T00:00:00"/>
    <n v="1"/>
    <x v="0"/>
    <n v="1"/>
    <x v="0"/>
    <d v="2025-11-27T00:00:00"/>
    <n v="4"/>
    <n v="2"/>
    <n v="3"/>
    <n v="8"/>
    <s v="Lead"/>
    <x v="1"/>
  </r>
  <r>
    <s v="L1733"/>
    <x v="2"/>
    <x v="0"/>
    <d v="2025-10-24T00:00:00"/>
    <n v="1"/>
    <d v="2025-10-26T00:00:00"/>
    <n v="1"/>
    <d v="2025-10-30T00:00:00"/>
    <n v="1"/>
    <d v="2025-11-03T00:00:00"/>
    <n v="1"/>
    <x v="0"/>
    <n v="1"/>
    <x v="0"/>
    <d v="2025-11-26T00:00:00"/>
    <n v="2"/>
    <n v="4"/>
    <n v="4"/>
    <n v="4"/>
    <s v="Lead"/>
    <x v="0"/>
  </r>
  <r>
    <s v="L1747"/>
    <x v="0"/>
    <x v="2"/>
    <d v="2025-10-24T00:00:00"/>
    <n v="1"/>
    <m/>
    <n v="0"/>
    <m/>
    <n v="0"/>
    <m/>
    <n v="0"/>
    <x v="1"/>
    <n v="0"/>
    <x v="2"/>
    <m/>
    <m/>
    <m/>
    <m/>
    <m/>
    <s v="Cancelled (Lead Stage)"/>
    <x v="0"/>
  </r>
  <r>
    <s v="L1765"/>
    <x v="2"/>
    <x v="0"/>
    <d v="2025-10-24T00:00:00"/>
    <n v="1"/>
    <d v="2025-10-28T00:00:00"/>
    <n v="1"/>
    <d v="2025-10-29T00:00:00"/>
    <n v="1"/>
    <d v="2025-11-02T00:00:00"/>
    <n v="1"/>
    <x v="0"/>
    <n v="1"/>
    <x v="0"/>
    <d v="2025-11-17T00:00:00"/>
    <n v="4"/>
    <n v="1"/>
    <n v="4"/>
    <n v="1"/>
    <s v="Lead"/>
    <x v="0"/>
  </r>
  <r>
    <s v="L1815"/>
    <x v="2"/>
    <x v="1"/>
    <d v="2025-10-24T00:00:00"/>
    <n v="1"/>
    <d v="2025-10-29T00:00:00"/>
    <n v="1"/>
    <d v="2025-10-31T00:00:00"/>
    <n v="1"/>
    <d v="2025-11-07T00:00:00"/>
    <n v="1"/>
    <x v="0"/>
    <n v="1"/>
    <x v="0"/>
    <d v="2025-12-04T00:00:00"/>
    <n v="5"/>
    <n v="2"/>
    <n v="7"/>
    <n v="5"/>
    <s v="Lead"/>
    <x v="0"/>
  </r>
  <r>
    <s v="L1821"/>
    <x v="3"/>
    <x v="2"/>
    <d v="2025-10-24T00:00:00"/>
    <n v="1"/>
    <m/>
    <n v="0"/>
    <m/>
    <n v="0"/>
    <m/>
    <n v="0"/>
    <x v="1"/>
    <n v="0"/>
    <x v="3"/>
    <m/>
    <m/>
    <m/>
    <m/>
    <m/>
    <s v="Cancelled (Lead Stage)"/>
    <x v="0"/>
  </r>
  <r>
    <s v="L1822"/>
    <x v="0"/>
    <x v="0"/>
    <d v="2025-10-24T00:00:00"/>
    <n v="1"/>
    <d v="2025-10-27T00:00:00"/>
    <n v="1"/>
    <d v="2025-10-31T00:00:00"/>
    <n v="1"/>
    <d v="2025-11-03T00:00:00"/>
    <n v="1"/>
    <x v="0"/>
    <n v="1"/>
    <x v="0"/>
    <d v="2025-11-14T00:00:00"/>
    <n v="3"/>
    <n v="4"/>
    <n v="3"/>
    <n v="3"/>
    <s v="Lead"/>
    <x v="0"/>
  </r>
  <r>
    <s v="L1919"/>
    <x v="3"/>
    <x v="0"/>
    <d v="2025-10-24T00:00:00"/>
    <n v="1"/>
    <d v="2025-10-29T00:00:00"/>
    <n v="1"/>
    <d v="2025-10-31T00:00:00"/>
    <n v="1"/>
    <d v="2025-11-04T00:00:00"/>
    <n v="1"/>
    <x v="0"/>
    <n v="1"/>
    <x v="0"/>
    <d v="2025-11-25T00:00:00"/>
    <n v="5"/>
    <n v="2"/>
    <n v="4"/>
    <n v="6"/>
    <s v="Lead"/>
    <x v="0"/>
  </r>
  <r>
    <s v="L1923"/>
    <x v="0"/>
    <x v="0"/>
    <d v="2025-10-24T00:00:00"/>
    <n v="1"/>
    <d v="2025-10-29T00:00:00"/>
    <n v="1"/>
    <d v="2025-11-03T00:00:00"/>
    <n v="1"/>
    <d v="2025-11-08T00:00:00"/>
    <n v="1"/>
    <x v="0"/>
    <n v="1"/>
    <x v="0"/>
    <d v="2025-11-21T00:00:00"/>
    <n v="5"/>
    <n v="5"/>
    <n v="5"/>
    <n v="6"/>
    <s v="Lead"/>
    <x v="0"/>
  </r>
  <r>
    <s v="L1938"/>
    <x v="0"/>
    <x v="1"/>
    <d v="2025-10-24T00:00:00"/>
    <n v="1"/>
    <d v="2025-10-26T00:00:00"/>
    <n v="1"/>
    <d v="2025-10-31T00:00:00"/>
    <n v="1"/>
    <d v="2025-11-04T00:00:00"/>
    <n v="1"/>
    <x v="0"/>
    <n v="1"/>
    <x v="0"/>
    <d v="2025-11-16T00:00:00"/>
    <n v="2"/>
    <n v="5"/>
    <n v="4"/>
    <n v="7"/>
    <s v="Lead"/>
    <x v="1"/>
  </r>
  <r>
    <s v="L1993"/>
    <x v="3"/>
    <x v="1"/>
    <d v="2025-10-24T00:00:00"/>
    <n v="1"/>
    <d v="2025-10-27T00:00:00"/>
    <n v="1"/>
    <d v="2025-10-29T00:00:00"/>
    <n v="1"/>
    <d v="2025-11-02T00:00:00"/>
    <n v="1"/>
    <x v="0"/>
    <n v="1"/>
    <x v="0"/>
    <d v="2025-11-28T00:00:00"/>
    <n v="3"/>
    <n v="2"/>
    <n v="4"/>
    <n v="7"/>
    <s v="Lead"/>
    <x v="1"/>
  </r>
  <r>
    <s v="L1015"/>
    <x v="2"/>
    <x v="0"/>
    <d v="2025-10-23T00:00:00"/>
    <n v="1"/>
    <d v="2025-10-27T00:00:00"/>
    <n v="1"/>
    <d v="2025-11-01T00:00:00"/>
    <n v="1"/>
    <d v="2025-11-06T00:00:00"/>
    <n v="1"/>
    <x v="0"/>
    <n v="1"/>
    <x v="0"/>
    <d v="2025-11-23T00:00:00"/>
    <n v="4"/>
    <n v="5"/>
    <n v="5"/>
    <n v="8"/>
    <s v="Lead"/>
    <x v="1"/>
  </r>
  <r>
    <s v="L1067"/>
    <x v="2"/>
    <x v="1"/>
    <d v="2025-10-23T00:00:00"/>
    <n v="1"/>
    <d v="2025-10-26T00:00:00"/>
    <n v="1"/>
    <d v="2025-10-29T00:00:00"/>
    <n v="1"/>
    <d v="2025-10-31T00:00:00"/>
    <n v="1"/>
    <x v="0"/>
    <n v="1"/>
    <x v="0"/>
    <d v="2025-11-19T00:00:00"/>
    <n v="3"/>
    <n v="3"/>
    <n v="2"/>
    <n v="5"/>
    <s v="Lead"/>
    <x v="0"/>
  </r>
  <r>
    <s v="L1083"/>
    <x v="2"/>
    <x v="1"/>
    <d v="2025-10-23T00:00:00"/>
    <n v="1"/>
    <d v="2025-10-28T00:00:00"/>
    <n v="1"/>
    <d v="2025-10-31T00:00:00"/>
    <n v="1"/>
    <d v="2025-11-05T00:00:00"/>
    <n v="1"/>
    <x v="0"/>
    <n v="1"/>
    <x v="0"/>
    <d v="2025-11-20T00:00:00"/>
    <n v="5"/>
    <n v="3"/>
    <n v="5"/>
    <n v="5"/>
    <s v="Lead"/>
    <x v="0"/>
  </r>
  <r>
    <s v="L1086"/>
    <x v="2"/>
    <x v="1"/>
    <d v="2025-10-23T00:00:00"/>
    <n v="1"/>
    <d v="2025-10-24T00:00:00"/>
    <n v="1"/>
    <d v="2025-10-28T00:00:00"/>
    <n v="1"/>
    <d v="2025-10-31T00:00:00"/>
    <n v="1"/>
    <x v="0"/>
    <n v="1"/>
    <x v="0"/>
    <d v="2025-11-20T00:00:00"/>
    <n v="1"/>
    <n v="4"/>
    <n v="3"/>
    <n v="7"/>
    <s v="Lead"/>
    <x v="1"/>
  </r>
  <r>
    <s v="L1095"/>
    <x v="1"/>
    <x v="0"/>
    <d v="2025-10-23T00:00:00"/>
    <n v="1"/>
    <d v="2025-10-25T00:00:00"/>
    <n v="1"/>
    <d v="2025-10-28T00:00:00"/>
    <n v="1"/>
    <d v="2025-11-02T00:00:00"/>
    <n v="1"/>
    <x v="0"/>
    <n v="1"/>
    <x v="0"/>
    <d v="2025-11-15T00:00:00"/>
    <n v="2"/>
    <n v="3"/>
    <n v="5"/>
    <n v="9"/>
    <s v="Lead"/>
    <x v="2"/>
  </r>
  <r>
    <s v="L1110"/>
    <x v="0"/>
    <x v="2"/>
    <d v="2025-10-23T00:00:00"/>
    <n v="1"/>
    <m/>
    <n v="0"/>
    <m/>
    <n v="0"/>
    <m/>
    <n v="0"/>
    <x v="1"/>
    <n v="0"/>
    <x v="2"/>
    <m/>
    <m/>
    <m/>
    <m/>
    <m/>
    <s v="Cancelled (Lead Stage)"/>
    <x v="0"/>
  </r>
  <r>
    <s v="L1125"/>
    <x v="0"/>
    <x v="1"/>
    <d v="2025-10-23T00:00:00"/>
    <n v="1"/>
    <d v="2025-10-27T00:00:00"/>
    <n v="1"/>
    <d v="2025-10-28T00:00:00"/>
    <n v="1"/>
    <d v="2025-11-04T00:00:00"/>
    <n v="1"/>
    <x v="0"/>
    <n v="1"/>
    <x v="0"/>
    <d v="2025-11-17T00:00:00"/>
    <n v="4"/>
    <n v="1"/>
    <n v="7"/>
    <n v="0"/>
    <s v="Lead"/>
    <x v="0"/>
  </r>
  <r>
    <s v="L1147"/>
    <x v="3"/>
    <x v="2"/>
    <d v="2025-10-23T00:00:00"/>
    <n v="1"/>
    <m/>
    <n v="0"/>
    <m/>
    <n v="0"/>
    <m/>
    <n v="0"/>
    <x v="1"/>
    <n v="0"/>
    <x v="3"/>
    <m/>
    <m/>
    <m/>
    <m/>
    <m/>
    <s v="Cancelled (Lead Stage)"/>
    <x v="0"/>
  </r>
  <r>
    <s v="L1155"/>
    <x v="1"/>
    <x v="1"/>
    <d v="2025-10-23T00:00:00"/>
    <n v="1"/>
    <d v="2025-10-25T00:00:00"/>
    <n v="1"/>
    <d v="2025-10-29T00:00:00"/>
    <n v="1"/>
    <d v="2025-11-02T00:00:00"/>
    <n v="1"/>
    <x v="0"/>
    <n v="1"/>
    <x v="0"/>
    <d v="2025-11-17T00:00:00"/>
    <n v="2"/>
    <n v="4"/>
    <n v="4"/>
    <n v="4"/>
    <s v="Lead"/>
    <x v="0"/>
  </r>
  <r>
    <s v="L1240"/>
    <x v="2"/>
    <x v="0"/>
    <d v="2025-10-23T00:00:00"/>
    <n v="1"/>
    <d v="2025-10-24T00:00:00"/>
    <n v="1"/>
    <d v="2025-10-26T00:00:00"/>
    <n v="1"/>
    <d v="2025-10-31T00:00:00"/>
    <n v="1"/>
    <x v="0"/>
    <n v="1"/>
    <x v="0"/>
    <d v="2025-11-13T00:00:00"/>
    <n v="1"/>
    <n v="2"/>
    <n v="5"/>
    <n v="9"/>
    <s v="Lead"/>
    <x v="2"/>
  </r>
  <r>
    <s v="L1247"/>
    <x v="3"/>
    <x v="0"/>
    <d v="2025-10-23T00:00:00"/>
    <n v="1"/>
    <d v="2025-10-28T00:00:00"/>
    <n v="1"/>
    <d v="2025-11-02T00:00:00"/>
    <n v="1"/>
    <d v="2025-11-09T00:00:00"/>
    <n v="1"/>
    <x v="0"/>
    <n v="1"/>
    <x v="0"/>
    <d v="2025-12-09T00:00:00"/>
    <n v="5"/>
    <n v="5"/>
    <n v="7"/>
    <n v="4"/>
    <s v="Lead"/>
    <x v="0"/>
  </r>
  <r>
    <s v="L1249"/>
    <x v="0"/>
    <x v="1"/>
    <d v="2025-10-23T00:00:00"/>
    <n v="1"/>
    <d v="2025-10-24T00:00:00"/>
    <n v="1"/>
    <d v="2025-10-25T00:00:00"/>
    <n v="1"/>
    <d v="2025-10-28T00:00:00"/>
    <n v="1"/>
    <x v="0"/>
    <n v="1"/>
    <x v="0"/>
    <d v="2025-11-09T00:00:00"/>
    <n v="1"/>
    <n v="1"/>
    <n v="3"/>
    <n v="3"/>
    <s v="Lead"/>
    <x v="0"/>
  </r>
  <r>
    <s v="L1289"/>
    <x v="0"/>
    <x v="2"/>
    <d v="2025-10-23T00:00:00"/>
    <n v="1"/>
    <m/>
    <n v="0"/>
    <m/>
    <n v="0"/>
    <m/>
    <n v="0"/>
    <x v="1"/>
    <n v="0"/>
    <x v="4"/>
    <m/>
    <m/>
    <m/>
    <m/>
    <m/>
    <s v="Cancelled (Lead Stage)"/>
    <x v="0"/>
  </r>
  <r>
    <s v="L1291"/>
    <x v="0"/>
    <x v="0"/>
    <d v="2025-10-23T00:00:00"/>
    <n v="1"/>
    <d v="2025-10-28T00:00:00"/>
    <n v="1"/>
    <d v="2025-11-01T00:00:00"/>
    <n v="1"/>
    <d v="2025-11-06T00:00:00"/>
    <n v="1"/>
    <x v="0"/>
    <n v="1"/>
    <x v="0"/>
    <d v="2025-11-19T00:00:00"/>
    <n v="5"/>
    <n v="4"/>
    <n v="5"/>
    <n v="1"/>
    <s v="Lead"/>
    <x v="0"/>
  </r>
  <r>
    <s v="L1352"/>
    <x v="2"/>
    <x v="0"/>
    <d v="2025-10-23T00:00:00"/>
    <n v="1"/>
    <d v="2025-10-26T00:00:00"/>
    <n v="1"/>
    <d v="2025-10-28T00:00:00"/>
    <n v="1"/>
    <d v="2025-11-04T00:00:00"/>
    <n v="1"/>
    <x v="0"/>
    <n v="1"/>
    <x v="0"/>
    <d v="2025-11-26T00:00:00"/>
    <n v="3"/>
    <n v="2"/>
    <n v="7"/>
    <n v="5"/>
    <s v="Lead"/>
    <x v="0"/>
  </r>
  <r>
    <s v="L1398"/>
    <x v="2"/>
    <x v="0"/>
    <d v="2025-10-23T00:00:00"/>
    <n v="1"/>
    <d v="2025-10-28T00:00:00"/>
    <n v="1"/>
    <d v="2025-10-29T00:00:00"/>
    <n v="1"/>
    <d v="2025-11-01T00:00:00"/>
    <n v="1"/>
    <x v="0"/>
    <n v="1"/>
    <x v="0"/>
    <d v="2025-11-19T00:00:00"/>
    <n v="5"/>
    <n v="1"/>
    <n v="3"/>
    <n v="6"/>
    <s v="Lead"/>
    <x v="0"/>
  </r>
  <r>
    <s v="L1406"/>
    <x v="0"/>
    <x v="1"/>
    <d v="2025-10-23T00:00:00"/>
    <n v="1"/>
    <d v="2025-10-27T00:00:00"/>
    <n v="1"/>
    <d v="2025-10-29T00:00:00"/>
    <n v="1"/>
    <d v="2025-10-31T00:00:00"/>
    <n v="1"/>
    <x v="0"/>
    <n v="1"/>
    <x v="0"/>
    <d v="2025-11-11T00:00:00"/>
    <n v="4"/>
    <n v="2"/>
    <n v="2"/>
    <n v="7"/>
    <s v="Lead"/>
    <x v="1"/>
  </r>
  <r>
    <s v="L1426"/>
    <x v="1"/>
    <x v="0"/>
    <d v="2025-10-23T00:00:00"/>
    <n v="1"/>
    <d v="2025-10-27T00:00:00"/>
    <n v="1"/>
    <d v="2025-10-30T00:00:00"/>
    <n v="1"/>
    <d v="2025-11-02T00:00:00"/>
    <n v="1"/>
    <x v="0"/>
    <n v="1"/>
    <x v="0"/>
    <d v="2025-11-16T00:00:00"/>
    <n v="4"/>
    <n v="3"/>
    <n v="3"/>
    <n v="6"/>
    <s v="Lead"/>
    <x v="0"/>
  </r>
  <r>
    <s v="L1429"/>
    <x v="1"/>
    <x v="1"/>
    <d v="2025-10-23T00:00:00"/>
    <n v="1"/>
    <d v="2025-10-28T00:00:00"/>
    <n v="1"/>
    <d v="2025-10-30T00:00:00"/>
    <n v="1"/>
    <d v="2025-11-06T00:00:00"/>
    <n v="1"/>
    <x v="0"/>
    <n v="1"/>
    <x v="0"/>
    <d v="2025-11-26T00:00:00"/>
    <n v="5"/>
    <n v="2"/>
    <n v="7"/>
    <n v="6"/>
    <s v="Lead"/>
    <x v="0"/>
  </r>
  <r>
    <s v="L1485"/>
    <x v="3"/>
    <x v="0"/>
    <d v="2025-10-23T00:00:00"/>
    <n v="1"/>
    <d v="2025-10-25T00:00:00"/>
    <n v="1"/>
    <d v="2025-10-29T00:00:00"/>
    <n v="1"/>
    <d v="2025-11-02T00:00:00"/>
    <n v="1"/>
    <x v="1"/>
    <n v="0"/>
    <x v="5"/>
    <m/>
    <n v="2"/>
    <n v="4"/>
    <n v="4"/>
    <m/>
    <s v="Cancelled (Lead Stage)"/>
    <x v="0"/>
  </r>
  <r>
    <s v="L1497"/>
    <x v="3"/>
    <x v="2"/>
    <d v="2025-10-23T00:00:00"/>
    <n v="1"/>
    <m/>
    <n v="0"/>
    <m/>
    <n v="0"/>
    <m/>
    <n v="0"/>
    <x v="1"/>
    <n v="0"/>
    <x v="1"/>
    <m/>
    <m/>
    <m/>
    <m/>
    <m/>
    <s v="Cancelled (Lead Stage)"/>
    <x v="0"/>
  </r>
  <r>
    <s v="L1537"/>
    <x v="1"/>
    <x v="1"/>
    <d v="2025-10-23T00:00:00"/>
    <n v="1"/>
    <d v="2025-10-27T00:00:00"/>
    <n v="1"/>
    <d v="2025-10-31T00:00:00"/>
    <n v="1"/>
    <d v="2025-11-03T00:00:00"/>
    <n v="1"/>
    <x v="0"/>
    <n v="1"/>
    <x v="0"/>
    <d v="2025-11-28T00:00:00"/>
    <n v="4"/>
    <n v="4"/>
    <n v="3"/>
    <n v="3"/>
    <s v="Lead"/>
    <x v="0"/>
  </r>
  <r>
    <s v="L1551"/>
    <x v="3"/>
    <x v="1"/>
    <d v="2025-10-23T00:00:00"/>
    <n v="1"/>
    <d v="2025-10-27T00:00:00"/>
    <n v="1"/>
    <d v="2025-10-29T00:00:00"/>
    <n v="1"/>
    <d v="2025-11-05T00:00:00"/>
    <n v="1"/>
    <x v="0"/>
    <n v="1"/>
    <x v="0"/>
    <d v="2025-11-23T00:00:00"/>
    <n v="4"/>
    <n v="2"/>
    <n v="7"/>
    <n v="3"/>
    <s v="Lead"/>
    <x v="0"/>
  </r>
  <r>
    <s v="L1572"/>
    <x v="3"/>
    <x v="1"/>
    <d v="2025-10-23T00:00:00"/>
    <n v="1"/>
    <d v="2025-10-28T00:00:00"/>
    <n v="1"/>
    <d v="2025-10-31T00:00:00"/>
    <n v="1"/>
    <d v="2025-11-07T00:00:00"/>
    <n v="1"/>
    <x v="0"/>
    <n v="1"/>
    <x v="0"/>
    <d v="2025-12-04T00:00:00"/>
    <n v="5"/>
    <n v="3"/>
    <n v="7"/>
    <n v="1"/>
    <s v="Lead"/>
    <x v="0"/>
  </r>
  <r>
    <s v="L1577"/>
    <x v="0"/>
    <x v="1"/>
    <d v="2025-10-23T00:00:00"/>
    <n v="1"/>
    <d v="2025-10-25T00:00:00"/>
    <n v="1"/>
    <d v="2025-10-27T00:00:00"/>
    <n v="1"/>
    <d v="2025-10-30T00:00:00"/>
    <n v="1"/>
    <x v="0"/>
    <n v="1"/>
    <x v="0"/>
    <d v="2025-11-18T00:00:00"/>
    <n v="2"/>
    <n v="2"/>
    <n v="3"/>
    <n v="3"/>
    <s v="Lead"/>
    <x v="0"/>
  </r>
  <r>
    <s v="L1635"/>
    <x v="0"/>
    <x v="1"/>
    <d v="2025-10-23T00:00:00"/>
    <n v="1"/>
    <d v="2025-10-26T00:00:00"/>
    <n v="1"/>
    <d v="2025-10-31T00:00:00"/>
    <n v="1"/>
    <d v="2025-11-03T00:00:00"/>
    <n v="1"/>
    <x v="1"/>
    <n v="0"/>
    <x v="1"/>
    <m/>
    <n v="3"/>
    <n v="5"/>
    <n v="3"/>
    <m/>
    <s v="Cancelled (Lead Stage)"/>
    <x v="0"/>
  </r>
  <r>
    <s v="L1651"/>
    <x v="3"/>
    <x v="0"/>
    <d v="2025-10-23T00:00:00"/>
    <n v="1"/>
    <d v="2025-10-27T00:00:00"/>
    <n v="1"/>
    <d v="2025-10-28T00:00:00"/>
    <n v="1"/>
    <d v="2025-10-31T00:00:00"/>
    <n v="1"/>
    <x v="1"/>
    <n v="0"/>
    <x v="1"/>
    <m/>
    <n v="4"/>
    <n v="1"/>
    <n v="3"/>
    <m/>
    <s v="Cancelled (Lead Stage)"/>
    <x v="0"/>
  </r>
  <r>
    <s v="L1793"/>
    <x v="1"/>
    <x v="1"/>
    <d v="2025-10-23T00:00:00"/>
    <n v="1"/>
    <d v="2025-10-26T00:00:00"/>
    <n v="1"/>
    <d v="2025-10-29T00:00:00"/>
    <n v="1"/>
    <d v="2025-11-02T00:00:00"/>
    <n v="1"/>
    <x v="0"/>
    <n v="1"/>
    <x v="0"/>
    <d v="2025-11-19T00:00:00"/>
    <n v="3"/>
    <n v="3"/>
    <n v="4"/>
    <n v="1"/>
    <s v="Lead"/>
    <x v="0"/>
  </r>
  <r>
    <s v="L1816"/>
    <x v="3"/>
    <x v="1"/>
    <d v="2025-10-23T00:00:00"/>
    <n v="1"/>
    <d v="2025-10-25T00:00:00"/>
    <n v="1"/>
    <d v="2025-10-26T00:00:00"/>
    <n v="1"/>
    <d v="2025-11-01T00:00:00"/>
    <n v="1"/>
    <x v="1"/>
    <n v="0"/>
    <x v="2"/>
    <m/>
    <n v="2"/>
    <n v="1"/>
    <n v="6"/>
    <m/>
    <s v="Cancelled (Lead Stage)"/>
    <x v="0"/>
  </r>
  <r>
    <s v="L1836"/>
    <x v="3"/>
    <x v="0"/>
    <d v="2025-10-23T00:00:00"/>
    <n v="1"/>
    <d v="2025-10-27T00:00:00"/>
    <n v="1"/>
    <d v="2025-10-29T00:00:00"/>
    <n v="1"/>
    <d v="2025-11-03T00:00:00"/>
    <n v="1"/>
    <x v="0"/>
    <n v="1"/>
    <x v="0"/>
    <d v="2025-11-16T00:00:00"/>
    <n v="4"/>
    <n v="2"/>
    <n v="5"/>
    <n v="2"/>
    <s v="Lead"/>
    <x v="0"/>
  </r>
  <r>
    <s v="L1957"/>
    <x v="1"/>
    <x v="0"/>
    <d v="2025-10-23T00:00:00"/>
    <n v="1"/>
    <d v="2025-10-26T00:00:00"/>
    <n v="1"/>
    <d v="2025-10-27T00:00:00"/>
    <n v="1"/>
    <d v="2025-10-31T00:00:00"/>
    <n v="1"/>
    <x v="0"/>
    <n v="1"/>
    <x v="0"/>
    <d v="2025-11-11T00:00:00"/>
    <n v="3"/>
    <n v="1"/>
    <n v="4"/>
    <n v="10"/>
    <s v="Lead"/>
    <x v="2"/>
  </r>
  <r>
    <s v="L1973"/>
    <x v="2"/>
    <x v="0"/>
    <d v="2025-10-23T00:00:00"/>
    <n v="1"/>
    <d v="2025-10-24T00:00:00"/>
    <n v="1"/>
    <d v="2025-10-25T00:00:00"/>
    <n v="1"/>
    <d v="2025-10-28T00:00:00"/>
    <n v="1"/>
    <x v="0"/>
    <n v="1"/>
    <x v="0"/>
    <d v="2025-11-26T00:00:00"/>
    <n v="1"/>
    <n v="1"/>
    <n v="3"/>
    <n v="9"/>
    <s v="Lead"/>
    <x v="2"/>
  </r>
  <r>
    <s v="L1985"/>
    <x v="2"/>
    <x v="1"/>
    <d v="2025-10-23T00:00:00"/>
    <n v="1"/>
    <d v="2025-10-25T00:00:00"/>
    <n v="1"/>
    <d v="2025-10-28T00:00:00"/>
    <n v="1"/>
    <d v="2025-11-04T00:00:00"/>
    <n v="1"/>
    <x v="0"/>
    <n v="1"/>
    <x v="0"/>
    <d v="2025-11-28T00:00:00"/>
    <n v="2"/>
    <n v="3"/>
    <n v="7"/>
    <n v="7"/>
    <s v="Lead"/>
    <x v="1"/>
  </r>
  <r>
    <s v="L1050"/>
    <x v="1"/>
    <x v="1"/>
    <d v="2025-10-22T00:00:00"/>
    <n v="1"/>
    <d v="2025-10-24T00:00:00"/>
    <n v="1"/>
    <d v="2025-10-25T00:00:00"/>
    <n v="1"/>
    <d v="2025-10-31T00:00:00"/>
    <n v="1"/>
    <x v="0"/>
    <n v="1"/>
    <x v="0"/>
    <d v="2025-11-14T00:00:00"/>
    <n v="2"/>
    <n v="1"/>
    <n v="6"/>
    <n v="6"/>
    <s v="Lead"/>
    <x v="0"/>
  </r>
  <r>
    <s v="L1098"/>
    <x v="0"/>
    <x v="0"/>
    <d v="2025-10-22T00:00:00"/>
    <n v="1"/>
    <d v="2025-10-26T00:00:00"/>
    <n v="1"/>
    <d v="2025-10-31T00:00:00"/>
    <n v="1"/>
    <d v="2025-11-07T00:00:00"/>
    <n v="1"/>
    <x v="0"/>
    <n v="1"/>
    <x v="0"/>
    <d v="2025-11-21T00:00:00"/>
    <n v="4"/>
    <n v="5"/>
    <n v="7"/>
    <n v="0"/>
    <s v="Lead"/>
    <x v="0"/>
  </r>
  <r>
    <s v="L1186"/>
    <x v="0"/>
    <x v="0"/>
    <d v="2025-10-22T00:00:00"/>
    <n v="1"/>
    <d v="2025-10-25T00:00:00"/>
    <n v="1"/>
    <d v="2025-10-26T00:00:00"/>
    <n v="1"/>
    <d v="2025-10-28T00:00:00"/>
    <n v="1"/>
    <x v="0"/>
    <n v="1"/>
    <x v="0"/>
    <d v="2025-11-12T00:00:00"/>
    <n v="3"/>
    <n v="1"/>
    <n v="2"/>
    <n v="3"/>
    <s v="Lead"/>
    <x v="0"/>
  </r>
  <r>
    <s v="L1229"/>
    <x v="1"/>
    <x v="0"/>
    <d v="2025-10-22T00:00:00"/>
    <n v="1"/>
    <d v="2025-10-24T00:00:00"/>
    <n v="1"/>
    <d v="2025-10-25T00:00:00"/>
    <n v="1"/>
    <d v="2025-10-28T00:00:00"/>
    <n v="1"/>
    <x v="0"/>
    <n v="1"/>
    <x v="0"/>
    <d v="2025-11-18T00:00:00"/>
    <n v="2"/>
    <n v="1"/>
    <n v="3"/>
    <n v="2"/>
    <s v="Lead"/>
    <x v="0"/>
  </r>
  <r>
    <s v="L1253"/>
    <x v="2"/>
    <x v="0"/>
    <d v="2025-10-22T00:00:00"/>
    <n v="1"/>
    <d v="2025-10-27T00:00:00"/>
    <n v="1"/>
    <d v="2025-10-28T00:00:00"/>
    <n v="1"/>
    <d v="2025-10-31T00:00:00"/>
    <n v="1"/>
    <x v="0"/>
    <n v="1"/>
    <x v="0"/>
    <d v="2025-11-22T00:00:00"/>
    <n v="5"/>
    <n v="1"/>
    <n v="3"/>
    <n v="4"/>
    <s v="Lead"/>
    <x v="0"/>
  </r>
  <r>
    <s v="L1261"/>
    <x v="0"/>
    <x v="0"/>
    <d v="2025-10-22T00:00:00"/>
    <n v="1"/>
    <d v="2025-10-24T00:00:00"/>
    <n v="1"/>
    <d v="2025-10-27T00:00:00"/>
    <n v="1"/>
    <d v="2025-10-31T00:00:00"/>
    <n v="1"/>
    <x v="0"/>
    <n v="1"/>
    <x v="0"/>
    <d v="2025-11-30T00:00:00"/>
    <n v="2"/>
    <n v="3"/>
    <n v="4"/>
    <n v="9"/>
    <s v="Lead"/>
    <x v="2"/>
  </r>
  <r>
    <s v="L1312"/>
    <x v="2"/>
    <x v="0"/>
    <d v="2025-10-22T00:00:00"/>
    <n v="1"/>
    <d v="2025-10-23T00:00:00"/>
    <n v="1"/>
    <d v="2025-10-24T00:00:00"/>
    <n v="1"/>
    <d v="2025-10-30T00:00:00"/>
    <n v="1"/>
    <x v="0"/>
    <n v="1"/>
    <x v="0"/>
    <d v="2025-11-24T00:00:00"/>
    <n v="1"/>
    <n v="1"/>
    <n v="6"/>
    <n v="6"/>
    <s v="Lead"/>
    <x v="0"/>
  </r>
  <r>
    <s v="L1320"/>
    <x v="2"/>
    <x v="0"/>
    <d v="2025-10-22T00:00:00"/>
    <n v="1"/>
    <d v="2025-10-26T00:00:00"/>
    <n v="1"/>
    <d v="2025-10-30T00:00:00"/>
    <n v="1"/>
    <d v="2025-11-01T00:00:00"/>
    <n v="1"/>
    <x v="0"/>
    <n v="1"/>
    <x v="0"/>
    <d v="2025-11-29T00:00:00"/>
    <n v="4"/>
    <n v="4"/>
    <n v="2"/>
    <n v="4"/>
    <s v="Lead"/>
    <x v="0"/>
  </r>
  <r>
    <s v="L1346"/>
    <x v="0"/>
    <x v="0"/>
    <d v="2025-10-22T00:00:00"/>
    <n v="1"/>
    <d v="2025-10-24T00:00:00"/>
    <n v="1"/>
    <d v="2025-10-25T00:00:00"/>
    <n v="1"/>
    <d v="2025-10-29T00:00:00"/>
    <n v="1"/>
    <x v="0"/>
    <n v="1"/>
    <x v="0"/>
    <d v="2025-11-16T00:00:00"/>
    <n v="2"/>
    <n v="1"/>
    <n v="4"/>
    <n v="4"/>
    <s v="Lead"/>
    <x v="0"/>
  </r>
  <r>
    <s v="L1355"/>
    <x v="0"/>
    <x v="0"/>
    <d v="2025-10-22T00:00:00"/>
    <n v="1"/>
    <d v="2025-10-24T00:00:00"/>
    <n v="1"/>
    <d v="2025-10-28T00:00:00"/>
    <n v="1"/>
    <d v="2025-11-04T00:00:00"/>
    <n v="1"/>
    <x v="0"/>
    <n v="1"/>
    <x v="0"/>
    <d v="2025-11-26T00:00:00"/>
    <n v="2"/>
    <n v="4"/>
    <n v="7"/>
    <n v="3"/>
    <s v="Lead"/>
    <x v="0"/>
  </r>
  <r>
    <s v="L1374"/>
    <x v="3"/>
    <x v="1"/>
    <d v="2025-10-22T00:00:00"/>
    <n v="1"/>
    <d v="2025-10-25T00:00:00"/>
    <n v="1"/>
    <d v="2025-10-26T00:00:00"/>
    <n v="1"/>
    <d v="2025-10-28T00:00:00"/>
    <n v="1"/>
    <x v="0"/>
    <n v="1"/>
    <x v="0"/>
    <d v="2025-11-25T00:00:00"/>
    <n v="3"/>
    <n v="1"/>
    <n v="2"/>
    <n v="9"/>
    <s v="Lead"/>
    <x v="2"/>
  </r>
  <r>
    <s v="L1467"/>
    <x v="2"/>
    <x v="0"/>
    <d v="2025-10-22T00:00:00"/>
    <n v="1"/>
    <d v="2025-10-24T00:00:00"/>
    <n v="1"/>
    <d v="2025-10-28T00:00:00"/>
    <n v="1"/>
    <d v="2025-11-01T00:00:00"/>
    <n v="1"/>
    <x v="0"/>
    <n v="1"/>
    <x v="0"/>
    <d v="2025-11-17T00:00:00"/>
    <n v="2"/>
    <n v="4"/>
    <n v="4"/>
    <n v="1"/>
    <s v="Lead"/>
    <x v="0"/>
  </r>
  <r>
    <s v="L1502"/>
    <x v="1"/>
    <x v="0"/>
    <d v="2025-10-22T00:00:00"/>
    <n v="1"/>
    <d v="2025-10-26T00:00:00"/>
    <n v="1"/>
    <d v="2025-10-31T00:00:00"/>
    <n v="1"/>
    <d v="2025-11-06T00:00:00"/>
    <n v="1"/>
    <x v="0"/>
    <n v="1"/>
    <x v="0"/>
    <d v="2025-11-21T00:00:00"/>
    <n v="4"/>
    <n v="5"/>
    <n v="6"/>
    <n v="5"/>
    <s v="Lead"/>
    <x v="0"/>
  </r>
  <r>
    <s v="L1544"/>
    <x v="1"/>
    <x v="1"/>
    <d v="2025-10-22T00:00:00"/>
    <n v="1"/>
    <d v="2025-10-23T00:00:00"/>
    <n v="1"/>
    <d v="2025-10-25T00:00:00"/>
    <n v="1"/>
    <d v="2025-10-31T00:00:00"/>
    <n v="1"/>
    <x v="0"/>
    <n v="1"/>
    <x v="0"/>
    <d v="2025-11-29T00:00:00"/>
    <n v="1"/>
    <n v="2"/>
    <n v="6"/>
    <n v="1"/>
    <s v="Lead"/>
    <x v="0"/>
  </r>
  <r>
    <s v="L1562"/>
    <x v="2"/>
    <x v="0"/>
    <d v="2025-10-22T00:00:00"/>
    <n v="1"/>
    <d v="2025-10-23T00:00:00"/>
    <n v="1"/>
    <d v="2025-10-25T00:00:00"/>
    <n v="1"/>
    <d v="2025-10-27T00:00:00"/>
    <n v="1"/>
    <x v="0"/>
    <n v="1"/>
    <x v="0"/>
    <d v="2025-11-15T00:00:00"/>
    <n v="1"/>
    <n v="2"/>
    <n v="2"/>
    <n v="1"/>
    <s v="Lead"/>
    <x v="0"/>
  </r>
  <r>
    <s v="L1594"/>
    <x v="0"/>
    <x v="0"/>
    <d v="2025-10-22T00:00:00"/>
    <n v="1"/>
    <d v="2025-10-26T00:00:00"/>
    <n v="1"/>
    <d v="2025-10-28T00:00:00"/>
    <n v="1"/>
    <d v="2025-11-04T00:00:00"/>
    <n v="1"/>
    <x v="0"/>
    <n v="1"/>
    <x v="0"/>
    <d v="2025-11-23T00:00:00"/>
    <n v="4"/>
    <n v="2"/>
    <n v="7"/>
    <n v="2"/>
    <s v="Lead"/>
    <x v="0"/>
  </r>
  <r>
    <s v="L1604"/>
    <x v="0"/>
    <x v="1"/>
    <d v="2025-10-22T00:00:00"/>
    <n v="1"/>
    <d v="2025-10-23T00:00:00"/>
    <n v="1"/>
    <d v="2025-10-24T00:00:00"/>
    <n v="1"/>
    <d v="2025-10-31T00:00:00"/>
    <n v="1"/>
    <x v="0"/>
    <n v="1"/>
    <x v="0"/>
    <d v="2025-11-20T00:00:00"/>
    <n v="1"/>
    <n v="1"/>
    <n v="7"/>
    <n v="9"/>
    <s v="Lead"/>
    <x v="2"/>
  </r>
  <r>
    <s v="L1616"/>
    <x v="1"/>
    <x v="0"/>
    <d v="2025-10-22T00:00:00"/>
    <n v="1"/>
    <d v="2025-10-27T00:00:00"/>
    <n v="1"/>
    <d v="2025-10-28T00:00:00"/>
    <n v="1"/>
    <d v="2025-10-31T00:00:00"/>
    <n v="1"/>
    <x v="0"/>
    <n v="1"/>
    <x v="0"/>
    <d v="2025-11-28T00:00:00"/>
    <n v="5"/>
    <n v="1"/>
    <n v="3"/>
    <n v="3"/>
    <s v="Lead"/>
    <x v="0"/>
  </r>
  <r>
    <s v="L1623"/>
    <x v="1"/>
    <x v="0"/>
    <d v="2025-10-22T00:00:00"/>
    <n v="1"/>
    <d v="2025-10-27T00:00:00"/>
    <n v="1"/>
    <d v="2025-11-01T00:00:00"/>
    <n v="1"/>
    <d v="2025-11-08T00:00:00"/>
    <n v="1"/>
    <x v="0"/>
    <n v="1"/>
    <x v="0"/>
    <d v="2025-11-25T00:00:00"/>
    <n v="5"/>
    <n v="5"/>
    <n v="7"/>
    <n v="8"/>
    <s v="Lead"/>
    <x v="1"/>
  </r>
  <r>
    <s v="L1655"/>
    <x v="3"/>
    <x v="2"/>
    <d v="2025-10-22T00:00:00"/>
    <n v="1"/>
    <m/>
    <n v="0"/>
    <m/>
    <n v="0"/>
    <m/>
    <n v="0"/>
    <x v="1"/>
    <n v="0"/>
    <x v="1"/>
    <m/>
    <m/>
    <m/>
    <m/>
    <m/>
    <s v="Cancelled (Lead Stage)"/>
    <x v="0"/>
  </r>
  <r>
    <s v="L1661"/>
    <x v="3"/>
    <x v="0"/>
    <d v="2025-10-22T00:00:00"/>
    <n v="1"/>
    <d v="2025-10-26T00:00:00"/>
    <n v="1"/>
    <d v="2025-10-27T00:00:00"/>
    <n v="1"/>
    <d v="2025-10-31T00:00:00"/>
    <n v="1"/>
    <x v="0"/>
    <n v="1"/>
    <x v="0"/>
    <d v="2025-11-23T00:00:00"/>
    <n v="4"/>
    <n v="1"/>
    <n v="4"/>
    <n v="9"/>
    <s v="Lead"/>
    <x v="2"/>
  </r>
  <r>
    <s v="L1684"/>
    <x v="3"/>
    <x v="2"/>
    <d v="2025-10-22T00:00:00"/>
    <n v="1"/>
    <m/>
    <n v="0"/>
    <m/>
    <n v="0"/>
    <m/>
    <n v="0"/>
    <x v="1"/>
    <n v="0"/>
    <x v="1"/>
    <m/>
    <m/>
    <m/>
    <m/>
    <m/>
    <s v="Cancelled (Lead Stage)"/>
    <x v="0"/>
  </r>
  <r>
    <s v="L1688"/>
    <x v="3"/>
    <x v="0"/>
    <d v="2025-10-22T00:00:00"/>
    <n v="1"/>
    <d v="2025-10-25T00:00:00"/>
    <n v="1"/>
    <d v="2025-10-30T00:00:00"/>
    <n v="1"/>
    <d v="2025-11-02T00:00:00"/>
    <n v="1"/>
    <x v="0"/>
    <n v="1"/>
    <x v="0"/>
    <d v="2025-11-15T00:00:00"/>
    <n v="3"/>
    <n v="5"/>
    <n v="3"/>
    <n v="5"/>
    <s v="Lead"/>
    <x v="0"/>
  </r>
  <r>
    <s v="L1689"/>
    <x v="1"/>
    <x v="1"/>
    <d v="2025-10-22T00:00:00"/>
    <n v="1"/>
    <d v="2025-10-26T00:00:00"/>
    <n v="1"/>
    <d v="2025-10-27T00:00:00"/>
    <n v="1"/>
    <d v="2025-10-31T00:00:00"/>
    <n v="1"/>
    <x v="0"/>
    <n v="1"/>
    <x v="0"/>
    <d v="2025-11-22T00:00:00"/>
    <n v="4"/>
    <n v="1"/>
    <n v="4"/>
    <n v="2"/>
    <s v="Lead"/>
    <x v="0"/>
  </r>
  <r>
    <s v="L1746"/>
    <x v="1"/>
    <x v="0"/>
    <d v="2025-10-22T00:00:00"/>
    <n v="1"/>
    <d v="2025-10-27T00:00:00"/>
    <n v="1"/>
    <d v="2025-10-29T00:00:00"/>
    <n v="1"/>
    <d v="2025-10-31T00:00:00"/>
    <n v="1"/>
    <x v="1"/>
    <n v="0"/>
    <x v="1"/>
    <m/>
    <n v="5"/>
    <n v="2"/>
    <n v="2"/>
    <m/>
    <s v="Cancelled (Lead Stage)"/>
    <x v="0"/>
  </r>
  <r>
    <s v="L1748"/>
    <x v="0"/>
    <x v="0"/>
    <d v="2025-10-22T00:00:00"/>
    <n v="1"/>
    <d v="2025-10-23T00:00:00"/>
    <n v="1"/>
    <d v="2025-10-27T00:00:00"/>
    <n v="1"/>
    <d v="2025-11-02T00:00:00"/>
    <n v="1"/>
    <x v="0"/>
    <n v="1"/>
    <x v="0"/>
    <d v="2025-11-12T00:00:00"/>
    <n v="1"/>
    <n v="4"/>
    <n v="6"/>
    <n v="7"/>
    <s v="Lead"/>
    <x v="1"/>
  </r>
  <r>
    <s v="L1764"/>
    <x v="3"/>
    <x v="2"/>
    <d v="2025-10-22T00:00:00"/>
    <n v="1"/>
    <m/>
    <n v="0"/>
    <m/>
    <n v="0"/>
    <m/>
    <n v="0"/>
    <x v="1"/>
    <n v="0"/>
    <x v="5"/>
    <m/>
    <m/>
    <m/>
    <m/>
    <m/>
    <s v="Cancelled (Lead Stage)"/>
    <x v="0"/>
  </r>
  <r>
    <s v="L1766"/>
    <x v="0"/>
    <x v="2"/>
    <d v="2025-10-22T00:00:00"/>
    <n v="1"/>
    <m/>
    <n v="0"/>
    <m/>
    <n v="0"/>
    <m/>
    <n v="0"/>
    <x v="1"/>
    <n v="0"/>
    <x v="1"/>
    <m/>
    <m/>
    <m/>
    <m/>
    <m/>
    <s v="Cancelled (Lead Stage)"/>
    <x v="0"/>
  </r>
  <r>
    <s v="L1775"/>
    <x v="3"/>
    <x v="1"/>
    <d v="2025-10-22T00:00:00"/>
    <n v="1"/>
    <d v="2025-10-24T00:00:00"/>
    <n v="1"/>
    <d v="2025-10-29T00:00:00"/>
    <n v="1"/>
    <d v="2025-11-03T00:00:00"/>
    <n v="1"/>
    <x v="0"/>
    <n v="1"/>
    <x v="0"/>
    <d v="2025-11-29T00:00:00"/>
    <n v="2"/>
    <n v="5"/>
    <n v="5"/>
    <n v="10"/>
    <s v="Lead"/>
    <x v="2"/>
  </r>
  <r>
    <s v="L1813"/>
    <x v="1"/>
    <x v="2"/>
    <d v="2025-10-22T00:00:00"/>
    <n v="1"/>
    <m/>
    <n v="0"/>
    <m/>
    <n v="0"/>
    <m/>
    <n v="0"/>
    <x v="1"/>
    <n v="0"/>
    <x v="4"/>
    <m/>
    <m/>
    <m/>
    <m/>
    <m/>
    <s v="Cancelled (Lead Stage)"/>
    <x v="0"/>
  </r>
  <r>
    <s v="L1846"/>
    <x v="1"/>
    <x v="0"/>
    <d v="2025-10-22T00:00:00"/>
    <n v="1"/>
    <d v="2025-10-26T00:00:00"/>
    <n v="1"/>
    <d v="2025-10-30T00:00:00"/>
    <n v="1"/>
    <d v="2025-11-01T00:00:00"/>
    <n v="1"/>
    <x v="0"/>
    <n v="1"/>
    <x v="0"/>
    <d v="2025-11-11T00:00:00"/>
    <n v="4"/>
    <n v="4"/>
    <n v="2"/>
    <n v="3"/>
    <s v="Lead"/>
    <x v="0"/>
  </r>
  <r>
    <s v="L1863"/>
    <x v="2"/>
    <x v="0"/>
    <d v="2025-10-22T00:00:00"/>
    <n v="1"/>
    <d v="2025-10-26T00:00:00"/>
    <n v="1"/>
    <d v="2025-10-30T00:00:00"/>
    <n v="1"/>
    <d v="2025-11-05T00:00:00"/>
    <n v="1"/>
    <x v="0"/>
    <n v="1"/>
    <x v="0"/>
    <d v="2025-11-18T00:00:00"/>
    <n v="4"/>
    <n v="4"/>
    <n v="6"/>
    <n v="9"/>
    <s v="Lead"/>
    <x v="2"/>
  </r>
  <r>
    <s v="L1903"/>
    <x v="3"/>
    <x v="0"/>
    <d v="2025-10-22T00:00:00"/>
    <n v="1"/>
    <d v="2025-10-25T00:00:00"/>
    <n v="1"/>
    <d v="2025-10-29T00:00:00"/>
    <n v="1"/>
    <d v="2025-11-03T00:00:00"/>
    <n v="1"/>
    <x v="0"/>
    <n v="1"/>
    <x v="0"/>
    <d v="2025-11-29T00:00:00"/>
    <n v="3"/>
    <n v="4"/>
    <n v="5"/>
    <n v="9"/>
    <s v="Lead"/>
    <x v="2"/>
  </r>
  <r>
    <s v="L1942"/>
    <x v="3"/>
    <x v="1"/>
    <d v="2025-10-22T00:00:00"/>
    <n v="1"/>
    <d v="2025-10-25T00:00:00"/>
    <n v="1"/>
    <d v="2025-10-29T00:00:00"/>
    <n v="1"/>
    <d v="2025-11-02T00:00:00"/>
    <n v="1"/>
    <x v="0"/>
    <n v="1"/>
    <x v="0"/>
    <d v="2025-11-17T00:00:00"/>
    <n v="3"/>
    <n v="4"/>
    <n v="4"/>
    <n v="4"/>
    <s v="Lead"/>
    <x v="0"/>
  </r>
  <r>
    <s v="L1954"/>
    <x v="1"/>
    <x v="1"/>
    <d v="2025-10-22T00:00:00"/>
    <n v="1"/>
    <d v="2025-10-23T00:00:00"/>
    <n v="1"/>
    <d v="2025-10-26T00:00:00"/>
    <n v="1"/>
    <d v="2025-10-31T00:00:00"/>
    <n v="1"/>
    <x v="0"/>
    <n v="1"/>
    <x v="0"/>
    <d v="2025-11-13T00:00:00"/>
    <n v="1"/>
    <n v="3"/>
    <n v="5"/>
    <n v="1"/>
    <s v="Lead"/>
    <x v="0"/>
  </r>
  <r>
    <s v="L1000"/>
    <x v="1"/>
    <x v="0"/>
    <d v="2025-10-21T00:00:00"/>
    <n v="1"/>
    <d v="2025-10-25T00:00:00"/>
    <n v="1"/>
    <d v="2025-10-29T00:00:00"/>
    <n v="1"/>
    <d v="2025-11-03T00:00:00"/>
    <n v="1"/>
    <x v="0"/>
    <n v="1"/>
    <x v="0"/>
    <d v="2025-11-28T00:00:00"/>
    <n v="4"/>
    <n v="4"/>
    <n v="5"/>
    <n v="2"/>
    <s v="Lead"/>
    <x v="0"/>
  </r>
  <r>
    <s v="L1011"/>
    <x v="2"/>
    <x v="0"/>
    <d v="2025-10-21T00:00:00"/>
    <n v="1"/>
    <d v="2025-10-24T00:00:00"/>
    <n v="1"/>
    <d v="2025-10-28T00:00:00"/>
    <n v="1"/>
    <d v="2025-10-30T00:00:00"/>
    <n v="1"/>
    <x v="0"/>
    <n v="1"/>
    <x v="0"/>
    <d v="2025-11-10T00:00:00"/>
    <n v="3"/>
    <n v="4"/>
    <n v="2"/>
    <n v="0"/>
    <s v="Lead"/>
    <x v="0"/>
  </r>
  <r>
    <s v="L1022"/>
    <x v="2"/>
    <x v="0"/>
    <d v="2025-10-21T00:00:00"/>
    <n v="1"/>
    <d v="2025-10-24T00:00:00"/>
    <n v="1"/>
    <d v="2025-10-29T00:00:00"/>
    <n v="1"/>
    <d v="2025-11-01T00:00:00"/>
    <n v="1"/>
    <x v="0"/>
    <n v="1"/>
    <x v="0"/>
    <d v="2025-11-17T00:00:00"/>
    <n v="3"/>
    <n v="5"/>
    <n v="3"/>
    <n v="8"/>
    <s v="Lead"/>
    <x v="1"/>
  </r>
  <r>
    <s v="L1085"/>
    <x v="2"/>
    <x v="2"/>
    <d v="2025-10-21T00:00:00"/>
    <n v="1"/>
    <m/>
    <n v="0"/>
    <m/>
    <n v="0"/>
    <m/>
    <n v="0"/>
    <x v="1"/>
    <n v="0"/>
    <x v="5"/>
    <m/>
    <m/>
    <m/>
    <m/>
    <m/>
    <s v="Cancelled (Lead Stage)"/>
    <x v="0"/>
  </r>
  <r>
    <s v="L1158"/>
    <x v="0"/>
    <x v="2"/>
    <d v="2025-10-21T00:00:00"/>
    <n v="1"/>
    <m/>
    <n v="0"/>
    <m/>
    <n v="0"/>
    <m/>
    <n v="0"/>
    <x v="1"/>
    <n v="0"/>
    <x v="5"/>
    <m/>
    <m/>
    <m/>
    <m/>
    <m/>
    <s v="Cancelled (Lead Stage)"/>
    <x v="0"/>
  </r>
  <r>
    <s v="L1185"/>
    <x v="2"/>
    <x v="0"/>
    <d v="2025-10-21T00:00:00"/>
    <n v="1"/>
    <d v="2025-10-22T00:00:00"/>
    <n v="1"/>
    <d v="2025-10-27T00:00:00"/>
    <n v="1"/>
    <d v="2025-10-31T00:00:00"/>
    <n v="1"/>
    <x v="0"/>
    <n v="1"/>
    <x v="0"/>
    <d v="2025-11-30T00:00:00"/>
    <n v="1"/>
    <n v="5"/>
    <n v="4"/>
    <n v="2"/>
    <s v="Lead"/>
    <x v="0"/>
  </r>
  <r>
    <s v="L1226"/>
    <x v="3"/>
    <x v="0"/>
    <d v="2025-10-21T00:00:00"/>
    <n v="1"/>
    <d v="2025-10-23T00:00:00"/>
    <n v="1"/>
    <d v="2025-10-28T00:00:00"/>
    <n v="1"/>
    <d v="2025-11-03T00:00:00"/>
    <n v="1"/>
    <x v="1"/>
    <n v="0"/>
    <x v="3"/>
    <m/>
    <n v="2"/>
    <n v="5"/>
    <n v="6"/>
    <m/>
    <s v="Cancelled (Lead Stage)"/>
    <x v="0"/>
  </r>
  <r>
    <s v="L1259"/>
    <x v="2"/>
    <x v="0"/>
    <d v="2025-10-21T00:00:00"/>
    <n v="1"/>
    <d v="2025-10-24T00:00:00"/>
    <n v="1"/>
    <d v="2025-10-28T00:00:00"/>
    <n v="1"/>
    <d v="2025-11-03T00:00:00"/>
    <n v="1"/>
    <x v="0"/>
    <n v="1"/>
    <x v="0"/>
    <d v="2025-11-21T00:00:00"/>
    <n v="3"/>
    <n v="4"/>
    <n v="6"/>
    <n v="4"/>
    <s v="Lead"/>
    <x v="0"/>
  </r>
  <r>
    <s v="L1269"/>
    <x v="2"/>
    <x v="0"/>
    <d v="2025-10-21T00:00:00"/>
    <n v="1"/>
    <d v="2025-10-24T00:00:00"/>
    <n v="1"/>
    <d v="2025-10-26T00:00:00"/>
    <n v="1"/>
    <d v="2025-10-28T00:00:00"/>
    <n v="1"/>
    <x v="0"/>
    <n v="1"/>
    <x v="0"/>
    <d v="2025-11-19T00:00:00"/>
    <n v="3"/>
    <n v="2"/>
    <n v="2"/>
    <n v="1"/>
    <s v="Lead"/>
    <x v="0"/>
  </r>
  <r>
    <s v="L1330"/>
    <x v="3"/>
    <x v="1"/>
    <d v="2025-10-21T00:00:00"/>
    <n v="1"/>
    <d v="2025-10-25T00:00:00"/>
    <n v="1"/>
    <d v="2025-10-28T00:00:00"/>
    <n v="1"/>
    <d v="2025-11-02T00:00:00"/>
    <n v="1"/>
    <x v="0"/>
    <n v="1"/>
    <x v="0"/>
    <d v="2025-11-17T00:00:00"/>
    <n v="4"/>
    <n v="3"/>
    <n v="5"/>
    <n v="1"/>
    <s v="Lead"/>
    <x v="0"/>
  </r>
  <r>
    <s v="L1337"/>
    <x v="3"/>
    <x v="2"/>
    <d v="2025-10-21T00:00:00"/>
    <n v="1"/>
    <m/>
    <n v="0"/>
    <m/>
    <n v="0"/>
    <m/>
    <n v="0"/>
    <x v="1"/>
    <n v="0"/>
    <x v="2"/>
    <m/>
    <m/>
    <m/>
    <m/>
    <m/>
    <s v="Cancelled (Lead Stage)"/>
    <x v="0"/>
  </r>
  <r>
    <s v="L1386"/>
    <x v="0"/>
    <x v="0"/>
    <d v="2025-10-21T00:00:00"/>
    <n v="1"/>
    <d v="2025-10-26T00:00:00"/>
    <n v="1"/>
    <d v="2025-10-29T00:00:00"/>
    <n v="1"/>
    <d v="2025-11-01T00:00:00"/>
    <n v="1"/>
    <x v="0"/>
    <n v="1"/>
    <x v="0"/>
    <d v="2025-11-24T00:00:00"/>
    <n v="5"/>
    <n v="3"/>
    <n v="3"/>
    <n v="5"/>
    <s v="Lead"/>
    <x v="0"/>
  </r>
  <r>
    <s v="L1402"/>
    <x v="3"/>
    <x v="0"/>
    <d v="2025-10-21T00:00:00"/>
    <n v="1"/>
    <d v="2025-10-25T00:00:00"/>
    <n v="1"/>
    <d v="2025-10-29T00:00:00"/>
    <n v="1"/>
    <d v="2025-10-31T00:00:00"/>
    <n v="1"/>
    <x v="0"/>
    <n v="1"/>
    <x v="0"/>
    <d v="2025-11-29T00:00:00"/>
    <n v="4"/>
    <n v="4"/>
    <n v="2"/>
    <n v="7"/>
    <s v="Lead"/>
    <x v="1"/>
  </r>
  <r>
    <s v="L1421"/>
    <x v="2"/>
    <x v="1"/>
    <d v="2025-10-21T00:00:00"/>
    <n v="1"/>
    <d v="2025-10-24T00:00:00"/>
    <n v="1"/>
    <d v="2025-10-29T00:00:00"/>
    <n v="1"/>
    <d v="2025-11-03T00:00:00"/>
    <n v="1"/>
    <x v="0"/>
    <n v="1"/>
    <x v="0"/>
    <d v="2025-11-21T00:00:00"/>
    <n v="3"/>
    <n v="5"/>
    <n v="5"/>
    <n v="7"/>
    <s v="Lead"/>
    <x v="1"/>
  </r>
  <r>
    <s v="L1505"/>
    <x v="0"/>
    <x v="0"/>
    <d v="2025-10-21T00:00:00"/>
    <n v="1"/>
    <d v="2025-10-23T00:00:00"/>
    <n v="1"/>
    <d v="2025-10-27T00:00:00"/>
    <n v="1"/>
    <d v="2025-10-31T00:00:00"/>
    <n v="1"/>
    <x v="0"/>
    <n v="1"/>
    <x v="0"/>
    <d v="2025-11-27T00:00:00"/>
    <n v="2"/>
    <n v="4"/>
    <n v="4"/>
    <n v="10"/>
    <s v="Lead"/>
    <x v="2"/>
  </r>
  <r>
    <s v="L1529"/>
    <x v="0"/>
    <x v="2"/>
    <d v="2025-10-21T00:00:00"/>
    <n v="1"/>
    <m/>
    <n v="0"/>
    <m/>
    <n v="0"/>
    <m/>
    <n v="0"/>
    <x v="1"/>
    <n v="0"/>
    <x v="5"/>
    <m/>
    <m/>
    <m/>
    <m/>
    <m/>
    <s v="Cancelled (Lead Stage)"/>
    <x v="0"/>
  </r>
  <r>
    <s v="L1539"/>
    <x v="1"/>
    <x v="0"/>
    <d v="2025-10-21T00:00:00"/>
    <n v="1"/>
    <d v="2025-10-23T00:00:00"/>
    <n v="1"/>
    <d v="2025-10-27T00:00:00"/>
    <n v="1"/>
    <d v="2025-10-30T00:00:00"/>
    <n v="1"/>
    <x v="1"/>
    <n v="0"/>
    <x v="1"/>
    <m/>
    <n v="2"/>
    <n v="4"/>
    <n v="3"/>
    <m/>
    <s v="Cancelled (Lead Stage)"/>
    <x v="0"/>
  </r>
  <r>
    <s v="L1550"/>
    <x v="3"/>
    <x v="0"/>
    <d v="2025-10-21T00:00:00"/>
    <n v="1"/>
    <d v="2025-10-22T00:00:00"/>
    <n v="1"/>
    <d v="2025-10-24T00:00:00"/>
    <n v="1"/>
    <d v="2025-10-28T00:00:00"/>
    <n v="1"/>
    <x v="0"/>
    <n v="1"/>
    <x v="0"/>
    <d v="2025-11-27T00:00:00"/>
    <n v="1"/>
    <n v="2"/>
    <n v="4"/>
    <n v="3"/>
    <s v="Lead"/>
    <x v="0"/>
  </r>
  <r>
    <s v="L1561"/>
    <x v="2"/>
    <x v="2"/>
    <d v="2025-10-21T00:00:00"/>
    <n v="1"/>
    <m/>
    <n v="0"/>
    <m/>
    <n v="0"/>
    <m/>
    <n v="0"/>
    <x v="1"/>
    <n v="0"/>
    <x v="1"/>
    <m/>
    <m/>
    <m/>
    <m/>
    <m/>
    <s v="Cancelled (Lead Stage)"/>
    <x v="0"/>
  </r>
  <r>
    <s v="L1571"/>
    <x v="1"/>
    <x v="0"/>
    <d v="2025-10-21T00:00:00"/>
    <n v="1"/>
    <d v="2025-10-24T00:00:00"/>
    <n v="1"/>
    <d v="2025-10-29T00:00:00"/>
    <n v="1"/>
    <d v="2025-11-05T00:00:00"/>
    <n v="1"/>
    <x v="0"/>
    <n v="1"/>
    <x v="0"/>
    <d v="2025-11-26T00:00:00"/>
    <n v="3"/>
    <n v="5"/>
    <n v="7"/>
    <n v="2"/>
    <s v="Lead"/>
    <x v="0"/>
  </r>
  <r>
    <s v="L1612"/>
    <x v="3"/>
    <x v="0"/>
    <d v="2025-10-21T00:00:00"/>
    <n v="1"/>
    <d v="2025-10-25T00:00:00"/>
    <n v="1"/>
    <d v="2025-10-30T00:00:00"/>
    <n v="1"/>
    <d v="2025-11-01T00:00:00"/>
    <n v="1"/>
    <x v="0"/>
    <n v="1"/>
    <x v="0"/>
    <d v="2025-11-23T00:00:00"/>
    <n v="4"/>
    <n v="5"/>
    <n v="2"/>
    <n v="8"/>
    <s v="Lead"/>
    <x v="1"/>
  </r>
  <r>
    <s v="L1632"/>
    <x v="2"/>
    <x v="1"/>
    <d v="2025-10-21T00:00:00"/>
    <n v="1"/>
    <d v="2025-10-22T00:00:00"/>
    <n v="1"/>
    <d v="2025-10-24T00:00:00"/>
    <n v="1"/>
    <d v="2025-10-26T00:00:00"/>
    <n v="1"/>
    <x v="0"/>
    <n v="1"/>
    <x v="0"/>
    <d v="2025-11-21T00:00:00"/>
    <n v="1"/>
    <n v="2"/>
    <n v="2"/>
    <n v="9"/>
    <s v="Lead"/>
    <x v="2"/>
  </r>
  <r>
    <s v="L1680"/>
    <x v="2"/>
    <x v="0"/>
    <d v="2025-10-21T00:00:00"/>
    <n v="1"/>
    <d v="2025-10-22T00:00:00"/>
    <n v="1"/>
    <d v="2025-10-23T00:00:00"/>
    <n v="1"/>
    <d v="2025-10-29T00:00:00"/>
    <n v="1"/>
    <x v="0"/>
    <n v="1"/>
    <x v="0"/>
    <d v="2025-11-10T00:00:00"/>
    <n v="1"/>
    <n v="1"/>
    <n v="6"/>
    <n v="2"/>
    <s v="Lead"/>
    <x v="0"/>
  </r>
  <r>
    <s v="L1692"/>
    <x v="0"/>
    <x v="1"/>
    <d v="2025-10-21T00:00:00"/>
    <n v="1"/>
    <d v="2025-10-23T00:00:00"/>
    <n v="1"/>
    <d v="2025-10-24T00:00:00"/>
    <n v="1"/>
    <d v="2025-10-31T00:00:00"/>
    <n v="1"/>
    <x v="0"/>
    <n v="1"/>
    <x v="0"/>
    <d v="2025-11-23T00:00:00"/>
    <n v="2"/>
    <n v="1"/>
    <n v="7"/>
    <n v="8"/>
    <s v="Lead"/>
    <x v="1"/>
  </r>
  <r>
    <s v="L1695"/>
    <x v="0"/>
    <x v="1"/>
    <d v="2025-10-21T00:00:00"/>
    <n v="1"/>
    <d v="2025-10-23T00:00:00"/>
    <n v="1"/>
    <d v="2025-10-25T00:00:00"/>
    <n v="1"/>
    <d v="2025-10-30T00:00:00"/>
    <n v="1"/>
    <x v="0"/>
    <n v="1"/>
    <x v="0"/>
    <d v="2025-11-13T00:00:00"/>
    <n v="2"/>
    <n v="2"/>
    <n v="5"/>
    <n v="2"/>
    <s v="Lead"/>
    <x v="0"/>
  </r>
  <r>
    <s v="L1696"/>
    <x v="2"/>
    <x v="0"/>
    <d v="2025-10-21T00:00:00"/>
    <n v="1"/>
    <d v="2025-10-25T00:00:00"/>
    <n v="1"/>
    <d v="2025-10-29T00:00:00"/>
    <n v="1"/>
    <d v="2025-11-02T00:00:00"/>
    <n v="1"/>
    <x v="0"/>
    <n v="1"/>
    <x v="0"/>
    <d v="2025-11-18T00:00:00"/>
    <n v="4"/>
    <n v="4"/>
    <n v="4"/>
    <n v="9"/>
    <s v="Lead"/>
    <x v="2"/>
  </r>
  <r>
    <s v="L1771"/>
    <x v="3"/>
    <x v="2"/>
    <d v="2025-10-21T00:00:00"/>
    <n v="1"/>
    <m/>
    <n v="0"/>
    <m/>
    <n v="0"/>
    <m/>
    <n v="0"/>
    <x v="1"/>
    <n v="0"/>
    <x v="4"/>
    <m/>
    <m/>
    <m/>
    <m/>
    <m/>
    <s v="Cancelled (Lead Stage)"/>
    <x v="0"/>
  </r>
  <r>
    <s v="L1787"/>
    <x v="0"/>
    <x v="0"/>
    <d v="2025-10-21T00:00:00"/>
    <n v="1"/>
    <d v="2025-10-24T00:00:00"/>
    <n v="1"/>
    <d v="2025-10-29T00:00:00"/>
    <n v="1"/>
    <d v="2025-11-01T00:00:00"/>
    <n v="1"/>
    <x v="0"/>
    <n v="1"/>
    <x v="0"/>
    <d v="2025-11-22T00:00:00"/>
    <n v="3"/>
    <n v="5"/>
    <n v="3"/>
    <n v="3"/>
    <s v="Lead"/>
    <x v="0"/>
  </r>
  <r>
    <s v="L1789"/>
    <x v="0"/>
    <x v="1"/>
    <d v="2025-10-21T00:00:00"/>
    <n v="1"/>
    <d v="2025-10-23T00:00:00"/>
    <n v="1"/>
    <d v="2025-10-26T00:00:00"/>
    <n v="1"/>
    <d v="2025-10-29T00:00:00"/>
    <n v="1"/>
    <x v="0"/>
    <n v="1"/>
    <x v="0"/>
    <d v="2025-11-13T00:00:00"/>
    <n v="2"/>
    <n v="3"/>
    <n v="3"/>
    <n v="3"/>
    <s v="Lead"/>
    <x v="0"/>
  </r>
  <r>
    <s v="L1795"/>
    <x v="3"/>
    <x v="0"/>
    <d v="2025-10-21T00:00:00"/>
    <n v="1"/>
    <d v="2025-10-24T00:00:00"/>
    <n v="1"/>
    <d v="2025-10-28T00:00:00"/>
    <n v="1"/>
    <d v="2025-10-30T00:00:00"/>
    <n v="1"/>
    <x v="0"/>
    <n v="1"/>
    <x v="0"/>
    <d v="2025-11-13T00:00:00"/>
    <n v="3"/>
    <n v="4"/>
    <n v="2"/>
    <n v="4"/>
    <s v="Lead"/>
    <x v="0"/>
  </r>
  <r>
    <s v="L1826"/>
    <x v="3"/>
    <x v="0"/>
    <d v="2025-10-21T00:00:00"/>
    <n v="1"/>
    <d v="2025-10-22T00:00:00"/>
    <n v="1"/>
    <d v="2025-10-25T00:00:00"/>
    <n v="1"/>
    <d v="2025-10-29T00:00:00"/>
    <n v="1"/>
    <x v="0"/>
    <n v="1"/>
    <x v="0"/>
    <d v="2025-11-08T00:00:00"/>
    <n v="1"/>
    <n v="3"/>
    <n v="4"/>
    <n v="6"/>
    <s v="Lead"/>
    <x v="0"/>
  </r>
  <r>
    <s v="L1850"/>
    <x v="2"/>
    <x v="0"/>
    <d v="2025-10-21T00:00:00"/>
    <n v="1"/>
    <d v="2025-10-23T00:00:00"/>
    <n v="1"/>
    <d v="2025-10-28T00:00:00"/>
    <n v="1"/>
    <d v="2025-10-30T00:00:00"/>
    <n v="1"/>
    <x v="0"/>
    <n v="1"/>
    <x v="0"/>
    <d v="2025-11-12T00:00:00"/>
    <n v="2"/>
    <n v="5"/>
    <n v="2"/>
    <n v="4"/>
    <s v="Lead"/>
    <x v="0"/>
  </r>
  <r>
    <s v="L1865"/>
    <x v="1"/>
    <x v="2"/>
    <d v="2025-10-21T00:00:00"/>
    <n v="1"/>
    <m/>
    <n v="0"/>
    <m/>
    <n v="0"/>
    <m/>
    <n v="0"/>
    <x v="1"/>
    <n v="0"/>
    <x v="5"/>
    <m/>
    <m/>
    <m/>
    <m/>
    <m/>
    <s v="Cancelled (Lead Stage)"/>
    <x v="0"/>
  </r>
  <r>
    <s v="L1866"/>
    <x v="2"/>
    <x v="0"/>
    <d v="2025-10-21T00:00:00"/>
    <n v="1"/>
    <d v="2025-10-24T00:00:00"/>
    <n v="1"/>
    <d v="2025-10-26T00:00:00"/>
    <n v="1"/>
    <d v="2025-10-28T00:00:00"/>
    <n v="1"/>
    <x v="0"/>
    <n v="1"/>
    <x v="0"/>
    <d v="2025-11-10T00:00:00"/>
    <n v="3"/>
    <n v="2"/>
    <n v="2"/>
    <n v="9"/>
    <s v="Lead"/>
    <x v="2"/>
  </r>
  <r>
    <s v="L1946"/>
    <x v="0"/>
    <x v="1"/>
    <d v="2025-10-21T00:00:00"/>
    <n v="1"/>
    <d v="2025-10-25T00:00:00"/>
    <n v="1"/>
    <d v="2025-10-30T00:00:00"/>
    <n v="1"/>
    <d v="2025-11-01T00:00:00"/>
    <n v="1"/>
    <x v="0"/>
    <n v="1"/>
    <x v="0"/>
    <d v="2025-11-25T00:00:00"/>
    <n v="4"/>
    <n v="5"/>
    <n v="2"/>
    <n v="6"/>
    <s v="Lead"/>
    <x v="0"/>
  </r>
  <r>
    <s v="L1970"/>
    <x v="3"/>
    <x v="1"/>
    <d v="2025-10-21T00:00:00"/>
    <n v="1"/>
    <d v="2025-10-22T00:00:00"/>
    <n v="1"/>
    <d v="2025-10-25T00:00:00"/>
    <n v="1"/>
    <d v="2025-11-01T00:00:00"/>
    <n v="1"/>
    <x v="0"/>
    <n v="1"/>
    <x v="0"/>
    <d v="2025-11-23T00:00:00"/>
    <n v="1"/>
    <n v="3"/>
    <n v="7"/>
    <n v="10"/>
    <s v="Lead"/>
    <x v="2"/>
  </r>
  <r>
    <s v="L1988"/>
    <x v="1"/>
    <x v="0"/>
    <d v="2025-10-21T00:00:00"/>
    <n v="1"/>
    <d v="2025-10-24T00:00:00"/>
    <n v="1"/>
    <d v="2025-10-26T00:00:00"/>
    <n v="1"/>
    <d v="2025-11-01T00:00:00"/>
    <n v="1"/>
    <x v="0"/>
    <n v="1"/>
    <x v="0"/>
    <d v="2025-11-19T00:00:00"/>
    <n v="3"/>
    <n v="2"/>
    <n v="6"/>
    <n v="4"/>
    <s v="Lead"/>
    <x v="0"/>
  </r>
  <r>
    <s v="L1989"/>
    <x v="0"/>
    <x v="2"/>
    <d v="2025-10-21T00:00:00"/>
    <n v="1"/>
    <m/>
    <n v="0"/>
    <m/>
    <n v="0"/>
    <m/>
    <n v="0"/>
    <x v="1"/>
    <n v="0"/>
    <x v="5"/>
    <m/>
    <m/>
    <m/>
    <m/>
    <m/>
    <s v="Cancelled (Lead Stage)"/>
    <x v="0"/>
  </r>
  <r>
    <s v="L1024"/>
    <x v="2"/>
    <x v="0"/>
    <d v="2025-10-20T00:00:00"/>
    <n v="1"/>
    <d v="2025-10-25T00:00:00"/>
    <n v="1"/>
    <d v="2025-10-27T00:00:00"/>
    <n v="1"/>
    <d v="2025-11-03T00:00:00"/>
    <n v="1"/>
    <x v="0"/>
    <n v="1"/>
    <x v="0"/>
    <d v="2025-11-23T00:00:00"/>
    <n v="5"/>
    <n v="2"/>
    <n v="7"/>
    <n v="1"/>
    <s v="Lead"/>
    <x v="0"/>
  </r>
  <r>
    <s v="L1049"/>
    <x v="1"/>
    <x v="1"/>
    <d v="2025-10-20T00:00:00"/>
    <n v="1"/>
    <d v="2025-10-24T00:00:00"/>
    <n v="1"/>
    <d v="2025-10-28T00:00:00"/>
    <n v="1"/>
    <d v="2025-11-02T00:00:00"/>
    <n v="1"/>
    <x v="0"/>
    <n v="1"/>
    <x v="0"/>
    <d v="2025-11-22T00:00:00"/>
    <n v="4"/>
    <n v="4"/>
    <n v="5"/>
    <n v="6"/>
    <s v="Lead"/>
    <x v="0"/>
  </r>
  <r>
    <s v="L1066"/>
    <x v="1"/>
    <x v="0"/>
    <d v="2025-10-20T00:00:00"/>
    <n v="1"/>
    <d v="2025-10-25T00:00:00"/>
    <n v="1"/>
    <d v="2025-10-28T00:00:00"/>
    <n v="1"/>
    <d v="2025-11-01T00:00:00"/>
    <n v="1"/>
    <x v="0"/>
    <n v="1"/>
    <x v="0"/>
    <d v="2025-11-23T00:00:00"/>
    <n v="5"/>
    <n v="3"/>
    <n v="4"/>
    <n v="4"/>
    <s v="Lead"/>
    <x v="0"/>
  </r>
  <r>
    <s v="L1136"/>
    <x v="2"/>
    <x v="0"/>
    <d v="2025-10-20T00:00:00"/>
    <n v="1"/>
    <d v="2025-10-24T00:00:00"/>
    <n v="1"/>
    <d v="2025-10-29T00:00:00"/>
    <n v="1"/>
    <d v="2025-11-05T00:00:00"/>
    <n v="1"/>
    <x v="0"/>
    <n v="1"/>
    <x v="0"/>
    <d v="2025-11-20T00:00:00"/>
    <n v="4"/>
    <n v="5"/>
    <n v="7"/>
    <n v="0"/>
    <s v="Lead"/>
    <x v="0"/>
  </r>
  <r>
    <s v="L1200"/>
    <x v="3"/>
    <x v="1"/>
    <d v="2025-10-20T00:00:00"/>
    <n v="1"/>
    <d v="2025-10-23T00:00:00"/>
    <n v="1"/>
    <d v="2025-10-26T00:00:00"/>
    <n v="1"/>
    <d v="2025-11-01T00:00:00"/>
    <n v="1"/>
    <x v="0"/>
    <n v="1"/>
    <x v="0"/>
    <d v="2025-11-24T00:00:00"/>
    <n v="3"/>
    <n v="3"/>
    <n v="6"/>
    <n v="6"/>
    <s v="Lead"/>
    <x v="0"/>
  </r>
  <r>
    <s v="L1201"/>
    <x v="2"/>
    <x v="1"/>
    <d v="2025-10-20T00:00:00"/>
    <n v="1"/>
    <d v="2025-10-22T00:00:00"/>
    <n v="1"/>
    <d v="2025-10-24T00:00:00"/>
    <n v="1"/>
    <d v="2025-10-31T00:00:00"/>
    <n v="1"/>
    <x v="0"/>
    <n v="1"/>
    <x v="0"/>
    <d v="2025-11-27T00:00:00"/>
    <n v="2"/>
    <n v="2"/>
    <n v="7"/>
    <n v="2"/>
    <s v="Lead"/>
    <x v="0"/>
  </r>
  <r>
    <s v="L1203"/>
    <x v="2"/>
    <x v="0"/>
    <d v="2025-10-20T00:00:00"/>
    <n v="1"/>
    <d v="2025-10-24T00:00:00"/>
    <n v="1"/>
    <d v="2025-10-27T00:00:00"/>
    <n v="1"/>
    <d v="2025-11-03T00:00:00"/>
    <n v="1"/>
    <x v="0"/>
    <n v="1"/>
    <x v="0"/>
    <d v="2025-11-21T00:00:00"/>
    <n v="4"/>
    <n v="3"/>
    <n v="7"/>
    <n v="9"/>
    <s v="Lead"/>
    <x v="2"/>
  </r>
  <r>
    <s v="L1217"/>
    <x v="2"/>
    <x v="0"/>
    <d v="2025-10-20T00:00:00"/>
    <n v="1"/>
    <d v="2025-10-24T00:00:00"/>
    <n v="1"/>
    <d v="2025-10-29T00:00:00"/>
    <n v="1"/>
    <d v="2025-11-01T00:00:00"/>
    <n v="1"/>
    <x v="1"/>
    <n v="0"/>
    <x v="1"/>
    <m/>
    <n v="4"/>
    <n v="5"/>
    <n v="3"/>
    <m/>
    <s v="Cancelled (Lead Stage)"/>
    <x v="0"/>
  </r>
  <r>
    <s v="L1219"/>
    <x v="0"/>
    <x v="2"/>
    <d v="2025-10-20T00:00:00"/>
    <n v="1"/>
    <m/>
    <n v="0"/>
    <m/>
    <n v="0"/>
    <m/>
    <n v="0"/>
    <x v="1"/>
    <n v="0"/>
    <x v="4"/>
    <m/>
    <m/>
    <m/>
    <m/>
    <m/>
    <s v="Cancelled (Lead Stage)"/>
    <x v="0"/>
  </r>
  <r>
    <s v="L1241"/>
    <x v="3"/>
    <x v="1"/>
    <d v="2025-10-20T00:00:00"/>
    <n v="1"/>
    <d v="2025-10-22T00:00:00"/>
    <n v="1"/>
    <d v="2025-10-26T00:00:00"/>
    <n v="1"/>
    <d v="2025-10-28T00:00:00"/>
    <n v="1"/>
    <x v="0"/>
    <n v="1"/>
    <x v="0"/>
    <d v="2025-11-07T00:00:00"/>
    <n v="2"/>
    <n v="4"/>
    <n v="2"/>
    <n v="1"/>
    <s v="Lead"/>
    <x v="0"/>
  </r>
  <r>
    <s v="L1280"/>
    <x v="1"/>
    <x v="0"/>
    <d v="2025-10-20T00:00:00"/>
    <n v="1"/>
    <d v="2025-10-21T00:00:00"/>
    <n v="1"/>
    <d v="2025-10-25T00:00:00"/>
    <n v="1"/>
    <d v="2025-10-30T00:00:00"/>
    <n v="1"/>
    <x v="0"/>
    <n v="1"/>
    <x v="0"/>
    <d v="2025-11-16T00:00:00"/>
    <n v="1"/>
    <n v="4"/>
    <n v="5"/>
    <n v="8"/>
    <s v="Lead"/>
    <x v="1"/>
  </r>
  <r>
    <s v="L1300"/>
    <x v="2"/>
    <x v="2"/>
    <d v="2025-10-20T00:00:00"/>
    <n v="1"/>
    <m/>
    <n v="0"/>
    <m/>
    <n v="0"/>
    <m/>
    <n v="0"/>
    <x v="1"/>
    <n v="0"/>
    <x v="1"/>
    <m/>
    <m/>
    <m/>
    <m/>
    <m/>
    <s v="Cancelled (Lead Stage)"/>
    <x v="0"/>
  </r>
  <r>
    <s v="L1306"/>
    <x v="3"/>
    <x v="0"/>
    <d v="2025-10-20T00:00:00"/>
    <n v="1"/>
    <d v="2025-10-25T00:00:00"/>
    <n v="1"/>
    <d v="2025-10-30T00:00:00"/>
    <n v="1"/>
    <d v="2025-11-04T00:00:00"/>
    <n v="1"/>
    <x v="0"/>
    <n v="1"/>
    <x v="0"/>
    <d v="2025-11-30T00:00:00"/>
    <n v="5"/>
    <n v="5"/>
    <n v="5"/>
    <n v="8"/>
    <s v="Lead"/>
    <x v="1"/>
  </r>
  <r>
    <s v="L1383"/>
    <x v="1"/>
    <x v="1"/>
    <d v="2025-10-20T00:00:00"/>
    <n v="1"/>
    <d v="2025-10-21T00:00:00"/>
    <n v="1"/>
    <d v="2025-10-23T00:00:00"/>
    <n v="1"/>
    <d v="2025-10-28T00:00:00"/>
    <n v="1"/>
    <x v="0"/>
    <n v="1"/>
    <x v="0"/>
    <d v="2025-11-18T00:00:00"/>
    <n v="1"/>
    <n v="2"/>
    <n v="5"/>
    <n v="9"/>
    <s v="Lead"/>
    <x v="2"/>
  </r>
  <r>
    <s v="L1403"/>
    <x v="2"/>
    <x v="2"/>
    <d v="2025-10-20T00:00:00"/>
    <n v="1"/>
    <m/>
    <n v="0"/>
    <m/>
    <n v="0"/>
    <m/>
    <n v="0"/>
    <x v="1"/>
    <n v="0"/>
    <x v="3"/>
    <m/>
    <m/>
    <m/>
    <m/>
    <m/>
    <s v="Cancelled (Lead Stage)"/>
    <x v="0"/>
  </r>
  <r>
    <s v="L1442"/>
    <x v="0"/>
    <x v="2"/>
    <d v="2025-10-20T00:00:00"/>
    <n v="1"/>
    <m/>
    <n v="0"/>
    <m/>
    <n v="0"/>
    <m/>
    <n v="0"/>
    <x v="1"/>
    <n v="0"/>
    <x v="3"/>
    <m/>
    <m/>
    <m/>
    <m/>
    <m/>
    <s v="Cancelled (Lead Stage)"/>
    <x v="0"/>
  </r>
  <r>
    <s v="L1536"/>
    <x v="0"/>
    <x v="0"/>
    <d v="2025-10-20T00:00:00"/>
    <n v="1"/>
    <d v="2025-10-25T00:00:00"/>
    <n v="1"/>
    <d v="2025-10-30T00:00:00"/>
    <n v="1"/>
    <d v="2025-11-05T00:00:00"/>
    <n v="1"/>
    <x v="0"/>
    <n v="1"/>
    <x v="0"/>
    <d v="2025-11-15T00:00:00"/>
    <n v="5"/>
    <n v="5"/>
    <n v="6"/>
    <n v="0"/>
    <s v="Lead"/>
    <x v="0"/>
  </r>
  <r>
    <s v="L1558"/>
    <x v="2"/>
    <x v="0"/>
    <d v="2025-10-20T00:00:00"/>
    <n v="1"/>
    <d v="2025-10-21T00:00:00"/>
    <n v="1"/>
    <d v="2025-10-25T00:00:00"/>
    <n v="1"/>
    <d v="2025-10-27T00:00:00"/>
    <n v="1"/>
    <x v="0"/>
    <n v="1"/>
    <x v="0"/>
    <d v="2025-11-12T00:00:00"/>
    <n v="1"/>
    <n v="4"/>
    <n v="2"/>
    <n v="6"/>
    <s v="Lead"/>
    <x v="0"/>
  </r>
  <r>
    <s v="L1600"/>
    <x v="2"/>
    <x v="2"/>
    <d v="2025-10-20T00:00:00"/>
    <n v="1"/>
    <m/>
    <n v="0"/>
    <m/>
    <n v="0"/>
    <m/>
    <n v="0"/>
    <x v="1"/>
    <n v="0"/>
    <x v="1"/>
    <m/>
    <m/>
    <m/>
    <m/>
    <m/>
    <s v="Cancelled (Lead Stage)"/>
    <x v="0"/>
  </r>
  <r>
    <s v="L1603"/>
    <x v="2"/>
    <x v="0"/>
    <d v="2025-10-20T00:00:00"/>
    <n v="1"/>
    <d v="2025-10-23T00:00:00"/>
    <n v="1"/>
    <d v="2025-10-26T00:00:00"/>
    <n v="1"/>
    <d v="2025-10-30T00:00:00"/>
    <n v="1"/>
    <x v="0"/>
    <n v="1"/>
    <x v="0"/>
    <d v="2025-11-21T00:00:00"/>
    <n v="3"/>
    <n v="3"/>
    <n v="4"/>
    <n v="6"/>
    <s v="Lead"/>
    <x v="0"/>
  </r>
  <r>
    <s v="L1666"/>
    <x v="0"/>
    <x v="0"/>
    <d v="2025-10-20T00:00:00"/>
    <n v="1"/>
    <d v="2025-10-23T00:00:00"/>
    <n v="1"/>
    <d v="2025-10-27T00:00:00"/>
    <n v="1"/>
    <d v="2025-10-30T00:00:00"/>
    <n v="1"/>
    <x v="0"/>
    <n v="1"/>
    <x v="0"/>
    <d v="2025-11-18T00:00:00"/>
    <n v="3"/>
    <n v="4"/>
    <n v="3"/>
    <n v="7"/>
    <s v="Lead"/>
    <x v="1"/>
  </r>
  <r>
    <s v="L1676"/>
    <x v="1"/>
    <x v="0"/>
    <d v="2025-10-20T00:00:00"/>
    <n v="1"/>
    <d v="2025-10-23T00:00:00"/>
    <n v="1"/>
    <d v="2025-10-28T00:00:00"/>
    <n v="1"/>
    <d v="2025-11-01T00:00:00"/>
    <n v="1"/>
    <x v="0"/>
    <n v="1"/>
    <x v="0"/>
    <d v="2025-11-29T00:00:00"/>
    <n v="3"/>
    <n v="5"/>
    <n v="4"/>
    <n v="10"/>
    <s v="Lead"/>
    <x v="2"/>
  </r>
  <r>
    <s v="L1682"/>
    <x v="0"/>
    <x v="1"/>
    <d v="2025-10-20T00:00:00"/>
    <n v="1"/>
    <d v="2025-10-22T00:00:00"/>
    <n v="1"/>
    <d v="2025-10-25T00:00:00"/>
    <n v="1"/>
    <d v="2025-10-27T00:00:00"/>
    <n v="1"/>
    <x v="0"/>
    <n v="1"/>
    <x v="0"/>
    <d v="2025-11-12T00:00:00"/>
    <n v="2"/>
    <n v="3"/>
    <n v="2"/>
    <n v="8"/>
    <s v="Lead"/>
    <x v="1"/>
  </r>
  <r>
    <s v="L1779"/>
    <x v="1"/>
    <x v="0"/>
    <d v="2025-10-20T00:00:00"/>
    <n v="1"/>
    <d v="2025-10-25T00:00:00"/>
    <n v="1"/>
    <d v="2025-10-26T00:00:00"/>
    <n v="1"/>
    <d v="2025-10-28T00:00:00"/>
    <n v="1"/>
    <x v="0"/>
    <n v="1"/>
    <x v="0"/>
    <d v="2025-11-17T00:00:00"/>
    <n v="5"/>
    <n v="1"/>
    <n v="2"/>
    <n v="2"/>
    <s v="Lead"/>
    <x v="0"/>
  </r>
  <r>
    <s v="L1785"/>
    <x v="0"/>
    <x v="1"/>
    <d v="2025-10-20T00:00:00"/>
    <n v="1"/>
    <d v="2025-10-22T00:00:00"/>
    <n v="1"/>
    <d v="2025-10-23T00:00:00"/>
    <n v="1"/>
    <d v="2025-10-25T00:00:00"/>
    <n v="1"/>
    <x v="0"/>
    <n v="1"/>
    <x v="0"/>
    <d v="2025-11-19T00:00:00"/>
    <n v="2"/>
    <n v="1"/>
    <n v="2"/>
    <n v="7"/>
    <s v="Lead"/>
    <x v="1"/>
  </r>
  <r>
    <s v="L1830"/>
    <x v="2"/>
    <x v="1"/>
    <d v="2025-10-20T00:00:00"/>
    <n v="1"/>
    <d v="2025-10-23T00:00:00"/>
    <n v="1"/>
    <d v="2025-10-27T00:00:00"/>
    <n v="1"/>
    <d v="2025-10-29T00:00:00"/>
    <n v="1"/>
    <x v="1"/>
    <n v="0"/>
    <x v="1"/>
    <m/>
    <n v="3"/>
    <n v="4"/>
    <n v="2"/>
    <m/>
    <s v="Cancelled (Lead Stage)"/>
    <x v="0"/>
  </r>
  <r>
    <s v="L1867"/>
    <x v="3"/>
    <x v="1"/>
    <d v="2025-10-20T00:00:00"/>
    <n v="1"/>
    <d v="2025-10-25T00:00:00"/>
    <n v="1"/>
    <d v="2025-10-28T00:00:00"/>
    <n v="1"/>
    <d v="2025-10-30T00:00:00"/>
    <n v="1"/>
    <x v="0"/>
    <n v="1"/>
    <x v="0"/>
    <d v="2025-11-12T00:00:00"/>
    <n v="5"/>
    <n v="3"/>
    <n v="2"/>
    <n v="9"/>
    <s v="Lead"/>
    <x v="2"/>
  </r>
  <r>
    <s v="L1892"/>
    <x v="1"/>
    <x v="0"/>
    <d v="2025-10-20T00:00:00"/>
    <n v="1"/>
    <d v="2025-10-25T00:00:00"/>
    <n v="1"/>
    <d v="2025-10-27T00:00:00"/>
    <n v="1"/>
    <d v="2025-11-03T00:00:00"/>
    <n v="1"/>
    <x v="0"/>
    <n v="1"/>
    <x v="0"/>
    <d v="2025-11-13T00:00:00"/>
    <n v="5"/>
    <n v="2"/>
    <n v="7"/>
    <n v="7"/>
    <s v="Lead"/>
    <x v="1"/>
  </r>
  <r>
    <s v="L1936"/>
    <x v="2"/>
    <x v="0"/>
    <d v="2025-10-20T00:00:00"/>
    <n v="1"/>
    <d v="2025-10-25T00:00:00"/>
    <n v="1"/>
    <d v="2025-10-30T00:00:00"/>
    <n v="1"/>
    <d v="2025-11-04T00:00:00"/>
    <n v="1"/>
    <x v="0"/>
    <n v="1"/>
    <x v="0"/>
    <d v="2025-11-22T00:00:00"/>
    <n v="5"/>
    <n v="5"/>
    <n v="5"/>
    <n v="4"/>
    <s v="Lead"/>
    <x v="0"/>
  </r>
  <r>
    <s v="L1964"/>
    <x v="1"/>
    <x v="0"/>
    <d v="2025-10-20T00:00:00"/>
    <n v="1"/>
    <d v="2025-10-22T00:00:00"/>
    <n v="1"/>
    <d v="2025-10-25T00:00:00"/>
    <n v="1"/>
    <d v="2025-10-28T00:00:00"/>
    <n v="1"/>
    <x v="0"/>
    <n v="1"/>
    <x v="0"/>
    <d v="2025-11-22T00:00:00"/>
    <n v="2"/>
    <n v="3"/>
    <n v="3"/>
    <n v="9"/>
    <s v="Lead"/>
    <x v="2"/>
  </r>
  <r>
    <s v="L1969"/>
    <x v="1"/>
    <x v="0"/>
    <d v="2025-10-20T00:00:00"/>
    <n v="1"/>
    <d v="2025-10-25T00:00:00"/>
    <n v="1"/>
    <d v="2025-10-29T00:00:00"/>
    <n v="1"/>
    <d v="2025-11-04T00:00:00"/>
    <n v="1"/>
    <x v="0"/>
    <n v="1"/>
    <x v="0"/>
    <d v="2025-12-03T00:00:00"/>
    <n v="5"/>
    <n v="4"/>
    <n v="6"/>
    <n v="6"/>
    <s v="Lead"/>
    <x v="0"/>
  </r>
  <r>
    <s v="L1976"/>
    <x v="3"/>
    <x v="0"/>
    <d v="2025-10-20T00:00:00"/>
    <n v="1"/>
    <d v="2025-10-24T00:00:00"/>
    <n v="1"/>
    <d v="2025-10-27T00:00:00"/>
    <n v="1"/>
    <d v="2025-10-31T00:00:00"/>
    <n v="1"/>
    <x v="1"/>
    <n v="0"/>
    <x v="1"/>
    <m/>
    <n v="4"/>
    <n v="3"/>
    <n v="4"/>
    <m/>
    <s v="Cancelled (Lead Stage)"/>
    <x v="0"/>
  </r>
  <r>
    <s v="L1981"/>
    <x v="0"/>
    <x v="2"/>
    <d v="2025-10-20T00:00:00"/>
    <n v="1"/>
    <m/>
    <n v="0"/>
    <m/>
    <n v="0"/>
    <m/>
    <n v="0"/>
    <x v="1"/>
    <n v="0"/>
    <x v="4"/>
    <m/>
    <m/>
    <m/>
    <m/>
    <m/>
    <s v="Cancelled (Lead Stage)"/>
    <x v="0"/>
  </r>
  <r>
    <s v="L1034"/>
    <x v="0"/>
    <x v="2"/>
    <d v="2025-10-19T00:00:00"/>
    <n v="1"/>
    <m/>
    <n v="0"/>
    <m/>
    <n v="0"/>
    <m/>
    <n v="0"/>
    <x v="1"/>
    <n v="0"/>
    <x v="5"/>
    <m/>
    <m/>
    <m/>
    <m/>
    <m/>
    <s v="Cancelled (Lead Stage)"/>
    <x v="0"/>
  </r>
  <r>
    <s v="L1048"/>
    <x v="3"/>
    <x v="1"/>
    <d v="2025-10-19T00:00:00"/>
    <n v="1"/>
    <d v="2025-10-21T00:00:00"/>
    <n v="1"/>
    <d v="2025-10-26T00:00:00"/>
    <n v="1"/>
    <d v="2025-11-01T00:00:00"/>
    <n v="1"/>
    <x v="0"/>
    <n v="1"/>
    <x v="0"/>
    <d v="2025-11-20T00:00:00"/>
    <n v="2"/>
    <n v="5"/>
    <n v="6"/>
    <n v="0"/>
    <s v="Lead"/>
    <x v="0"/>
  </r>
  <r>
    <s v="L1099"/>
    <x v="1"/>
    <x v="0"/>
    <d v="2025-10-19T00:00:00"/>
    <n v="1"/>
    <d v="2025-10-22T00:00:00"/>
    <n v="1"/>
    <d v="2025-10-27T00:00:00"/>
    <n v="1"/>
    <d v="2025-11-03T00:00:00"/>
    <n v="1"/>
    <x v="0"/>
    <n v="1"/>
    <x v="0"/>
    <d v="2025-11-23T00:00:00"/>
    <n v="3"/>
    <n v="5"/>
    <n v="7"/>
    <n v="10"/>
    <s v="Lead"/>
    <x v="2"/>
  </r>
  <r>
    <s v="L1133"/>
    <x v="3"/>
    <x v="0"/>
    <d v="2025-10-19T00:00:00"/>
    <n v="1"/>
    <d v="2025-10-20T00:00:00"/>
    <n v="1"/>
    <d v="2025-10-22T00:00:00"/>
    <n v="1"/>
    <d v="2025-10-27T00:00:00"/>
    <n v="1"/>
    <x v="0"/>
    <n v="1"/>
    <x v="0"/>
    <d v="2025-11-20T00:00:00"/>
    <n v="1"/>
    <n v="2"/>
    <n v="5"/>
    <n v="2"/>
    <s v="Lead"/>
    <x v="0"/>
  </r>
  <r>
    <s v="L1165"/>
    <x v="0"/>
    <x v="0"/>
    <d v="2025-10-19T00:00:00"/>
    <n v="1"/>
    <d v="2025-10-20T00:00:00"/>
    <n v="1"/>
    <d v="2025-10-21T00:00:00"/>
    <n v="1"/>
    <d v="2025-10-23T00:00:00"/>
    <n v="1"/>
    <x v="0"/>
    <n v="1"/>
    <x v="0"/>
    <d v="2025-11-05T00:00:00"/>
    <n v="1"/>
    <n v="1"/>
    <n v="2"/>
    <n v="2"/>
    <s v="Lead"/>
    <x v="0"/>
  </r>
  <r>
    <s v="L1184"/>
    <x v="1"/>
    <x v="0"/>
    <d v="2025-10-19T00:00:00"/>
    <n v="1"/>
    <d v="2025-10-23T00:00:00"/>
    <n v="1"/>
    <d v="2025-10-28T00:00:00"/>
    <n v="1"/>
    <d v="2025-10-31T00:00:00"/>
    <n v="1"/>
    <x v="0"/>
    <n v="1"/>
    <x v="0"/>
    <d v="2025-11-23T00:00:00"/>
    <n v="4"/>
    <n v="5"/>
    <n v="3"/>
    <n v="3"/>
    <s v="Lead"/>
    <x v="0"/>
  </r>
  <r>
    <s v="L1191"/>
    <x v="3"/>
    <x v="0"/>
    <d v="2025-10-19T00:00:00"/>
    <n v="1"/>
    <d v="2025-10-24T00:00:00"/>
    <n v="1"/>
    <d v="2025-10-28T00:00:00"/>
    <n v="1"/>
    <d v="2025-11-01T00:00:00"/>
    <n v="1"/>
    <x v="0"/>
    <n v="1"/>
    <x v="0"/>
    <d v="2025-11-16T00:00:00"/>
    <n v="5"/>
    <n v="4"/>
    <n v="4"/>
    <n v="10"/>
    <s v="Lead"/>
    <x v="2"/>
  </r>
  <r>
    <s v="L1213"/>
    <x v="1"/>
    <x v="1"/>
    <d v="2025-10-19T00:00:00"/>
    <n v="1"/>
    <d v="2025-10-23T00:00:00"/>
    <n v="1"/>
    <d v="2025-10-26T00:00:00"/>
    <n v="1"/>
    <d v="2025-10-29T00:00:00"/>
    <n v="1"/>
    <x v="0"/>
    <n v="1"/>
    <x v="0"/>
    <d v="2025-11-09T00:00:00"/>
    <n v="4"/>
    <n v="3"/>
    <n v="3"/>
    <n v="2"/>
    <s v="Lead"/>
    <x v="0"/>
  </r>
  <r>
    <s v="L1216"/>
    <x v="3"/>
    <x v="1"/>
    <d v="2025-10-19T00:00:00"/>
    <n v="1"/>
    <d v="2025-10-24T00:00:00"/>
    <n v="1"/>
    <d v="2025-10-27T00:00:00"/>
    <n v="1"/>
    <d v="2025-10-30T00:00:00"/>
    <n v="1"/>
    <x v="0"/>
    <n v="1"/>
    <x v="0"/>
    <d v="2025-11-21T00:00:00"/>
    <n v="5"/>
    <n v="3"/>
    <n v="3"/>
    <n v="0"/>
    <s v="Lead"/>
    <x v="0"/>
  </r>
  <r>
    <s v="L1260"/>
    <x v="2"/>
    <x v="0"/>
    <d v="2025-10-19T00:00:00"/>
    <n v="1"/>
    <d v="2025-10-22T00:00:00"/>
    <n v="1"/>
    <d v="2025-10-27T00:00:00"/>
    <n v="1"/>
    <d v="2025-11-03T00:00:00"/>
    <n v="1"/>
    <x v="0"/>
    <n v="1"/>
    <x v="0"/>
    <d v="2025-11-15T00:00:00"/>
    <n v="3"/>
    <n v="5"/>
    <n v="7"/>
    <n v="2"/>
    <s v="Lead"/>
    <x v="0"/>
  </r>
  <r>
    <s v="L1283"/>
    <x v="3"/>
    <x v="2"/>
    <d v="2025-10-19T00:00:00"/>
    <n v="1"/>
    <m/>
    <n v="0"/>
    <m/>
    <n v="0"/>
    <m/>
    <n v="0"/>
    <x v="1"/>
    <n v="0"/>
    <x v="3"/>
    <m/>
    <m/>
    <m/>
    <m/>
    <m/>
    <s v="Cancelled (Lead Stage)"/>
    <x v="0"/>
  </r>
  <r>
    <s v="L1315"/>
    <x v="1"/>
    <x v="0"/>
    <d v="2025-10-19T00:00:00"/>
    <n v="1"/>
    <d v="2025-10-24T00:00:00"/>
    <n v="1"/>
    <d v="2025-10-28T00:00:00"/>
    <n v="1"/>
    <d v="2025-11-02T00:00:00"/>
    <n v="1"/>
    <x v="0"/>
    <n v="1"/>
    <x v="0"/>
    <d v="2025-11-24T00:00:00"/>
    <n v="5"/>
    <n v="4"/>
    <n v="5"/>
    <n v="5"/>
    <s v="Lead"/>
    <x v="0"/>
  </r>
  <r>
    <s v="L1316"/>
    <x v="1"/>
    <x v="0"/>
    <d v="2025-10-19T00:00:00"/>
    <n v="1"/>
    <d v="2025-10-21T00:00:00"/>
    <n v="1"/>
    <d v="2025-10-22T00:00:00"/>
    <n v="1"/>
    <d v="2025-10-26T00:00:00"/>
    <n v="1"/>
    <x v="0"/>
    <n v="1"/>
    <x v="0"/>
    <d v="2025-11-06T00:00:00"/>
    <n v="2"/>
    <n v="1"/>
    <n v="4"/>
    <n v="9"/>
    <s v="Lead"/>
    <x v="2"/>
  </r>
  <r>
    <s v="L1323"/>
    <x v="3"/>
    <x v="1"/>
    <d v="2025-10-19T00:00:00"/>
    <n v="1"/>
    <d v="2025-10-24T00:00:00"/>
    <n v="1"/>
    <d v="2025-10-29T00:00:00"/>
    <n v="1"/>
    <d v="2025-11-03T00:00:00"/>
    <n v="1"/>
    <x v="0"/>
    <n v="1"/>
    <x v="0"/>
    <d v="2025-11-29T00:00:00"/>
    <n v="5"/>
    <n v="5"/>
    <n v="5"/>
    <n v="2"/>
    <s v="Lead"/>
    <x v="0"/>
  </r>
  <r>
    <s v="L1335"/>
    <x v="0"/>
    <x v="2"/>
    <d v="2025-10-19T00:00:00"/>
    <n v="1"/>
    <m/>
    <n v="0"/>
    <m/>
    <n v="0"/>
    <m/>
    <n v="0"/>
    <x v="1"/>
    <n v="0"/>
    <x v="1"/>
    <m/>
    <m/>
    <m/>
    <m/>
    <m/>
    <s v="Cancelled (Lead Stage)"/>
    <x v="0"/>
  </r>
  <r>
    <s v="L1465"/>
    <x v="0"/>
    <x v="1"/>
    <d v="2025-10-19T00:00:00"/>
    <n v="1"/>
    <d v="2025-10-24T00:00:00"/>
    <n v="1"/>
    <d v="2025-10-27T00:00:00"/>
    <n v="1"/>
    <d v="2025-11-03T00:00:00"/>
    <n v="1"/>
    <x v="0"/>
    <n v="1"/>
    <x v="0"/>
    <d v="2025-11-13T00:00:00"/>
    <n v="5"/>
    <n v="3"/>
    <n v="7"/>
    <n v="4"/>
    <s v="Lead"/>
    <x v="0"/>
  </r>
  <r>
    <s v="L1466"/>
    <x v="3"/>
    <x v="1"/>
    <d v="2025-10-19T00:00:00"/>
    <n v="1"/>
    <d v="2025-10-22T00:00:00"/>
    <n v="1"/>
    <d v="2025-10-24T00:00:00"/>
    <n v="1"/>
    <d v="2025-10-29T00:00:00"/>
    <n v="1"/>
    <x v="0"/>
    <n v="1"/>
    <x v="0"/>
    <d v="2025-11-13T00:00:00"/>
    <n v="3"/>
    <n v="2"/>
    <n v="5"/>
    <n v="1"/>
    <s v="Lead"/>
    <x v="0"/>
  </r>
  <r>
    <s v="L1487"/>
    <x v="0"/>
    <x v="1"/>
    <d v="2025-10-19T00:00:00"/>
    <n v="1"/>
    <d v="2025-10-23T00:00:00"/>
    <n v="1"/>
    <d v="2025-10-24T00:00:00"/>
    <n v="1"/>
    <d v="2025-10-27T00:00:00"/>
    <n v="1"/>
    <x v="0"/>
    <n v="1"/>
    <x v="0"/>
    <d v="2025-11-22T00:00:00"/>
    <n v="4"/>
    <n v="1"/>
    <n v="3"/>
    <n v="4"/>
    <s v="Lead"/>
    <x v="0"/>
  </r>
  <r>
    <s v="L1513"/>
    <x v="1"/>
    <x v="0"/>
    <d v="2025-10-19T00:00:00"/>
    <n v="1"/>
    <d v="2025-10-23T00:00:00"/>
    <n v="1"/>
    <d v="2025-10-25T00:00:00"/>
    <n v="1"/>
    <d v="2025-10-31T00:00:00"/>
    <n v="1"/>
    <x v="0"/>
    <n v="1"/>
    <x v="0"/>
    <d v="2025-11-12T00:00:00"/>
    <n v="4"/>
    <n v="2"/>
    <n v="6"/>
    <n v="3"/>
    <s v="Lead"/>
    <x v="0"/>
  </r>
  <r>
    <s v="L1593"/>
    <x v="3"/>
    <x v="0"/>
    <d v="2025-10-19T00:00:00"/>
    <n v="1"/>
    <d v="2025-10-24T00:00:00"/>
    <n v="1"/>
    <d v="2025-10-28T00:00:00"/>
    <n v="1"/>
    <d v="2025-11-01T00:00:00"/>
    <n v="1"/>
    <x v="0"/>
    <n v="1"/>
    <x v="0"/>
    <d v="2025-12-01T00:00:00"/>
    <n v="5"/>
    <n v="4"/>
    <n v="4"/>
    <n v="7"/>
    <s v="Lead"/>
    <x v="1"/>
  </r>
  <r>
    <s v="L1608"/>
    <x v="1"/>
    <x v="0"/>
    <d v="2025-10-19T00:00:00"/>
    <n v="1"/>
    <d v="2025-10-23T00:00:00"/>
    <n v="1"/>
    <d v="2025-10-27T00:00:00"/>
    <n v="1"/>
    <d v="2025-11-01T00:00:00"/>
    <n v="1"/>
    <x v="0"/>
    <n v="1"/>
    <x v="0"/>
    <d v="2025-11-26T00:00:00"/>
    <n v="4"/>
    <n v="4"/>
    <n v="5"/>
    <n v="0"/>
    <s v="Lead"/>
    <x v="0"/>
  </r>
  <r>
    <s v="L1630"/>
    <x v="1"/>
    <x v="1"/>
    <d v="2025-10-19T00:00:00"/>
    <n v="1"/>
    <d v="2025-10-20T00:00:00"/>
    <n v="1"/>
    <d v="2025-10-25T00:00:00"/>
    <n v="1"/>
    <d v="2025-10-31T00:00:00"/>
    <n v="1"/>
    <x v="0"/>
    <n v="1"/>
    <x v="0"/>
    <d v="2025-11-21T00:00:00"/>
    <n v="1"/>
    <n v="5"/>
    <n v="6"/>
    <n v="1"/>
    <s v="Lead"/>
    <x v="0"/>
  </r>
  <r>
    <s v="L1647"/>
    <x v="1"/>
    <x v="0"/>
    <d v="2025-10-19T00:00:00"/>
    <n v="1"/>
    <d v="2025-10-23T00:00:00"/>
    <n v="1"/>
    <d v="2025-10-25T00:00:00"/>
    <n v="1"/>
    <d v="2025-11-01T00:00:00"/>
    <n v="1"/>
    <x v="0"/>
    <n v="1"/>
    <x v="0"/>
    <d v="2025-12-01T00:00:00"/>
    <n v="4"/>
    <n v="2"/>
    <n v="7"/>
    <n v="5"/>
    <s v="Lead"/>
    <x v="0"/>
  </r>
  <r>
    <s v="L1649"/>
    <x v="0"/>
    <x v="0"/>
    <d v="2025-10-19T00:00:00"/>
    <n v="1"/>
    <d v="2025-10-20T00:00:00"/>
    <n v="1"/>
    <d v="2025-10-23T00:00:00"/>
    <n v="1"/>
    <d v="2025-10-26T00:00:00"/>
    <n v="1"/>
    <x v="1"/>
    <n v="0"/>
    <x v="4"/>
    <m/>
    <n v="1"/>
    <n v="3"/>
    <n v="3"/>
    <m/>
    <s v="Cancelled (Lead Stage)"/>
    <x v="0"/>
  </r>
  <r>
    <s v="L1659"/>
    <x v="2"/>
    <x v="0"/>
    <d v="2025-10-19T00:00:00"/>
    <n v="1"/>
    <d v="2025-10-21T00:00:00"/>
    <n v="1"/>
    <d v="2025-10-26T00:00:00"/>
    <n v="1"/>
    <d v="2025-10-28T00:00:00"/>
    <n v="1"/>
    <x v="0"/>
    <n v="1"/>
    <x v="0"/>
    <d v="2025-11-14T00:00:00"/>
    <n v="2"/>
    <n v="5"/>
    <n v="2"/>
    <n v="2"/>
    <s v="Lead"/>
    <x v="0"/>
  </r>
  <r>
    <s v="L1702"/>
    <x v="1"/>
    <x v="1"/>
    <d v="2025-10-19T00:00:00"/>
    <n v="1"/>
    <d v="2025-10-24T00:00:00"/>
    <n v="1"/>
    <d v="2025-10-26T00:00:00"/>
    <n v="1"/>
    <d v="2025-10-29T00:00:00"/>
    <n v="1"/>
    <x v="1"/>
    <n v="0"/>
    <x v="5"/>
    <m/>
    <n v="5"/>
    <n v="2"/>
    <n v="3"/>
    <m/>
    <s v="Cancelled (Lead Stage)"/>
    <x v="0"/>
  </r>
  <r>
    <s v="L1768"/>
    <x v="3"/>
    <x v="1"/>
    <d v="2025-10-19T00:00:00"/>
    <n v="1"/>
    <d v="2025-10-22T00:00:00"/>
    <n v="1"/>
    <d v="2025-10-26T00:00:00"/>
    <n v="1"/>
    <d v="2025-11-02T00:00:00"/>
    <n v="1"/>
    <x v="0"/>
    <n v="1"/>
    <x v="0"/>
    <d v="2025-11-13T00:00:00"/>
    <n v="3"/>
    <n v="4"/>
    <n v="7"/>
    <n v="4"/>
    <s v="Lead"/>
    <x v="0"/>
  </r>
  <r>
    <s v="L1820"/>
    <x v="1"/>
    <x v="0"/>
    <d v="2025-10-19T00:00:00"/>
    <n v="1"/>
    <d v="2025-10-24T00:00:00"/>
    <n v="1"/>
    <d v="2025-10-27T00:00:00"/>
    <n v="1"/>
    <d v="2025-10-31T00:00:00"/>
    <n v="1"/>
    <x v="0"/>
    <n v="1"/>
    <x v="0"/>
    <d v="2025-11-29T00:00:00"/>
    <n v="5"/>
    <n v="3"/>
    <n v="4"/>
    <n v="2"/>
    <s v="Lead"/>
    <x v="0"/>
  </r>
  <r>
    <s v="L1875"/>
    <x v="2"/>
    <x v="1"/>
    <d v="2025-10-19T00:00:00"/>
    <n v="1"/>
    <d v="2025-10-23T00:00:00"/>
    <n v="1"/>
    <d v="2025-10-28T00:00:00"/>
    <n v="1"/>
    <d v="2025-10-30T00:00:00"/>
    <n v="1"/>
    <x v="0"/>
    <n v="1"/>
    <x v="0"/>
    <d v="2025-11-20T00:00:00"/>
    <n v="4"/>
    <n v="5"/>
    <n v="2"/>
    <n v="6"/>
    <s v="Lead"/>
    <x v="0"/>
  </r>
  <r>
    <s v="L1882"/>
    <x v="0"/>
    <x v="0"/>
    <d v="2025-10-19T00:00:00"/>
    <n v="1"/>
    <d v="2025-10-22T00:00:00"/>
    <n v="1"/>
    <d v="2025-10-26T00:00:00"/>
    <n v="1"/>
    <d v="2025-11-01T00:00:00"/>
    <n v="1"/>
    <x v="0"/>
    <n v="1"/>
    <x v="0"/>
    <d v="2025-11-28T00:00:00"/>
    <n v="3"/>
    <n v="4"/>
    <n v="6"/>
    <n v="4"/>
    <s v="Lead"/>
    <x v="0"/>
  </r>
  <r>
    <s v="L1912"/>
    <x v="0"/>
    <x v="1"/>
    <d v="2025-10-19T00:00:00"/>
    <n v="1"/>
    <d v="2025-10-21T00:00:00"/>
    <n v="1"/>
    <d v="2025-10-26T00:00:00"/>
    <n v="1"/>
    <d v="2025-10-30T00:00:00"/>
    <n v="1"/>
    <x v="0"/>
    <n v="1"/>
    <x v="0"/>
    <d v="2025-11-17T00:00:00"/>
    <n v="2"/>
    <n v="5"/>
    <n v="4"/>
    <n v="8"/>
    <s v="Lead"/>
    <x v="1"/>
  </r>
  <r>
    <s v="L1930"/>
    <x v="3"/>
    <x v="0"/>
    <d v="2025-10-19T00:00:00"/>
    <n v="1"/>
    <d v="2025-10-23T00:00:00"/>
    <n v="1"/>
    <d v="2025-10-24T00:00:00"/>
    <n v="1"/>
    <d v="2025-10-26T00:00:00"/>
    <n v="1"/>
    <x v="0"/>
    <n v="1"/>
    <x v="0"/>
    <d v="2025-11-10T00:00:00"/>
    <n v="4"/>
    <n v="1"/>
    <n v="2"/>
    <n v="7"/>
    <s v="Lead"/>
    <x v="1"/>
  </r>
  <r>
    <s v="L1971"/>
    <x v="3"/>
    <x v="2"/>
    <d v="2025-10-19T00:00:00"/>
    <n v="1"/>
    <m/>
    <n v="0"/>
    <m/>
    <n v="0"/>
    <m/>
    <n v="0"/>
    <x v="1"/>
    <n v="0"/>
    <x v="1"/>
    <m/>
    <m/>
    <m/>
    <m/>
    <m/>
    <s v="Cancelled (Lead Stage)"/>
    <x v="0"/>
  </r>
  <r>
    <s v="L1027"/>
    <x v="1"/>
    <x v="0"/>
    <d v="2025-10-18T00:00:00"/>
    <n v="1"/>
    <d v="2025-10-23T00:00:00"/>
    <n v="1"/>
    <d v="2025-10-27T00:00:00"/>
    <n v="1"/>
    <d v="2025-10-29T00:00:00"/>
    <n v="1"/>
    <x v="0"/>
    <n v="1"/>
    <x v="0"/>
    <d v="2025-11-09T00:00:00"/>
    <n v="5"/>
    <n v="4"/>
    <n v="2"/>
    <n v="3"/>
    <s v="Lead"/>
    <x v="0"/>
  </r>
  <r>
    <s v="L1070"/>
    <x v="1"/>
    <x v="1"/>
    <d v="2025-10-18T00:00:00"/>
    <n v="1"/>
    <d v="2025-10-20T00:00:00"/>
    <n v="1"/>
    <d v="2025-10-24T00:00:00"/>
    <n v="1"/>
    <d v="2025-10-28T00:00:00"/>
    <n v="1"/>
    <x v="0"/>
    <n v="1"/>
    <x v="0"/>
    <d v="2025-11-11T00:00:00"/>
    <n v="2"/>
    <n v="4"/>
    <n v="4"/>
    <n v="10"/>
    <s v="Lead"/>
    <x v="2"/>
  </r>
  <r>
    <s v="L1080"/>
    <x v="0"/>
    <x v="2"/>
    <d v="2025-10-18T00:00:00"/>
    <n v="1"/>
    <m/>
    <n v="0"/>
    <m/>
    <n v="0"/>
    <m/>
    <n v="0"/>
    <x v="1"/>
    <n v="0"/>
    <x v="4"/>
    <m/>
    <m/>
    <m/>
    <m/>
    <m/>
    <s v="Cancelled (Lead Stage)"/>
    <x v="0"/>
  </r>
  <r>
    <s v="L1102"/>
    <x v="0"/>
    <x v="0"/>
    <d v="2025-10-18T00:00:00"/>
    <n v="1"/>
    <d v="2025-10-21T00:00:00"/>
    <n v="1"/>
    <d v="2025-10-24T00:00:00"/>
    <n v="1"/>
    <d v="2025-10-27T00:00:00"/>
    <n v="1"/>
    <x v="0"/>
    <n v="1"/>
    <x v="0"/>
    <d v="2025-11-17T00:00:00"/>
    <n v="3"/>
    <n v="3"/>
    <n v="3"/>
    <n v="0"/>
    <s v="Lead"/>
    <x v="0"/>
  </r>
  <r>
    <s v="L1107"/>
    <x v="1"/>
    <x v="0"/>
    <d v="2025-10-18T00:00:00"/>
    <n v="1"/>
    <d v="2025-10-23T00:00:00"/>
    <n v="1"/>
    <d v="2025-10-24T00:00:00"/>
    <n v="1"/>
    <d v="2025-10-27T00:00:00"/>
    <n v="1"/>
    <x v="0"/>
    <n v="1"/>
    <x v="0"/>
    <d v="2025-11-11T00:00:00"/>
    <n v="5"/>
    <n v="1"/>
    <n v="3"/>
    <n v="10"/>
    <s v="Lead"/>
    <x v="2"/>
  </r>
  <r>
    <s v="L1122"/>
    <x v="0"/>
    <x v="1"/>
    <d v="2025-10-18T00:00:00"/>
    <n v="1"/>
    <d v="2025-10-22T00:00:00"/>
    <n v="1"/>
    <d v="2025-10-27T00:00:00"/>
    <n v="1"/>
    <d v="2025-11-01T00:00:00"/>
    <n v="1"/>
    <x v="0"/>
    <n v="1"/>
    <x v="0"/>
    <d v="2025-11-13T00:00:00"/>
    <n v="4"/>
    <n v="5"/>
    <n v="5"/>
    <n v="6"/>
    <s v="Lead"/>
    <x v="0"/>
  </r>
  <r>
    <s v="L1148"/>
    <x v="3"/>
    <x v="1"/>
    <d v="2025-10-18T00:00:00"/>
    <n v="1"/>
    <d v="2025-10-22T00:00:00"/>
    <n v="1"/>
    <d v="2025-10-24T00:00:00"/>
    <n v="1"/>
    <d v="2025-10-26T00:00:00"/>
    <n v="1"/>
    <x v="0"/>
    <n v="1"/>
    <x v="0"/>
    <d v="2025-11-20T00:00:00"/>
    <n v="4"/>
    <n v="2"/>
    <n v="2"/>
    <n v="5"/>
    <s v="Lead"/>
    <x v="0"/>
  </r>
  <r>
    <s v="L1153"/>
    <x v="1"/>
    <x v="0"/>
    <d v="2025-10-18T00:00:00"/>
    <n v="1"/>
    <d v="2025-10-19T00:00:00"/>
    <n v="1"/>
    <d v="2025-10-21T00:00:00"/>
    <n v="1"/>
    <d v="2025-10-27T00:00:00"/>
    <n v="1"/>
    <x v="0"/>
    <n v="1"/>
    <x v="0"/>
    <d v="2025-11-13T00:00:00"/>
    <n v="1"/>
    <n v="2"/>
    <n v="6"/>
    <n v="7"/>
    <s v="Lead"/>
    <x v="1"/>
  </r>
  <r>
    <s v="L1197"/>
    <x v="1"/>
    <x v="2"/>
    <d v="2025-10-18T00:00:00"/>
    <n v="1"/>
    <m/>
    <n v="0"/>
    <m/>
    <n v="0"/>
    <m/>
    <n v="0"/>
    <x v="1"/>
    <n v="0"/>
    <x v="3"/>
    <m/>
    <m/>
    <m/>
    <m/>
    <m/>
    <s v="Cancelled (Lead Stage)"/>
    <x v="0"/>
  </r>
  <r>
    <s v="L1234"/>
    <x v="3"/>
    <x v="1"/>
    <d v="2025-10-18T00:00:00"/>
    <n v="1"/>
    <d v="2025-10-23T00:00:00"/>
    <n v="1"/>
    <d v="2025-10-27T00:00:00"/>
    <n v="1"/>
    <d v="2025-11-02T00:00:00"/>
    <n v="1"/>
    <x v="0"/>
    <n v="1"/>
    <x v="0"/>
    <d v="2025-11-21T00:00:00"/>
    <n v="5"/>
    <n v="4"/>
    <n v="6"/>
    <n v="4"/>
    <s v="Lead"/>
    <x v="0"/>
  </r>
  <r>
    <s v="L1267"/>
    <x v="1"/>
    <x v="2"/>
    <d v="2025-10-18T00:00:00"/>
    <n v="1"/>
    <m/>
    <n v="0"/>
    <m/>
    <n v="0"/>
    <m/>
    <n v="0"/>
    <x v="1"/>
    <n v="0"/>
    <x v="5"/>
    <m/>
    <m/>
    <m/>
    <m/>
    <m/>
    <s v="Cancelled (Lead Stage)"/>
    <x v="0"/>
  </r>
  <r>
    <s v="L1296"/>
    <x v="3"/>
    <x v="0"/>
    <d v="2025-10-18T00:00:00"/>
    <n v="1"/>
    <d v="2025-10-22T00:00:00"/>
    <n v="1"/>
    <d v="2025-10-23T00:00:00"/>
    <n v="1"/>
    <d v="2025-10-30T00:00:00"/>
    <n v="1"/>
    <x v="0"/>
    <n v="1"/>
    <x v="0"/>
    <d v="2025-11-20T00:00:00"/>
    <n v="4"/>
    <n v="1"/>
    <n v="7"/>
    <n v="6"/>
    <s v="Lead"/>
    <x v="0"/>
  </r>
  <r>
    <s v="L1360"/>
    <x v="0"/>
    <x v="0"/>
    <d v="2025-10-18T00:00:00"/>
    <n v="1"/>
    <d v="2025-10-23T00:00:00"/>
    <n v="1"/>
    <d v="2025-10-27T00:00:00"/>
    <n v="1"/>
    <d v="2025-11-03T00:00:00"/>
    <n v="1"/>
    <x v="0"/>
    <n v="1"/>
    <x v="0"/>
    <d v="2025-11-29T00:00:00"/>
    <n v="5"/>
    <n v="4"/>
    <n v="7"/>
    <n v="8"/>
    <s v="Lead"/>
    <x v="1"/>
  </r>
  <r>
    <s v="L1376"/>
    <x v="3"/>
    <x v="0"/>
    <d v="2025-10-18T00:00:00"/>
    <n v="1"/>
    <d v="2025-10-20T00:00:00"/>
    <n v="1"/>
    <d v="2025-10-24T00:00:00"/>
    <n v="1"/>
    <d v="2025-10-31T00:00:00"/>
    <n v="1"/>
    <x v="0"/>
    <n v="1"/>
    <x v="0"/>
    <d v="2025-11-13T00:00:00"/>
    <n v="2"/>
    <n v="4"/>
    <n v="7"/>
    <n v="3"/>
    <s v="Lead"/>
    <x v="0"/>
  </r>
  <r>
    <s v="L1392"/>
    <x v="2"/>
    <x v="0"/>
    <d v="2025-10-18T00:00:00"/>
    <n v="1"/>
    <d v="2025-10-23T00:00:00"/>
    <n v="1"/>
    <d v="2025-10-27T00:00:00"/>
    <n v="1"/>
    <d v="2025-10-31T00:00:00"/>
    <n v="1"/>
    <x v="0"/>
    <n v="1"/>
    <x v="0"/>
    <d v="2025-11-28T00:00:00"/>
    <n v="5"/>
    <n v="4"/>
    <n v="4"/>
    <n v="6"/>
    <s v="Lead"/>
    <x v="0"/>
  </r>
  <r>
    <s v="L1409"/>
    <x v="1"/>
    <x v="1"/>
    <d v="2025-10-18T00:00:00"/>
    <n v="1"/>
    <d v="2025-10-21T00:00:00"/>
    <n v="1"/>
    <d v="2025-10-25T00:00:00"/>
    <n v="1"/>
    <d v="2025-11-01T00:00:00"/>
    <n v="1"/>
    <x v="0"/>
    <n v="1"/>
    <x v="0"/>
    <d v="2025-11-23T00:00:00"/>
    <n v="3"/>
    <n v="4"/>
    <n v="7"/>
    <n v="1"/>
    <s v="Lead"/>
    <x v="0"/>
  </r>
  <r>
    <s v="L1411"/>
    <x v="0"/>
    <x v="0"/>
    <d v="2025-10-18T00:00:00"/>
    <n v="1"/>
    <d v="2025-10-20T00:00:00"/>
    <n v="1"/>
    <d v="2025-10-22T00:00:00"/>
    <n v="1"/>
    <d v="2025-10-27T00:00:00"/>
    <n v="1"/>
    <x v="0"/>
    <n v="1"/>
    <x v="0"/>
    <d v="2025-11-13T00:00:00"/>
    <n v="2"/>
    <n v="2"/>
    <n v="5"/>
    <n v="10"/>
    <s v="Lead"/>
    <x v="2"/>
  </r>
  <r>
    <s v="L1437"/>
    <x v="2"/>
    <x v="1"/>
    <d v="2025-10-18T00:00:00"/>
    <n v="1"/>
    <d v="2025-10-19T00:00:00"/>
    <n v="1"/>
    <d v="2025-10-21T00:00:00"/>
    <n v="1"/>
    <d v="2025-10-25T00:00:00"/>
    <n v="1"/>
    <x v="0"/>
    <n v="1"/>
    <x v="0"/>
    <d v="2025-11-18T00:00:00"/>
    <n v="1"/>
    <n v="2"/>
    <n v="4"/>
    <n v="8"/>
    <s v="Lead"/>
    <x v="1"/>
  </r>
  <r>
    <s v="L1472"/>
    <x v="1"/>
    <x v="2"/>
    <d v="2025-10-18T00:00:00"/>
    <n v="1"/>
    <m/>
    <n v="0"/>
    <m/>
    <n v="0"/>
    <m/>
    <n v="0"/>
    <x v="1"/>
    <n v="0"/>
    <x v="3"/>
    <m/>
    <m/>
    <m/>
    <m/>
    <m/>
    <s v="Cancelled (Lead Stage)"/>
    <x v="0"/>
  </r>
  <r>
    <s v="L1476"/>
    <x v="1"/>
    <x v="1"/>
    <d v="2025-10-18T00:00:00"/>
    <n v="1"/>
    <d v="2025-10-19T00:00:00"/>
    <n v="1"/>
    <d v="2025-10-24T00:00:00"/>
    <n v="1"/>
    <d v="2025-10-29T00:00:00"/>
    <n v="1"/>
    <x v="0"/>
    <n v="1"/>
    <x v="0"/>
    <d v="2025-11-09T00:00:00"/>
    <n v="1"/>
    <n v="5"/>
    <n v="5"/>
    <n v="2"/>
    <s v="Lead"/>
    <x v="0"/>
  </r>
  <r>
    <s v="L1478"/>
    <x v="1"/>
    <x v="0"/>
    <d v="2025-10-18T00:00:00"/>
    <n v="1"/>
    <d v="2025-10-19T00:00:00"/>
    <n v="1"/>
    <d v="2025-10-21T00:00:00"/>
    <n v="1"/>
    <d v="2025-10-24T00:00:00"/>
    <n v="1"/>
    <x v="0"/>
    <n v="1"/>
    <x v="0"/>
    <d v="2025-11-17T00:00:00"/>
    <n v="1"/>
    <n v="2"/>
    <n v="3"/>
    <n v="7"/>
    <s v="Lead"/>
    <x v="1"/>
  </r>
  <r>
    <s v="L1546"/>
    <x v="0"/>
    <x v="0"/>
    <d v="2025-10-18T00:00:00"/>
    <n v="1"/>
    <d v="2025-10-23T00:00:00"/>
    <n v="1"/>
    <d v="2025-10-26T00:00:00"/>
    <n v="1"/>
    <d v="2025-11-02T00:00:00"/>
    <n v="1"/>
    <x v="0"/>
    <n v="1"/>
    <x v="0"/>
    <d v="2025-11-19T00:00:00"/>
    <n v="5"/>
    <n v="3"/>
    <n v="7"/>
    <n v="3"/>
    <s v="Lead"/>
    <x v="0"/>
  </r>
  <r>
    <s v="L1556"/>
    <x v="3"/>
    <x v="1"/>
    <d v="2025-10-18T00:00:00"/>
    <n v="1"/>
    <d v="2025-10-21T00:00:00"/>
    <n v="1"/>
    <d v="2025-10-26T00:00:00"/>
    <n v="1"/>
    <d v="2025-10-28T00:00:00"/>
    <n v="1"/>
    <x v="0"/>
    <n v="1"/>
    <x v="0"/>
    <d v="2025-11-21T00:00:00"/>
    <n v="3"/>
    <n v="5"/>
    <n v="2"/>
    <n v="1"/>
    <s v="Lead"/>
    <x v="0"/>
  </r>
  <r>
    <s v="L1624"/>
    <x v="0"/>
    <x v="2"/>
    <d v="2025-10-18T00:00:00"/>
    <n v="1"/>
    <m/>
    <n v="0"/>
    <m/>
    <n v="0"/>
    <m/>
    <n v="0"/>
    <x v="1"/>
    <n v="0"/>
    <x v="1"/>
    <m/>
    <m/>
    <m/>
    <m/>
    <m/>
    <s v="Cancelled (Lead Stage)"/>
    <x v="0"/>
  </r>
  <r>
    <s v="L1716"/>
    <x v="1"/>
    <x v="0"/>
    <d v="2025-10-18T00:00:00"/>
    <n v="1"/>
    <d v="2025-10-20T00:00:00"/>
    <n v="1"/>
    <d v="2025-10-24T00:00:00"/>
    <n v="1"/>
    <d v="2025-10-28T00:00:00"/>
    <n v="1"/>
    <x v="0"/>
    <n v="1"/>
    <x v="0"/>
    <d v="2025-11-08T00:00:00"/>
    <n v="2"/>
    <n v="4"/>
    <n v="4"/>
    <n v="9"/>
    <s v="Lead"/>
    <x v="2"/>
  </r>
  <r>
    <s v="L1753"/>
    <x v="1"/>
    <x v="1"/>
    <d v="2025-10-18T00:00:00"/>
    <n v="1"/>
    <d v="2025-10-23T00:00:00"/>
    <n v="1"/>
    <d v="2025-10-24T00:00:00"/>
    <n v="1"/>
    <d v="2025-10-30T00:00:00"/>
    <n v="1"/>
    <x v="0"/>
    <n v="1"/>
    <x v="0"/>
    <d v="2025-11-20T00:00:00"/>
    <n v="5"/>
    <n v="1"/>
    <n v="6"/>
    <n v="9"/>
    <s v="Lead"/>
    <x v="2"/>
  </r>
  <r>
    <s v="L1760"/>
    <x v="0"/>
    <x v="1"/>
    <d v="2025-10-18T00:00:00"/>
    <n v="1"/>
    <d v="2025-10-21T00:00:00"/>
    <n v="1"/>
    <d v="2025-10-24T00:00:00"/>
    <n v="1"/>
    <d v="2025-10-27T00:00:00"/>
    <n v="1"/>
    <x v="0"/>
    <n v="1"/>
    <x v="0"/>
    <d v="2025-11-24T00:00:00"/>
    <n v="3"/>
    <n v="3"/>
    <n v="3"/>
    <n v="2"/>
    <s v="Lead"/>
    <x v="0"/>
  </r>
  <r>
    <s v="L1782"/>
    <x v="0"/>
    <x v="2"/>
    <d v="2025-10-18T00:00:00"/>
    <n v="1"/>
    <m/>
    <n v="0"/>
    <m/>
    <n v="0"/>
    <m/>
    <n v="0"/>
    <x v="1"/>
    <n v="0"/>
    <x v="4"/>
    <m/>
    <m/>
    <m/>
    <m/>
    <m/>
    <s v="Cancelled (Lead Stage)"/>
    <x v="0"/>
  </r>
  <r>
    <s v="L1808"/>
    <x v="0"/>
    <x v="1"/>
    <d v="2025-10-18T00:00:00"/>
    <n v="1"/>
    <d v="2025-10-23T00:00:00"/>
    <n v="1"/>
    <d v="2025-10-25T00:00:00"/>
    <n v="1"/>
    <d v="2025-10-27T00:00:00"/>
    <n v="1"/>
    <x v="0"/>
    <n v="1"/>
    <x v="0"/>
    <d v="2025-11-26T00:00:00"/>
    <n v="5"/>
    <n v="2"/>
    <n v="2"/>
    <n v="5"/>
    <s v="Lead"/>
    <x v="0"/>
  </r>
  <r>
    <s v="L1818"/>
    <x v="1"/>
    <x v="1"/>
    <d v="2025-10-18T00:00:00"/>
    <n v="1"/>
    <d v="2025-10-23T00:00:00"/>
    <n v="1"/>
    <d v="2025-10-27T00:00:00"/>
    <n v="1"/>
    <d v="2025-10-30T00:00:00"/>
    <n v="1"/>
    <x v="0"/>
    <n v="1"/>
    <x v="0"/>
    <d v="2025-11-10T00:00:00"/>
    <n v="5"/>
    <n v="4"/>
    <n v="3"/>
    <n v="8"/>
    <s v="Lead"/>
    <x v="1"/>
  </r>
  <r>
    <s v="L1848"/>
    <x v="1"/>
    <x v="1"/>
    <d v="2025-10-18T00:00:00"/>
    <n v="1"/>
    <d v="2025-10-19T00:00:00"/>
    <n v="1"/>
    <d v="2025-10-22T00:00:00"/>
    <n v="1"/>
    <d v="2025-10-25T00:00:00"/>
    <n v="1"/>
    <x v="0"/>
    <n v="1"/>
    <x v="0"/>
    <d v="2025-11-13T00:00:00"/>
    <n v="1"/>
    <n v="3"/>
    <n v="3"/>
    <n v="5"/>
    <s v="Lead"/>
    <x v="0"/>
  </r>
  <r>
    <s v="L1880"/>
    <x v="2"/>
    <x v="0"/>
    <d v="2025-10-18T00:00:00"/>
    <n v="1"/>
    <d v="2025-10-19T00:00:00"/>
    <n v="1"/>
    <d v="2025-10-20T00:00:00"/>
    <n v="1"/>
    <d v="2025-10-23T00:00:00"/>
    <n v="1"/>
    <x v="0"/>
    <n v="1"/>
    <x v="0"/>
    <d v="2025-11-03T00:00:00"/>
    <n v="1"/>
    <n v="1"/>
    <n v="3"/>
    <n v="2"/>
    <s v="Lead"/>
    <x v="0"/>
  </r>
  <r>
    <s v="L1898"/>
    <x v="1"/>
    <x v="2"/>
    <d v="2025-10-18T00:00:00"/>
    <n v="1"/>
    <m/>
    <n v="0"/>
    <m/>
    <n v="0"/>
    <m/>
    <n v="0"/>
    <x v="1"/>
    <n v="0"/>
    <x v="4"/>
    <m/>
    <m/>
    <m/>
    <m/>
    <m/>
    <s v="Cancelled (Lead Stage)"/>
    <x v="0"/>
  </r>
  <r>
    <s v="L1972"/>
    <x v="0"/>
    <x v="1"/>
    <d v="2025-10-18T00:00:00"/>
    <n v="1"/>
    <d v="2025-10-19T00:00:00"/>
    <n v="1"/>
    <d v="2025-10-23T00:00:00"/>
    <n v="1"/>
    <d v="2025-10-25T00:00:00"/>
    <n v="1"/>
    <x v="0"/>
    <n v="1"/>
    <x v="0"/>
    <d v="2025-11-15T00:00:00"/>
    <n v="1"/>
    <n v="4"/>
    <n v="2"/>
    <n v="10"/>
    <s v="Lead"/>
    <x v="2"/>
  </r>
  <r>
    <s v="L1992"/>
    <x v="3"/>
    <x v="1"/>
    <d v="2025-10-18T00:00:00"/>
    <n v="1"/>
    <d v="2025-10-23T00:00:00"/>
    <n v="1"/>
    <d v="2025-10-28T00:00:00"/>
    <n v="1"/>
    <d v="2025-11-04T00:00:00"/>
    <n v="1"/>
    <x v="0"/>
    <n v="1"/>
    <x v="0"/>
    <d v="2025-11-14T00:00:00"/>
    <n v="5"/>
    <n v="5"/>
    <n v="7"/>
    <n v="5"/>
    <s v="Lead"/>
    <x v="0"/>
  </r>
  <r>
    <s v="L1020"/>
    <x v="3"/>
    <x v="0"/>
    <d v="2025-10-17T00:00:00"/>
    <n v="1"/>
    <d v="2025-10-21T00:00:00"/>
    <n v="1"/>
    <d v="2025-10-23T00:00:00"/>
    <n v="1"/>
    <d v="2025-10-30T00:00:00"/>
    <n v="1"/>
    <x v="0"/>
    <n v="1"/>
    <x v="0"/>
    <d v="2025-11-19T00:00:00"/>
    <n v="4"/>
    <n v="2"/>
    <n v="7"/>
    <n v="6"/>
    <s v="Lead"/>
    <x v="0"/>
  </r>
  <r>
    <s v="L1072"/>
    <x v="3"/>
    <x v="1"/>
    <d v="2025-10-17T00:00:00"/>
    <n v="1"/>
    <d v="2025-10-20T00:00:00"/>
    <n v="1"/>
    <d v="2025-10-22T00:00:00"/>
    <n v="1"/>
    <d v="2025-10-25T00:00:00"/>
    <n v="1"/>
    <x v="0"/>
    <n v="1"/>
    <x v="0"/>
    <d v="2025-11-04T00:00:00"/>
    <n v="3"/>
    <n v="2"/>
    <n v="3"/>
    <n v="6"/>
    <s v="Lead"/>
    <x v="0"/>
  </r>
  <r>
    <s v="L1103"/>
    <x v="0"/>
    <x v="2"/>
    <d v="2025-10-17T00:00:00"/>
    <n v="1"/>
    <m/>
    <n v="0"/>
    <m/>
    <n v="0"/>
    <m/>
    <n v="0"/>
    <x v="1"/>
    <n v="0"/>
    <x v="1"/>
    <m/>
    <m/>
    <m/>
    <m/>
    <m/>
    <s v="Cancelled (Lead Stage)"/>
    <x v="0"/>
  </r>
  <r>
    <s v="L1135"/>
    <x v="0"/>
    <x v="0"/>
    <d v="2025-10-17T00:00:00"/>
    <n v="1"/>
    <d v="2025-10-20T00:00:00"/>
    <n v="1"/>
    <d v="2025-10-21T00:00:00"/>
    <n v="1"/>
    <d v="2025-10-26T00:00:00"/>
    <n v="1"/>
    <x v="0"/>
    <n v="1"/>
    <x v="0"/>
    <d v="2025-11-18T00:00:00"/>
    <n v="3"/>
    <n v="1"/>
    <n v="5"/>
    <n v="3"/>
    <s v="Lead"/>
    <x v="0"/>
  </r>
  <r>
    <s v="L1206"/>
    <x v="2"/>
    <x v="2"/>
    <d v="2025-10-17T00:00:00"/>
    <n v="1"/>
    <m/>
    <n v="0"/>
    <m/>
    <n v="0"/>
    <m/>
    <n v="0"/>
    <x v="1"/>
    <n v="0"/>
    <x v="2"/>
    <m/>
    <m/>
    <m/>
    <m/>
    <m/>
    <s v="Cancelled (Lead Stage)"/>
    <x v="0"/>
  </r>
  <r>
    <s v="L1295"/>
    <x v="3"/>
    <x v="0"/>
    <d v="2025-10-17T00:00:00"/>
    <n v="1"/>
    <d v="2025-10-21T00:00:00"/>
    <n v="1"/>
    <d v="2025-10-24T00:00:00"/>
    <n v="1"/>
    <d v="2025-10-31T00:00:00"/>
    <n v="1"/>
    <x v="1"/>
    <n v="0"/>
    <x v="2"/>
    <m/>
    <n v="4"/>
    <n v="3"/>
    <n v="7"/>
    <m/>
    <s v="Cancelled (Lead Stage)"/>
    <x v="0"/>
  </r>
  <r>
    <s v="L1329"/>
    <x v="0"/>
    <x v="0"/>
    <d v="2025-10-17T00:00:00"/>
    <n v="1"/>
    <d v="2025-10-21T00:00:00"/>
    <n v="1"/>
    <d v="2025-10-25T00:00:00"/>
    <n v="1"/>
    <d v="2025-10-27T00:00:00"/>
    <n v="1"/>
    <x v="0"/>
    <n v="1"/>
    <x v="0"/>
    <d v="2025-11-20T00:00:00"/>
    <n v="4"/>
    <n v="4"/>
    <n v="2"/>
    <n v="2"/>
    <s v="Lead"/>
    <x v="0"/>
  </r>
  <r>
    <s v="L1371"/>
    <x v="0"/>
    <x v="0"/>
    <d v="2025-10-17T00:00:00"/>
    <n v="1"/>
    <d v="2025-10-20T00:00:00"/>
    <n v="1"/>
    <d v="2025-10-22T00:00:00"/>
    <n v="1"/>
    <d v="2025-10-28T00:00:00"/>
    <n v="1"/>
    <x v="0"/>
    <n v="1"/>
    <x v="0"/>
    <d v="2025-11-11T00:00:00"/>
    <n v="3"/>
    <n v="2"/>
    <n v="6"/>
    <n v="1"/>
    <s v="Lead"/>
    <x v="0"/>
  </r>
  <r>
    <s v="L1381"/>
    <x v="3"/>
    <x v="0"/>
    <d v="2025-10-17T00:00:00"/>
    <n v="1"/>
    <d v="2025-10-18T00:00:00"/>
    <n v="1"/>
    <d v="2025-10-22T00:00:00"/>
    <n v="1"/>
    <d v="2025-10-29T00:00:00"/>
    <n v="1"/>
    <x v="0"/>
    <n v="1"/>
    <x v="0"/>
    <d v="2025-11-17T00:00:00"/>
    <n v="1"/>
    <n v="4"/>
    <n v="7"/>
    <n v="8"/>
    <s v="Lead"/>
    <x v="1"/>
  </r>
  <r>
    <s v="L1428"/>
    <x v="0"/>
    <x v="0"/>
    <d v="2025-10-17T00:00:00"/>
    <n v="1"/>
    <d v="2025-10-19T00:00:00"/>
    <n v="1"/>
    <d v="2025-10-24T00:00:00"/>
    <n v="1"/>
    <d v="2025-10-30T00:00:00"/>
    <n v="1"/>
    <x v="0"/>
    <n v="1"/>
    <x v="0"/>
    <d v="2025-11-23T00:00:00"/>
    <n v="2"/>
    <n v="5"/>
    <n v="6"/>
    <n v="8"/>
    <s v="Lead"/>
    <x v="1"/>
  </r>
  <r>
    <s v="L1443"/>
    <x v="1"/>
    <x v="0"/>
    <d v="2025-10-17T00:00:00"/>
    <n v="1"/>
    <d v="2025-10-18T00:00:00"/>
    <n v="1"/>
    <d v="2025-10-19T00:00:00"/>
    <n v="1"/>
    <d v="2025-10-25T00:00:00"/>
    <n v="1"/>
    <x v="0"/>
    <n v="1"/>
    <x v="0"/>
    <d v="2025-11-20T00:00:00"/>
    <n v="1"/>
    <n v="1"/>
    <n v="6"/>
    <n v="6"/>
    <s v="Lead"/>
    <x v="0"/>
  </r>
  <r>
    <s v="L1457"/>
    <x v="3"/>
    <x v="0"/>
    <d v="2025-10-17T00:00:00"/>
    <n v="1"/>
    <d v="2025-10-21T00:00:00"/>
    <n v="1"/>
    <d v="2025-10-25T00:00:00"/>
    <n v="1"/>
    <d v="2025-10-29T00:00:00"/>
    <n v="1"/>
    <x v="0"/>
    <n v="1"/>
    <x v="0"/>
    <d v="2025-11-24T00:00:00"/>
    <n v="4"/>
    <n v="4"/>
    <n v="4"/>
    <n v="5"/>
    <s v="Lead"/>
    <x v="0"/>
  </r>
  <r>
    <s v="L1511"/>
    <x v="1"/>
    <x v="1"/>
    <d v="2025-10-17T00:00:00"/>
    <n v="1"/>
    <d v="2025-10-19T00:00:00"/>
    <n v="1"/>
    <d v="2025-10-20T00:00:00"/>
    <n v="1"/>
    <d v="2025-10-25T00:00:00"/>
    <n v="1"/>
    <x v="0"/>
    <n v="1"/>
    <x v="0"/>
    <d v="2025-11-12T00:00:00"/>
    <n v="2"/>
    <n v="1"/>
    <n v="5"/>
    <n v="7"/>
    <s v="Lead"/>
    <x v="1"/>
  </r>
  <r>
    <s v="L1521"/>
    <x v="2"/>
    <x v="0"/>
    <d v="2025-10-17T00:00:00"/>
    <n v="1"/>
    <d v="2025-10-18T00:00:00"/>
    <n v="1"/>
    <d v="2025-10-20T00:00:00"/>
    <n v="1"/>
    <d v="2025-10-25T00:00:00"/>
    <n v="1"/>
    <x v="0"/>
    <n v="1"/>
    <x v="0"/>
    <d v="2025-11-10T00:00:00"/>
    <n v="1"/>
    <n v="2"/>
    <n v="5"/>
    <n v="4"/>
    <s v="Lead"/>
    <x v="0"/>
  </r>
  <r>
    <s v="L1591"/>
    <x v="2"/>
    <x v="0"/>
    <d v="2025-10-17T00:00:00"/>
    <n v="1"/>
    <d v="2025-10-22T00:00:00"/>
    <n v="1"/>
    <d v="2025-10-23T00:00:00"/>
    <n v="1"/>
    <d v="2025-10-26T00:00:00"/>
    <n v="1"/>
    <x v="0"/>
    <n v="1"/>
    <x v="0"/>
    <d v="2025-11-25T00:00:00"/>
    <n v="5"/>
    <n v="1"/>
    <n v="3"/>
    <n v="0"/>
    <s v="Lead"/>
    <x v="0"/>
  </r>
  <r>
    <s v="L1719"/>
    <x v="2"/>
    <x v="0"/>
    <d v="2025-10-17T00:00:00"/>
    <n v="1"/>
    <d v="2025-10-20T00:00:00"/>
    <n v="1"/>
    <d v="2025-10-23T00:00:00"/>
    <n v="1"/>
    <d v="2025-10-28T00:00:00"/>
    <n v="1"/>
    <x v="0"/>
    <n v="1"/>
    <x v="0"/>
    <d v="2025-11-15T00:00:00"/>
    <n v="3"/>
    <n v="3"/>
    <n v="5"/>
    <n v="7"/>
    <s v="Lead"/>
    <x v="1"/>
  </r>
  <r>
    <s v="L1720"/>
    <x v="0"/>
    <x v="0"/>
    <d v="2025-10-17T00:00:00"/>
    <n v="1"/>
    <d v="2025-10-20T00:00:00"/>
    <n v="1"/>
    <d v="2025-10-25T00:00:00"/>
    <n v="1"/>
    <d v="2025-11-01T00:00:00"/>
    <n v="1"/>
    <x v="0"/>
    <n v="1"/>
    <x v="0"/>
    <d v="2025-11-17T00:00:00"/>
    <n v="3"/>
    <n v="5"/>
    <n v="7"/>
    <n v="4"/>
    <s v="Lead"/>
    <x v="0"/>
  </r>
  <r>
    <s v="L1921"/>
    <x v="1"/>
    <x v="2"/>
    <d v="2025-10-17T00:00:00"/>
    <n v="1"/>
    <m/>
    <n v="0"/>
    <m/>
    <n v="0"/>
    <m/>
    <n v="0"/>
    <x v="1"/>
    <n v="0"/>
    <x v="4"/>
    <m/>
    <m/>
    <m/>
    <m/>
    <m/>
    <s v="Cancelled (Lead Stage)"/>
    <x v="0"/>
  </r>
  <r>
    <s v="L1929"/>
    <x v="0"/>
    <x v="0"/>
    <d v="2025-10-17T00:00:00"/>
    <n v="1"/>
    <d v="2025-10-20T00:00:00"/>
    <n v="1"/>
    <d v="2025-10-21T00:00:00"/>
    <n v="1"/>
    <d v="2025-10-27T00:00:00"/>
    <n v="1"/>
    <x v="0"/>
    <n v="1"/>
    <x v="0"/>
    <d v="2025-11-26T00:00:00"/>
    <n v="3"/>
    <n v="1"/>
    <n v="6"/>
    <n v="1"/>
    <s v="Lead"/>
    <x v="0"/>
  </r>
  <r>
    <s v="L1933"/>
    <x v="1"/>
    <x v="0"/>
    <d v="2025-10-17T00:00:00"/>
    <n v="1"/>
    <d v="2025-10-21T00:00:00"/>
    <n v="1"/>
    <d v="2025-10-23T00:00:00"/>
    <n v="1"/>
    <d v="2025-10-27T00:00:00"/>
    <n v="1"/>
    <x v="1"/>
    <n v="0"/>
    <x v="3"/>
    <m/>
    <n v="4"/>
    <n v="2"/>
    <n v="4"/>
    <m/>
    <s v="Cancelled (Lead Stage)"/>
    <x v="0"/>
  </r>
  <r>
    <s v="L1943"/>
    <x v="0"/>
    <x v="0"/>
    <d v="2025-10-17T00:00:00"/>
    <n v="1"/>
    <d v="2025-10-18T00:00:00"/>
    <n v="1"/>
    <d v="2025-10-21T00:00:00"/>
    <n v="1"/>
    <d v="2025-10-26T00:00:00"/>
    <n v="1"/>
    <x v="0"/>
    <n v="1"/>
    <x v="0"/>
    <d v="2025-11-08T00:00:00"/>
    <n v="1"/>
    <n v="3"/>
    <n v="5"/>
    <n v="2"/>
    <s v="Lead"/>
    <x v="0"/>
  </r>
  <r>
    <s v="L1977"/>
    <x v="0"/>
    <x v="2"/>
    <d v="2025-10-17T00:00:00"/>
    <n v="1"/>
    <m/>
    <n v="0"/>
    <m/>
    <n v="0"/>
    <m/>
    <n v="0"/>
    <x v="1"/>
    <n v="0"/>
    <x v="2"/>
    <m/>
    <m/>
    <m/>
    <m/>
    <m/>
    <s v="Cancelled (Lead Stage)"/>
    <x v="0"/>
  </r>
  <r>
    <s v="L1980"/>
    <x v="0"/>
    <x v="1"/>
    <d v="2025-10-17T00:00:00"/>
    <n v="1"/>
    <d v="2025-10-19T00:00:00"/>
    <n v="1"/>
    <d v="2025-10-20T00:00:00"/>
    <n v="1"/>
    <d v="2025-10-23T00:00:00"/>
    <n v="1"/>
    <x v="0"/>
    <n v="1"/>
    <x v="0"/>
    <d v="2025-11-17T00:00:00"/>
    <n v="2"/>
    <n v="1"/>
    <n v="3"/>
    <n v="0"/>
    <s v="Lead"/>
    <x v="0"/>
  </r>
  <r>
    <s v="L1006"/>
    <x v="0"/>
    <x v="1"/>
    <d v="2025-10-16T00:00:00"/>
    <n v="1"/>
    <d v="2025-10-20T00:00:00"/>
    <n v="1"/>
    <d v="2025-10-21T00:00:00"/>
    <n v="1"/>
    <d v="2025-10-28T00:00:00"/>
    <n v="1"/>
    <x v="0"/>
    <n v="1"/>
    <x v="0"/>
    <d v="2025-11-22T00:00:00"/>
    <n v="4"/>
    <n v="1"/>
    <n v="7"/>
    <n v="10"/>
    <s v="Lead"/>
    <x v="2"/>
  </r>
  <r>
    <s v="L1029"/>
    <x v="1"/>
    <x v="2"/>
    <d v="2025-10-16T00:00:00"/>
    <n v="1"/>
    <m/>
    <n v="0"/>
    <m/>
    <n v="0"/>
    <m/>
    <n v="0"/>
    <x v="1"/>
    <n v="0"/>
    <x v="3"/>
    <m/>
    <m/>
    <m/>
    <m/>
    <m/>
    <s v="Cancelled (Lead Stage)"/>
    <x v="0"/>
  </r>
  <r>
    <s v="L1054"/>
    <x v="0"/>
    <x v="0"/>
    <d v="2025-10-16T00:00:00"/>
    <n v="1"/>
    <d v="2025-10-19T00:00:00"/>
    <n v="1"/>
    <d v="2025-10-24T00:00:00"/>
    <n v="1"/>
    <d v="2025-10-29T00:00:00"/>
    <n v="1"/>
    <x v="0"/>
    <n v="1"/>
    <x v="0"/>
    <d v="2025-11-23T00:00:00"/>
    <n v="3"/>
    <n v="5"/>
    <n v="5"/>
    <n v="8"/>
    <s v="Lead"/>
    <x v="1"/>
  </r>
  <r>
    <s v="L1058"/>
    <x v="1"/>
    <x v="0"/>
    <d v="2025-10-16T00:00:00"/>
    <n v="1"/>
    <d v="2025-10-18T00:00:00"/>
    <n v="1"/>
    <d v="2025-10-22T00:00:00"/>
    <n v="1"/>
    <d v="2025-10-29T00:00:00"/>
    <n v="1"/>
    <x v="1"/>
    <n v="0"/>
    <x v="2"/>
    <m/>
    <n v="2"/>
    <n v="4"/>
    <n v="7"/>
    <m/>
    <s v="Cancelled (Lead Stage)"/>
    <x v="0"/>
  </r>
  <r>
    <s v="L1079"/>
    <x v="3"/>
    <x v="0"/>
    <d v="2025-10-16T00:00:00"/>
    <n v="1"/>
    <d v="2025-10-18T00:00:00"/>
    <n v="1"/>
    <d v="2025-10-20T00:00:00"/>
    <n v="1"/>
    <d v="2025-10-26T00:00:00"/>
    <n v="1"/>
    <x v="1"/>
    <n v="0"/>
    <x v="3"/>
    <m/>
    <n v="2"/>
    <n v="2"/>
    <n v="6"/>
    <m/>
    <s v="Cancelled (Lead Stage)"/>
    <x v="0"/>
  </r>
  <r>
    <s v="L1084"/>
    <x v="2"/>
    <x v="0"/>
    <d v="2025-10-16T00:00:00"/>
    <n v="1"/>
    <d v="2025-10-20T00:00:00"/>
    <n v="1"/>
    <d v="2025-10-22T00:00:00"/>
    <n v="1"/>
    <d v="2025-10-28T00:00:00"/>
    <n v="1"/>
    <x v="0"/>
    <n v="1"/>
    <x v="0"/>
    <d v="2025-11-26T00:00:00"/>
    <n v="4"/>
    <n v="2"/>
    <n v="6"/>
    <n v="4"/>
    <s v="Lead"/>
    <x v="0"/>
  </r>
  <r>
    <s v="L1087"/>
    <x v="2"/>
    <x v="2"/>
    <d v="2025-10-16T00:00:00"/>
    <n v="1"/>
    <m/>
    <n v="0"/>
    <m/>
    <n v="0"/>
    <m/>
    <n v="0"/>
    <x v="1"/>
    <n v="0"/>
    <x v="3"/>
    <m/>
    <m/>
    <m/>
    <m/>
    <m/>
    <s v="Cancelled (Lead Stage)"/>
    <x v="0"/>
  </r>
  <r>
    <s v="L1101"/>
    <x v="3"/>
    <x v="0"/>
    <d v="2025-10-16T00:00:00"/>
    <n v="1"/>
    <d v="2025-10-19T00:00:00"/>
    <n v="1"/>
    <d v="2025-10-23T00:00:00"/>
    <n v="1"/>
    <d v="2025-10-29T00:00:00"/>
    <n v="1"/>
    <x v="0"/>
    <n v="1"/>
    <x v="0"/>
    <d v="2025-11-15T00:00:00"/>
    <n v="3"/>
    <n v="4"/>
    <n v="6"/>
    <n v="1"/>
    <s v="Lead"/>
    <x v="0"/>
  </r>
  <r>
    <s v="L1130"/>
    <x v="1"/>
    <x v="2"/>
    <d v="2025-10-16T00:00:00"/>
    <n v="1"/>
    <m/>
    <n v="0"/>
    <m/>
    <n v="0"/>
    <m/>
    <n v="0"/>
    <x v="1"/>
    <n v="0"/>
    <x v="1"/>
    <m/>
    <m/>
    <m/>
    <m/>
    <m/>
    <s v="Cancelled (Lead Stage)"/>
    <x v="0"/>
  </r>
  <r>
    <s v="L1161"/>
    <x v="0"/>
    <x v="0"/>
    <d v="2025-10-16T00:00:00"/>
    <n v="1"/>
    <d v="2025-10-19T00:00:00"/>
    <n v="1"/>
    <d v="2025-10-22T00:00:00"/>
    <n v="1"/>
    <d v="2025-10-29T00:00:00"/>
    <n v="1"/>
    <x v="0"/>
    <n v="1"/>
    <x v="0"/>
    <d v="2025-11-17T00:00:00"/>
    <n v="3"/>
    <n v="3"/>
    <n v="7"/>
    <n v="2"/>
    <s v="Lead"/>
    <x v="0"/>
  </r>
  <r>
    <s v="L1167"/>
    <x v="0"/>
    <x v="1"/>
    <d v="2025-10-16T00:00:00"/>
    <n v="1"/>
    <d v="2025-10-20T00:00:00"/>
    <n v="1"/>
    <d v="2025-10-22T00:00:00"/>
    <n v="1"/>
    <d v="2025-10-24T00:00:00"/>
    <n v="1"/>
    <x v="1"/>
    <n v="0"/>
    <x v="1"/>
    <m/>
    <n v="4"/>
    <n v="2"/>
    <n v="2"/>
    <m/>
    <s v="Cancelled (Lead Stage)"/>
    <x v="0"/>
  </r>
  <r>
    <s v="L1168"/>
    <x v="0"/>
    <x v="0"/>
    <d v="2025-10-16T00:00:00"/>
    <n v="1"/>
    <d v="2025-10-18T00:00:00"/>
    <n v="1"/>
    <d v="2025-10-23T00:00:00"/>
    <n v="1"/>
    <d v="2025-10-27T00:00:00"/>
    <n v="1"/>
    <x v="0"/>
    <n v="1"/>
    <x v="0"/>
    <d v="2025-11-08T00:00:00"/>
    <n v="2"/>
    <n v="5"/>
    <n v="4"/>
    <n v="5"/>
    <s v="Lead"/>
    <x v="0"/>
  </r>
  <r>
    <s v="L1177"/>
    <x v="0"/>
    <x v="1"/>
    <d v="2025-10-16T00:00:00"/>
    <n v="1"/>
    <d v="2025-10-19T00:00:00"/>
    <n v="1"/>
    <d v="2025-10-23T00:00:00"/>
    <n v="1"/>
    <d v="2025-10-29T00:00:00"/>
    <n v="1"/>
    <x v="0"/>
    <n v="1"/>
    <x v="0"/>
    <d v="2025-11-10T00:00:00"/>
    <n v="3"/>
    <n v="4"/>
    <n v="6"/>
    <n v="5"/>
    <s v="Lead"/>
    <x v="0"/>
  </r>
  <r>
    <s v="L1182"/>
    <x v="3"/>
    <x v="2"/>
    <d v="2025-10-16T00:00:00"/>
    <n v="1"/>
    <m/>
    <n v="0"/>
    <m/>
    <n v="0"/>
    <m/>
    <n v="0"/>
    <x v="1"/>
    <n v="0"/>
    <x v="5"/>
    <m/>
    <m/>
    <m/>
    <m/>
    <m/>
    <s v="Cancelled (Lead Stage)"/>
    <x v="0"/>
  </r>
  <r>
    <s v="L1242"/>
    <x v="2"/>
    <x v="2"/>
    <d v="2025-10-16T00:00:00"/>
    <n v="1"/>
    <m/>
    <n v="0"/>
    <m/>
    <n v="0"/>
    <m/>
    <n v="0"/>
    <x v="1"/>
    <n v="0"/>
    <x v="4"/>
    <m/>
    <m/>
    <m/>
    <m/>
    <m/>
    <s v="Cancelled (Lead Stage)"/>
    <x v="0"/>
  </r>
  <r>
    <s v="L1297"/>
    <x v="1"/>
    <x v="0"/>
    <d v="2025-10-16T00:00:00"/>
    <n v="1"/>
    <d v="2025-10-21T00:00:00"/>
    <n v="1"/>
    <d v="2025-10-26T00:00:00"/>
    <n v="1"/>
    <d v="2025-10-30T00:00:00"/>
    <n v="1"/>
    <x v="0"/>
    <n v="1"/>
    <x v="0"/>
    <d v="2025-11-26T00:00:00"/>
    <n v="5"/>
    <n v="5"/>
    <n v="4"/>
    <n v="10"/>
    <s v="Lead"/>
    <x v="2"/>
  </r>
  <r>
    <s v="L1328"/>
    <x v="2"/>
    <x v="0"/>
    <d v="2025-10-16T00:00:00"/>
    <n v="1"/>
    <d v="2025-10-19T00:00:00"/>
    <n v="1"/>
    <d v="2025-10-24T00:00:00"/>
    <n v="1"/>
    <d v="2025-10-29T00:00:00"/>
    <n v="1"/>
    <x v="0"/>
    <n v="1"/>
    <x v="0"/>
    <d v="2025-11-11T00:00:00"/>
    <n v="3"/>
    <n v="5"/>
    <n v="5"/>
    <n v="3"/>
    <s v="Lead"/>
    <x v="0"/>
  </r>
  <r>
    <s v="L1339"/>
    <x v="3"/>
    <x v="2"/>
    <d v="2025-10-16T00:00:00"/>
    <n v="1"/>
    <m/>
    <n v="0"/>
    <m/>
    <n v="0"/>
    <m/>
    <n v="0"/>
    <x v="1"/>
    <n v="0"/>
    <x v="2"/>
    <m/>
    <m/>
    <m/>
    <m/>
    <m/>
    <s v="Cancelled (Lead Stage)"/>
    <x v="0"/>
  </r>
  <r>
    <s v="L1341"/>
    <x v="0"/>
    <x v="0"/>
    <d v="2025-10-16T00:00:00"/>
    <n v="1"/>
    <d v="2025-10-21T00:00:00"/>
    <n v="1"/>
    <d v="2025-10-22T00:00:00"/>
    <n v="1"/>
    <d v="2025-10-24T00:00:00"/>
    <n v="1"/>
    <x v="0"/>
    <n v="1"/>
    <x v="0"/>
    <d v="2025-11-16T00:00:00"/>
    <n v="5"/>
    <n v="1"/>
    <n v="2"/>
    <n v="1"/>
    <s v="Lead"/>
    <x v="0"/>
  </r>
  <r>
    <s v="L1353"/>
    <x v="3"/>
    <x v="2"/>
    <d v="2025-10-16T00:00:00"/>
    <n v="1"/>
    <m/>
    <n v="0"/>
    <m/>
    <n v="0"/>
    <m/>
    <n v="0"/>
    <x v="1"/>
    <n v="0"/>
    <x v="5"/>
    <m/>
    <m/>
    <m/>
    <m/>
    <m/>
    <s v="Cancelled (Lead Stage)"/>
    <x v="0"/>
  </r>
  <r>
    <s v="L1385"/>
    <x v="0"/>
    <x v="2"/>
    <d v="2025-10-16T00:00:00"/>
    <n v="1"/>
    <m/>
    <n v="0"/>
    <m/>
    <n v="0"/>
    <m/>
    <n v="0"/>
    <x v="1"/>
    <n v="0"/>
    <x v="1"/>
    <m/>
    <m/>
    <m/>
    <m/>
    <m/>
    <s v="Cancelled (Lead Stage)"/>
    <x v="0"/>
  </r>
  <r>
    <s v="L1399"/>
    <x v="3"/>
    <x v="0"/>
    <d v="2025-10-16T00:00:00"/>
    <n v="1"/>
    <d v="2025-10-18T00:00:00"/>
    <n v="1"/>
    <d v="2025-10-19T00:00:00"/>
    <n v="1"/>
    <d v="2025-10-26T00:00:00"/>
    <n v="1"/>
    <x v="0"/>
    <n v="1"/>
    <x v="0"/>
    <d v="2025-11-17T00:00:00"/>
    <n v="2"/>
    <n v="1"/>
    <n v="7"/>
    <n v="7"/>
    <s v="Lead"/>
    <x v="1"/>
  </r>
  <r>
    <s v="L1424"/>
    <x v="2"/>
    <x v="0"/>
    <d v="2025-10-16T00:00:00"/>
    <n v="1"/>
    <d v="2025-10-21T00:00:00"/>
    <n v="1"/>
    <d v="2025-10-24T00:00:00"/>
    <n v="1"/>
    <d v="2025-10-26T00:00:00"/>
    <n v="1"/>
    <x v="0"/>
    <n v="1"/>
    <x v="0"/>
    <d v="2025-11-08T00:00:00"/>
    <n v="5"/>
    <n v="3"/>
    <n v="2"/>
    <n v="3"/>
    <s v="Lead"/>
    <x v="0"/>
  </r>
  <r>
    <s v="L1433"/>
    <x v="0"/>
    <x v="0"/>
    <d v="2025-10-16T00:00:00"/>
    <n v="1"/>
    <d v="2025-10-17T00:00:00"/>
    <n v="1"/>
    <d v="2025-10-20T00:00:00"/>
    <n v="1"/>
    <d v="2025-10-25T00:00:00"/>
    <n v="1"/>
    <x v="0"/>
    <n v="1"/>
    <x v="0"/>
    <d v="2025-11-23T00:00:00"/>
    <n v="1"/>
    <n v="3"/>
    <n v="5"/>
    <n v="1"/>
    <s v="Lead"/>
    <x v="0"/>
  </r>
  <r>
    <s v="L1434"/>
    <x v="1"/>
    <x v="1"/>
    <d v="2025-10-16T00:00:00"/>
    <n v="1"/>
    <d v="2025-10-20T00:00:00"/>
    <n v="1"/>
    <d v="2025-10-21T00:00:00"/>
    <n v="1"/>
    <d v="2025-10-25T00:00:00"/>
    <n v="1"/>
    <x v="0"/>
    <n v="1"/>
    <x v="0"/>
    <d v="2025-11-24T00:00:00"/>
    <n v="4"/>
    <n v="1"/>
    <n v="4"/>
    <n v="3"/>
    <s v="Lead"/>
    <x v="0"/>
  </r>
  <r>
    <s v="L1468"/>
    <x v="3"/>
    <x v="0"/>
    <d v="2025-10-16T00:00:00"/>
    <n v="1"/>
    <d v="2025-10-20T00:00:00"/>
    <n v="1"/>
    <d v="2025-10-21T00:00:00"/>
    <n v="1"/>
    <d v="2025-10-28T00:00:00"/>
    <n v="1"/>
    <x v="0"/>
    <n v="1"/>
    <x v="0"/>
    <d v="2025-11-13T00:00:00"/>
    <n v="4"/>
    <n v="1"/>
    <n v="7"/>
    <n v="0"/>
    <s v="Lead"/>
    <x v="0"/>
  </r>
  <r>
    <s v="L1473"/>
    <x v="0"/>
    <x v="0"/>
    <d v="2025-10-16T00:00:00"/>
    <n v="1"/>
    <d v="2025-10-19T00:00:00"/>
    <n v="1"/>
    <d v="2025-10-23T00:00:00"/>
    <n v="1"/>
    <d v="2025-10-26T00:00:00"/>
    <n v="1"/>
    <x v="0"/>
    <n v="1"/>
    <x v="0"/>
    <d v="2025-11-12T00:00:00"/>
    <n v="3"/>
    <n v="4"/>
    <n v="3"/>
    <n v="8"/>
    <s v="Lead"/>
    <x v="1"/>
  </r>
  <r>
    <s v="L1496"/>
    <x v="2"/>
    <x v="2"/>
    <d v="2025-10-16T00:00:00"/>
    <n v="1"/>
    <m/>
    <n v="0"/>
    <m/>
    <n v="0"/>
    <m/>
    <n v="0"/>
    <x v="1"/>
    <n v="0"/>
    <x v="2"/>
    <m/>
    <m/>
    <m/>
    <m/>
    <m/>
    <s v="Cancelled (Lead Stage)"/>
    <x v="0"/>
  </r>
  <r>
    <s v="L1507"/>
    <x v="3"/>
    <x v="0"/>
    <d v="2025-10-16T00:00:00"/>
    <n v="1"/>
    <d v="2025-10-17T00:00:00"/>
    <n v="1"/>
    <d v="2025-10-20T00:00:00"/>
    <n v="1"/>
    <d v="2025-10-22T00:00:00"/>
    <n v="1"/>
    <x v="0"/>
    <n v="1"/>
    <x v="0"/>
    <d v="2025-11-12T00:00:00"/>
    <n v="1"/>
    <n v="3"/>
    <n v="2"/>
    <n v="5"/>
    <s v="Lead"/>
    <x v="0"/>
  </r>
  <r>
    <s v="L1532"/>
    <x v="1"/>
    <x v="2"/>
    <d v="2025-10-16T00:00:00"/>
    <n v="1"/>
    <m/>
    <n v="0"/>
    <m/>
    <n v="0"/>
    <m/>
    <n v="0"/>
    <x v="1"/>
    <n v="0"/>
    <x v="5"/>
    <m/>
    <m/>
    <m/>
    <m/>
    <m/>
    <s v="Cancelled (Lead Stage)"/>
    <x v="0"/>
  </r>
  <r>
    <s v="L1554"/>
    <x v="0"/>
    <x v="0"/>
    <d v="2025-10-16T00:00:00"/>
    <n v="1"/>
    <d v="2025-10-17T00:00:00"/>
    <n v="1"/>
    <d v="2025-10-20T00:00:00"/>
    <n v="1"/>
    <d v="2025-10-27T00:00:00"/>
    <n v="1"/>
    <x v="0"/>
    <n v="1"/>
    <x v="0"/>
    <d v="2025-11-18T00:00:00"/>
    <n v="1"/>
    <n v="3"/>
    <n v="7"/>
    <n v="2"/>
    <s v="Lead"/>
    <x v="0"/>
  </r>
  <r>
    <s v="L1606"/>
    <x v="1"/>
    <x v="0"/>
    <d v="2025-10-16T00:00:00"/>
    <n v="1"/>
    <d v="2025-10-20T00:00:00"/>
    <n v="1"/>
    <d v="2025-10-25T00:00:00"/>
    <n v="1"/>
    <d v="2025-11-01T00:00:00"/>
    <n v="1"/>
    <x v="0"/>
    <n v="1"/>
    <x v="0"/>
    <d v="2025-11-11T00:00:00"/>
    <n v="4"/>
    <n v="5"/>
    <n v="7"/>
    <n v="2"/>
    <s v="Lead"/>
    <x v="0"/>
  </r>
  <r>
    <s v="L1643"/>
    <x v="2"/>
    <x v="1"/>
    <d v="2025-10-16T00:00:00"/>
    <n v="1"/>
    <d v="2025-10-20T00:00:00"/>
    <n v="1"/>
    <d v="2025-10-23T00:00:00"/>
    <n v="1"/>
    <d v="2025-10-25T00:00:00"/>
    <n v="1"/>
    <x v="0"/>
    <n v="1"/>
    <x v="0"/>
    <d v="2025-11-12T00:00:00"/>
    <n v="4"/>
    <n v="3"/>
    <n v="2"/>
    <n v="4"/>
    <s v="Lead"/>
    <x v="0"/>
  </r>
  <r>
    <s v="L1668"/>
    <x v="2"/>
    <x v="1"/>
    <d v="2025-10-16T00:00:00"/>
    <n v="1"/>
    <d v="2025-10-20T00:00:00"/>
    <n v="1"/>
    <d v="2025-10-25T00:00:00"/>
    <n v="1"/>
    <d v="2025-10-31T00:00:00"/>
    <n v="1"/>
    <x v="0"/>
    <n v="1"/>
    <x v="0"/>
    <d v="2025-11-13T00:00:00"/>
    <n v="4"/>
    <n v="5"/>
    <n v="6"/>
    <n v="2"/>
    <s v="Lead"/>
    <x v="0"/>
  </r>
  <r>
    <s v="L1729"/>
    <x v="3"/>
    <x v="0"/>
    <d v="2025-10-16T00:00:00"/>
    <n v="1"/>
    <d v="2025-10-19T00:00:00"/>
    <n v="1"/>
    <d v="2025-10-23T00:00:00"/>
    <n v="1"/>
    <d v="2025-10-28T00:00:00"/>
    <n v="1"/>
    <x v="0"/>
    <n v="1"/>
    <x v="0"/>
    <d v="2025-11-20T00:00:00"/>
    <n v="3"/>
    <n v="4"/>
    <n v="5"/>
    <n v="9"/>
    <s v="Lead"/>
    <x v="2"/>
  </r>
  <r>
    <s v="L1777"/>
    <x v="1"/>
    <x v="2"/>
    <d v="2025-10-16T00:00:00"/>
    <n v="1"/>
    <m/>
    <n v="0"/>
    <m/>
    <n v="0"/>
    <m/>
    <n v="0"/>
    <x v="1"/>
    <n v="0"/>
    <x v="2"/>
    <m/>
    <m/>
    <m/>
    <m/>
    <m/>
    <s v="Cancelled (Lead Stage)"/>
    <x v="0"/>
  </r>
  <r>
    <s v="L1803"/>
    <x v="3"/>
    <x v="0"/>
    <d v="2025-10-16T00:00:00"/>
    <n v="1"/>
    <d v="2025-10-19T00:00:00"/>
    <n v="1"/>
    <d v="2025-10-24T00:00:00"/>
    <n v="1"/>
    <d v="2025-10-28T00:00:00"/>
    <n v="1"/>
    <x v="0"/>
    <n v="1"/>
    <x v="0"/>
    <d v="2025-11-23T00:00:00"/>
    <n v="3"/>
    <n v="5"/>
    <n v="4"/>
    <n v="1"/>
    <s v="Lead"/>
    <x v="0"/>
  </r>
  <r>
    <s v="L1829"/>
    <x v="2"/>
    <x v="0"/>
    <d v="2025-10-16T00:00:00"/>
    <n v="1"/>
    <d v="2025-10-21T00:00:00"/>
    <n v="1"/>
    <d v="2025-10-23T00:00:00"/>
    <n v="1"/>
    <d v="2025-10-29T00:00:00"/>
    <n v="1"/>
    <x v="1"/>
    <n v="0"/>
    <x v="5"/>
    <m/>
    <n v="5"/>
    <n v="2"/>
    <n v="6"/>
    <m/>
    <s v="Cancelled (Lead Stage)"/>
    <x v="0"/>
  </r>
  <r>
    <s v="L1925"/>
    <x v="0"/>
    <x v="1"/>
    <d v="2025-10-16T00:00:00"/>
    <n v="1"/>
    <d v="2025-10-17T00:00:00"/>
    <n v="1"/>
    <d v="2025-10-22T00:00:00"/>
    <n v="1"/>
    <d v="2025-10-29T00:00:00"/>
    <n v="1"/>
    <x v="0"/>
    <n v="1"/>
    <x v="0"/>
    <d v="2025-11-09T00:00:00"/>
    <n v="1"/>
    <n v="5"/>
    <n v="7"/>
    <n v="2"/>
    <s v="Lead"/>
    <x v="0"/>
  </r>
  <r>
    <s v="L1950"/>
    <x v="1"/>
    <x v="1"/>
    <d v="2025-10-16T00:00:00"/>
    <n v="1"/>
    <d v="2025-10-21T00:00:00"/>
    <n v="1"/>
    <d v="2025-10-24T00:00:00"/>
    <n v="1"/>
    <d v="2025-10-27T00:00:00"/>
    <n v="1"/>
    <x v="0"/>
    <n v="1"/>
    <x v="0"/>
    <d v="2025-11-21T00:00:00"/>
    <n v="5"/>
    <n v="3"/>
    <n v="3"/>
    <n v="3"/>
    <s v="Lead"/>
    <x v="0"/>
  </r>
  <r>
    <s v="L1956"/>
    <x v="3"/>
    <x v="2"/>
    <d v="2025-10-16T00:00:00"/>
    <n v="1"/>
    <m/>
    <n v="0"/>
    <m/>
    <n v="0"/>
    <m/>
    <n v="0"/>
    <x v="1"/>
    <n v="0"/>
    <x v="1"/>
    <m/>
    <m/>
    <m/>
    <m/>
    <m/>
    <s v="Cancelled (Lead Stage)"/>
    <x v="0"/>
  </r>
  <r>
    <s v="L1014"/>
    <x v="2"/>
    <x v="1"/>
    <d v="2025-10-15T00:00:00"/>
    <n v="1"/>
    <d v="2025-10-17T00:00:00"/>
    <n v="1"/>
    <d v="2025-10-18T00:00:00"/>
    <n v="1"/>
    <d v="2025-10-21T00:00:00"/>
    <n v="1"/>
    <x v="1"/>
    <n v="0"/>
    <x v="3"/>
    <m/>
    <n v="2"/>
    <n v="1"/>
    <n v="3"/>
    <m/>
    <s v="Cancelled (Lead Stage)"/>
    <x v="0"/>
  </r>
  <r>
    <s v="L1030"/>
    <x v="2"/>
    <x v="0"/>
    <d v="2025-10-15T00:00:00"/>
    <n v="1"/>
    <d v="2025-10-18T00:00:00"/>
    <n v="1"/>
    <d v="2025-10-20T00:00:00"/>
    <n v="1"/>
    <d v="2025-10-23T00:00:00"/>
    <n v="1"/>
    <x v="0"/>
    <n v="1"/>
    <x v="0"/>
    <d v="2025-11-06T00:00:00"/>
    <n v="3"/>
    <n v="2"/>
    <n v="3"/>
    <n v="3"/>
    <s v="Lead"/>
    <x v="0"/>
  </r>
  <r>
    <s v="L1044"/>
    <x v="1"/>
    <x v="1"/>
    <d v="2025-10-15T00:00:00"/>
    <n v="1"/>
    <d v="2025-10-20T00:00:00"/>
    <n v="1"/>
    <d v="2025-10-22T00:00:00"/>
    <n v="1"/>
    <d v="2025-10-26T00:00:00"/>
    <n v="1"/>
    <x v="0"/>
    <n v="1"/>
    <x v="0"/>
    <d v="2025-11-23T00:00:00"/>
    <n v="5"/>
    <n v="2"/>
    <n v="4"/>
    <n v="8"/>
    <s v="Lead"/>
    <x v="1"/>
  </r>
  <r>
    <s v="L1047"/>
    <x v="2"/>
    <x v="2"/>
    <d v="2025-10-15T00:00:00"/>
    <n v="1"/>
    <m/>
    <n v="0"/>
    <m/>
    <n v="0"/>
    <m/>
    <n v="0"/>
    <x v="1"/>
    <n v="0"/>
    <x v="5"/>
    <m/>
    <m/>
    <m/>
    <m/>
    <m/>
    <s v="Cancelled (Lead Stage)"/>
    <x v="0"/>
  </r>
  <r>
    <s v="L1088"/>
    <x v="0"/>
    <x v="1"/>
    <d v="2025-10-15T00:00:00"/>
    <n v="1"/>
    <d v="2025-10-17T00:00:00"/>
    <n v="1"/>
    <d v="2025-10-20T00:00:00"/>
    <n v="1"/>
    <d v="2025-10-26T00:00:00"/>
    <n v="1"/>
    <x v="0"/>
    <n v="1"/>
    <x v="0"/>
    <d v="2025-11-24T00:00:00"/>
    <n v="2"/>
    <n v="3"/>
    <n v="6"/>
    <n v="5"/>
    <s v="Lead"/>
    <x v="0"/>
  </r>
  <r>
    <s v="L1111"/>
    <x v="0"/>
    <x v="0"/>
    <d v="2025-10-15T00:00:00"/>
    <n v="1"/>
    <d v="2025-10-16T00:00:00"/>
    <n v="1"/>
    <d v="2025-10-17T00:00:00"/>
    <n v="1"/>
    <d v="2025-10-21T00:00:00"/>
    <n v="1"/>
    <x v="0"/>
    <n v="1"/>
    <x v="0"/>
    <d v="2025-11-02T00:00:00"/>
    <n v="1"/>
    <n v="1"/>
    <n v="4"/>
    <n v="2"/>
    <s v="Lead"/>
    <x v="0"/>
  </r>
  <r>
    <s v="L1169"/>
    <x v="2"/>
    <x v="1"/>
    <d v="2025-10-15T00:00:00"/>
    <n v="1"/>
    <d v="2025-10-17T00:00:00"/>
    <n v="1"/>
    <d v="2025-10-18T00:00:00"/>
    <n v="1"/>
    <d v="2025-10-24T00:00:00"/>
    <n v="1"/>
    <x v="0"/>
    <n v="1"/>
    <x v="0"/>
    <d v="2025-11-13T00:00:00"/>
    <n v="2"/>
    <n v="1"/>
    <n v="6"/>
    <n v="2"/>
    <s v="Lead"/>
    <x v="0"/>
  </r>
  <r>
    <s v="L1208"/>
    <x v="0"/>
    <x v="2"/>
    <d v="2025-10-15T00:00:00"/>
    <n v="1"/>
    <m/>
    <n v="0"/>
    <m/>
    <n v="0"/>
    <m/>
    <n v="0"/>
    <x v="1"/>
    <n v="0"/>
    <x v="1"/>
    <m/>
    <m/>
    <m/>
    <m/>
    <m/>
    <s v="Cancelled (Lead Stage)"/>
    <x v="0"/>
  </r>
  <r>
    <s v="L1210"/>
    <x v="2"/>
    <x v="2"/>
    <d v="2025-10-15T00:00:00"/>
    <n v="1"/>
    <m/>
    <n v="0"/>
    <m/>
    <n v="0"/>
    <m/>
    <n v="0"/>
    <x v="1"/>
    <n v="0"/>
    <x v="1"/>
    <m/>
    <m/>
    <m/>
    <m/>
    <m/>
    <s v="Cancelled (Lead Stage)"/>
    <x v="0"/>
  </r>
  <r>
    <s v="L1239"/>
    <x v="0"/>
    <x v="1"/>
    <d v="2025-10-15T00:00:00"/>
    <n v="1"/>
    <d v="2025-10-17T00:00:00"/>
    <n v="1"/>
    <d v="2025-10-21T00:00:00"/>
    <n v="1"/>
    <d v="2025-10-24T00:00:00"/>
    <n v="1"/>
    <x v="1"/>
    <n v="0"/>
    <x v="2"/>
    <m/>
    <n v="2"/>
    <n v="4"/>
    <n v="3"/>
    <m/>
    <s v="Cancelled (Lead Stage)"/>
    <x v="0"/>
  </r>
  <r>
    <s v="L1251"/>
    <x v="0"/>
    <x v="1"/>
    <d v="2025-10-15T00:00:00"/>
    <n v="1"/>
    <d v="2025-10-19T00:00:00"/>
    <n v="1"/>
    <d v="2025-10-22T00:00:00"/>
    <n v="1"/>
    <d v="2025-10-29T00:00:00"/>
    <n v="1"/>
    <x v="0"/>
    <n v="1"/>
    <x v="0"/>
    <d v="2025-11-11T00:00:00"/>
    <n v="4"/>
    <n v="3"/>
    <n v="7"/>
    <n v="6"/>
    <s v="Lead"/>
    <x v="0"/>
  </r>
  <r>
    <s v="L1286"/>
    <x v="1"/>
    <x v="2"/>
    <d v="2025-10-15T00:00:00"/>
    <n v="1"/>
    <m/>
    <n v="0"/>
    <m/>
    <n v="0"/>
    <m/>
    <n v="0"/>
    <x v="1"/>
    <n v="0"/>
    <x v="5"/>
    <m/>
    <m/>
    <m/>
    <m/>
    <m/>
    <s v="Cancelled (Lead Stage)"/>
    <x v="0"/>
  </r>
  <r>
    <s v="L1288"/>
    <x v="2"/>
    <x v="0"/>
    <d v="2025-10-15T00:00:00"/>
    <n v="1"/>
    <d v="2025-10-16T00:00:00"/>
    <n v="1"/>
    <d v="2025-10-17T00:00:00"/>
    <n v="1"/>
    <d v="2025-10-19T00:00:00"/>
    <n v="1"/>
    <x v="1"/>
    <n v="0"/>
    <x v="3"/>
    <m/>
    <n v="1"/>
    <n v="1"/>
    <n v="2"/>
    <m/>
    <s v="Cancelled (Lead Stage)"/>
    <x v="0"/>
  </r>
  <r>
    <s v="L1298"/>
    <x v="3"/>
    <x v="1"/>
    <d v="2025-10-15T00:00:00"/>
    <n v="1"/>
    <d v="2025-10-20T00:00:00"/>
    <n v="1"/>
    <d v="2025-10-21T00:00:00"/>
    <n v="1"/>
    <d v="2025-10-23T00:00:00"/>
    <n v="1"/>
    <x v="0"/>
    <n v="1"/>
    <x v="0"/>
    <d v="2025-11-15T00:00:00"/>
    <n v="5"/>
    <n v="1"/>
    <n v="2"/>
    <n v="10"/>
    <s v="Lead"/>
    <x v="2"/>
  </r>
  <r>
    <s v="L1331"/>
    <x v="0"/>
    <x v="0"/>
    <d v="2025-10-15T00:00:00"/>
    <n v="1"/>
    <d v="2025-10-18T00:00:00"/>
    <n v="1"/>
    <d v="2025-10-19T00:00:00"/>
    <n v="1"/>
    <d v="2025-10-22T00:00:00"/>
    <n v="1"/>
    <x v="0"/>
    <n v="1"/>
    <x v="0"/>
    <d v="2025-11-06T00:00:00"/>
    <n v="3"/>
    <n v="1"/>
    <n v="3"/>
    <n v="0"/>
    <s v="Lead"/>
    <x v="0"/>
  </r>
  <r>
    <s v="L1362"/>
    <x v="2"/>
    <x v="0"/>
    <d v="2025-10-15T00:00:00"/>
    <n v="1"/>
    <d v="2025-10-18T00:00:00"/>
    <n v="1"/>
    <d v="2025-10-19T00:00:00"/>
    <n v="1"/>
    <d v="2025-10-26T00:00:00"/>
    <n v="1"/>
    <x v="0"/>
    <n v="1"/>
    <x v="0"/>
    <d v="2025-11-05T00:00:00"/>
    <n v="3"/>
    <n v="1"/>
    <n v="7"/>
    <n v="1"/>
    <s v="Lead"/>
    <x v="0"/>
  </r>
  <r>
    <s v="L1377"/>
    <x v="0"/>
    <x v="0"/>
    <d v="2025-10-15T00:00:00"/>
    <n v="1"/>
    <d v="2025-10-17T00:00:00"/>
    <n v="1"/>
    <d v="2025-10-22T00:00:00"/>
    <n v="1"/>
    <d v="2025-10-26T00:00:00"/>
    <n v="1"/>
    <x v="0"/>
    <n v="1"/>
    <x v="0"/>
    <d v="2025-11-08T00:00:00"/>
    <n v="2"/>
    <n v="5"/>
    <n v="4"/>
    <n v="9"/>
    <s v="Lead"/>
    <x v="2"/>
  </r>
  <r>
    <s v="L1387"/>
    <x v="3"/>
    <x v="0"/>
    <d v="2025-10-15T00:00:00"/>
    <n v="1"/>
    <d v="2025-10-20T00:00:00"/>
    <n v="1"/>
    <d v="2025-10-22T00:00:00"/>
    <n v="1"/>
    <d v="2025-10-27T00:00:00"/>
    <n v="1"/>
    <x v="1"/>
    <n v="0"/>
    <x v="1"/>
    <m/>
    <n v="5"/>
    <n v="2"/>
    <n v="5"/>
    <m/>
    <s v="Cancelled (Lead Stage)"/>
    <x v="0"/>
  </r>
  <r>
    <s v="L1396"/>
    <x v="1"/>
    <x v="0"/>
    <d v="2025-10-15T00:00:00"/>
    <n v="1"/>
    <d v="2025-10-17T00:00:00"/>
    <n v="1"/>
    <d v="2025-10-19T00:00:00"/>
    <n v="1"/>
    <d v="2025-10-22T00:00:00"/>
    <n v="1"/>
    <x v="0"/>
    <n v="1"/>
    <x v="0"/>
    <d v="2025-11-02T00:00:00"/>
    <n v="2"/>
    <n v="2"/>
    <n v="3"/>
    <n v="6"/>
    <s v="Lead"/>
    <x v="0"/>
  </r>
  <r>
    <s v="L1418"/>
    <x v="0"/>
    <x v="0"/>
    <d v="2025-10-15T00:00:00"/>
    <n v="1"/>
    <d v="2025-10-20T00:00:00"/>
    <n v="1"/>
    <d v="2025-10-22T00:00:00"/>
    <n v="1"/>
    <d v="2025-10-27T00:00:00"/>
    <n v="1"/>
    <x v="0"/>
    <n v="1"/>
    <x v="0"/>
    <d v="2025-11-16T00:00:00"/>
    <n v="5"/>
    <n v="2"/>
    <n v="5"/>
    <n v="9"/>
    <s v="Lead"/>
    <x v="2"/>
  </r>
  <r>
    <s v="L1436"/>
    <x v="3"/>
    <x v="0"/>
    <d v="2025-10-15T00:00:00"/>
    <n v="1"/>
    <d v="2025-10-20T00:00:00"/>
    <n v="1"/>
    <d v="2025-10-25T00:00:00"/>
    <n v="1"/>
    <d v="2025-10-28T00:00:00"/>
    <n v="1"/>
    <x v="0"/>
    <n v="1"/>
    <x v="0"/>
    <d v="2025-11-13T00:00:00"/>
    <n v="5"/>
    <n v="5"/>
    <n v="3"/>
    <n v="3"/>
    <s v="Lead"/>
    <x v="0"/>
  </r>
  <r>
    <s v="L1471"/>
    <x v="2"/>
    <x v="2"/>
    <d v="2025-10-15T00:00:00"/>
    <n v="1"/>
    <m/>
    <n v="0"/>
    <m/>
    <n v="0"/>
    <m/>
    <n v="0"/>
    <x v="1"/>
    <n v="0"/>
    <x v="2"/>
    <m/>
    <m/>
    <m/>
    <m/>
    <m/>
    <s v="Cancelled (Lead Stage)"/>
    <x v="0"/>
  </r>
  <r>
    <s v="L1480"/>
    <x v="0"/>
    <x v="0"/>
    <d v="2025-10-15T00:00:00"/>
    <n v="1"/>
    <d v="2025-10-17T00:00:00"/>
    <n v="1"/>
    <d v="2025-10-19T00:00:00"/>
    <n v="1"/>
    <d v="2025-10-26T00:00:00"/>
    <n v="1"/>
    <x v="0"/>
    <n v="1"/>
    <x v="0"/>
    <d v="2025-11-06T00:00:00"/>
    <n v="2"/>
    <n v="2"/>
    <n v="7"/>
    <n v="2"/>
    <s v="Lead"/>
    <x v="0"/>
  </r>
  <r>
    <s v="L1519"/>
    <x v="2"/>
    <x v="0"/>
    <d v="2025-10-15T00:00:00"/>
    <n v="1"/>
    <d v="2025-10-20T00:00:00"/>
    <n v="1"/>
    <d v="2025-10-22T00:00:00"/>
    <n v="1"/>
    <d v="2025-10-27T00:00:00"/>
    <n v="1"/>
    <x v="0"/>
    <n v="1"/>
    <x v="0"/>
    <d v="2025-11-11T00:00:00"/>
    <n v="5"/>
    <n v="2"/>
    <n v="5"/>
    <n v="6"/>
    <s v="Lead"/>
    <x v="0"/>
  </r>
  <r>
    <s v="L1523"/>
    <x v="0"/>
    <x v="0"/>
    <d v="2025-10-15T00:00:00"/>
    <n v="1"/>
    <d v="2025-10-20T00:00:00"/>
    <n v="1"/>
    <d v="2025-10-25T00:00:00"/>
    <n v="1"/>
    <d v="2025-10-27T00:00:00"/>
    <n v="1"/>
    <x v="0"/>
    <n v="1"/>
    <x v="0"/>
    <d v="2025-11-13T00:00:00"/>
    <n v="5"/>
    <n v="5"/>
    <n v="2"/>
    <n v="4"/>
    <s v="Lead"/>
    <x v="0"/>
  </r>
  <r>
    <s v="L1575"/>
    <x v="1"/>
    <x v="1"/>
    <d v="2025-10-15T00:00:00"/>
    <n v="1"/>
    <d v="2025-10-19T00:00:00"/>
    <n v="1"/>
    <d v="2025-10-23T00:00:00"/>
    <n v="1"/>
    <d v="2025-10-25T00:00:00"/>
    <n v="1"/>
    <x v="0"/>
    <n v="1"/>
    <x v="0"/>
    <d v="2025-11-23T00:00:00"/>
    <n v="4"/>
    <n v="4"/>
    <n v="2"/>
    <n v="10"/>
    <s v="Lead"/>
    <x v="2"/>
  </r>
  <r>
    <s v="L1611"/>
    <x v="2"/>
    <x v="0"/>
    <d v="2025-10-15T00:00:00"/>
    <n v="1"/>
    <d v="2025-10-17T00:00:00"/>
    <n v="1"/>
    <d v="2025-10-22T00:00:00"/>
    <n v="1"/>
    <d v="2025-10-26T00:00:00"/>
    <n v="1"/>
    <x v="0"/>
    <n v="1"/>
    <x v="0"/>
    <d v="2025-11-18T00:00:00"/>
    <n v="2"/>
    <n v="5"/>
    <n v="4"/>
    <n v="2"/>
    <s v="Lead"/>
    <x v="0"/>
  </r>
  <r>
    <s v="L1614"/>
    <x v="0"/>
    <x v="0"/>
    <d v="2025-10-15T00:00:00"/>
    <n v="1"/>
    <d v="2025-10-19T00:00:00"/>
    <n v="1"/>
    <d v="2025-10-23T00:00:00"/>
    <n v="1"/>
    <d v="2025-10-28T00:00:00"/>
    <n v="1"/>
    <x v="0"/>
    <n v="1"/>
    <x v="0"/>
    <d v="2025-11-19T00:00:00"/>
    <n v="4"/>
    <n v="4"/>
    <n v="5"/>
    <n v="6"/>
    <s v="Lead"/>
    <x v="0"/>
  </r>
  <r>
    <s v="L1620"/>
    <x v="0"/>
    <x v="0"/>
    <d v="2025-10-15T00:00:00"/>
    <n v="1"/>
    <d v="2025-10-19T00:00:00"/>
    <n v="1"/>
    <d v="2025-10-24T00:00:00"/>
    <n v="1"/>
    <d v="2025-10-28T00:00:00"/>
    <n v="1"/>
    <x v="1"/>
    <n v="0"/>
    <x v="3"/>
    <m/>
    <n v="4"/>
    <n v="5"/>
    <n v="4"/>
    <m/>
    <s v="Cancelled (Lead Stage)"/>
    <x v="0"/>
  </r>
  <r>
    <s v="L1627"/>
    <x v="1"/>
    <x v="2"/>
    <d v="2025-10-15T00:00:00"/>
    <n v="1"/>
    <m/>
    <n v="0"/>
    <m/>
    <n v="0"/>
    <m/>
    <n v="0"/>
    <x v="1"/>
    <n v="0"/>
    <x v="1"/>
    <m/>
    <m/>
    <m/>
    <m/>
    <m/>
    <s v="Cancelled (Lead Stage)"/>
    <x v="0"/>
  </r>
  <r>
    <s v="L1637"/>
    <x v="1"/>
    <x v="1"/>
    <d v="2025-10-15T00:00:00"/>
    <n v="1"/>
    <d v="2025-10-20T00:00:00"/>
    <n v="1"/>
    <d v="2025-10-23T00:00:00"/>
    <n v="1"/>
    <d v="2025-10-28T00:00:00"/>
    <n v="1"/>
    <x v="0"/>
    <n v="1"/>
    <x v="0"/>
    <d v="2025-11-12T00:00:00"/>
    <n v="5"/>
    <n v="3"/>
    <n v="5"/>
    <n v="2"/>
    <s v="Lead"/>
    <x v="0"/>
  </r>
  <r>
    <s v="L1700"/>
    <x v="1"/>
    <x v="2"/>
    <d v="2025-10-15T00:00:00"/>
    <n v="1"/>
    <m/>
    <n v="0"/>
    <m/>
    <n v="0"/>
    <m/>
    <n v="0"/>
    <x v="1"/>
    <n v="0"/>
    <x v="2"/>
    <m/>
    <m/>
    <m/>
    <m/>
    <m/>
    <s v="Cancelled (Lead Stage)"/>
    <x v="0"/>
  </r>
  <r>
    <s v="L1738"/>
    <x v="0"/>
    <x v="1"/>
    <d v="2025-10-15T00:00:00"/>
    <n v="1"/>
    <d v="2025-10-16T00:00:00"/>
    <n v="1"/>
    <d v="2025-10-20T00:00:00"/>
    <n v="1"/>
    <d v="2025-10-26T00:00:00"/>
    <n v="1"/>
    <x v="0"/>
    <n v="1"/>
    <x v="0"/>
    <d v="2025-11-06T00:00:00"/>
    <n v="1"/>
    <n v="4"/>
    <n v="6"/>
    <n v="7"/>
    <s v="Lead"/>
    <x v="1"/>
  </r>
  <r>
    <s v="L1762"/>
    <x v="3"/>
    <x v="2"/>
    <d v="2025-10-15T00:00:00"/>
    <n v="1"/>
    <m/>
    <n v="0"/>
    <m/>
    <n v="0"/>
    <m/>
    <n v="0"/>
    <x v="1"/>
    <n v="0"/>
    <x v="3"/>
    <m/>
    <m/>
    <m/>
    <m/>
    <m/>
    <s v="Cancelled (Lead Stage)"/>
    <x v="0"/>
  </r>
  <r>
    <s v="L1791"/>
    <x v="0"/>
    <x v="0"/>
    <d v="2025-10-15T00:00:00"/>
    <n v="1"/>
    <d v="2025-10-17T00:00:00"/>
    <n v="1"/>
    <d v="2025-10-18T00:00:00"/>
    <n v="1"/>
    <d v="2025-10-23T00:00:00"/>
    <n v="1"/>
    <x v="0"/>
    <n v="1"/>
    <x v="0"/>
    <d v="2025-11-02T00:00:00"/>
    <n v="2"/>
    <n v="1"/>
    <n v="5"/>
    <n v="8"/>
    <s v="Lead"/>
    <x v="1"/>
  </r>
  <r>
    <s v="L1811"/>
    <x v="3"/>
    <x v="0"/>
    <d v="2025-10-15T00:00:00"/>
    <n v="1"/>
    <d v="2025-10-20T00:00:00"/>
    <n v="1"/>
    <d v="2025-10-23T00:00:00"/>
    <n v="1"/>
    <d v="2025-10-30T00:00:00"/>
    <n v="1"/>
    <x v="0"/>
    <n v="1"/>
    <x v="0"/>
    <d v="2025-11-21T00:00:00"/>
    <n v="5"/>
    <n v="3"/>
    <n v="7"/>
    <n v="7"/>
    <s v="Lead"/>
    <x v="1"/>
  </r>
  <r>
    <s v="L1839"/>
    <x v="0"/>
    <x v="1"/>
    <d v="2025-10-15T00:00:00"/>
    <n v="1"/>
    <d v="2025-10-18T00:00:00"/>
    <n v="1"/>
    <d v="2025-10-22T00:00:00"/>
    <n v="1"/>
    <d v="2025-10-29T00:00:00"/>
    <n v="1"/>
    <x v="0"/>
    <n v="1"/>
    <x v="0"/>
    <d v="2025-11-23T00:00:00"/>
    <n v="3"/>
    <n v="4"/>
    <n v="7"/>
    <n v="9"/>
    <s v="Lead"/>
    <x v="2"/>
  </r>
  <r>
    <s v="L1840"/>
    <x v="1"/>
    <x v="2"/>
    <d v="2025-10-15T00:00:00"/>
    <n v="1"/>
    <m/>
    <n v="0"/>
    <m/>
    <n v="0"/>
    <m/>
    <n v="0"/>
    <x v="1"/>
    <n v="0"/>
    <x v="3"/>
    <m/>
    <m/>
    <m/>
    <m/>
    <m/>
    <s v="Cancelled (Lead Stage)"/>
    <x v="0"/>
  </r>
  <r>
    <s v="L1861"/>
    <x v="0"/>
    <x v="0"/>
    <d v="2025-10-15T00:00:00"/>
    <n v="1"/>
    <d v="2025-10-18T00:00:00"/>
    <n v="1"/>
    <d v="2025-10-21T00:00:00"/>
    <n v="1"/>
    <d v="2025-10-23T00:00:00"/>
    <n v="1"/>
    <x v="0"/>
    <n v="1"/>
    <x v="0"/>
    <d v="2025-11-21T00:00:00"/>
    <n v="3"/>
    <n v="3"/>
    <n v="2"/>
    <n v="5"/>
    <s v="Lead"/>
    <x v="0"/>
  </r>
  <r>
    <s v="L1926"/>
    <x v="2"/>
    <x v="0"/>
    <d v="2025-10-15T00:00:00"/>
    <n v="1"/>
    <d v="2025-10-19T00:00:00"/>
    <n v="1"/>
    <d v="2025-10-23T00:00:00"/>
    <n v="1"/>
    <d v="2025-10-29T00:00:00"/>
    <n v="1"/>
    <x v="0"/>
    <n v="1"/>
    <x v="0"/>
    <d v="2025-11-08T00:00:00"/>
    <n v="4"/>
    <n v="4"/>
    <n v="6"/>
    <n v="7"/>
    <s v="Lead"/>
    <x v="1"/>
  </r>
  <r>
    <s v="L1932"/>
    <x v="2"/>
    <x v="0"/>
    <d v="2025-10-15T00:00:00"/>
    <n v="1"/>
    <d v="2025-10-16T00:00:00"/>
    <n v="1"/>
    <d v="2025-10-19T00:00:00"/>
    <n v="1"/>
    <d v="2025-10-26T00:00:00"/>
    <n v="1"/>
    <x v="0"/>
    <n v="1"/>
    <x v="0"/>
    <d v="2025-11-16T00:00:00"/>
    <n v="1"/>
    <n v="3"/>
    <n v="7"/>
    <n v="2"/>
    <s v="Lead"/>
    <x v="0"/>
  </r>
  <r>
    <s v="L1945"/>
    <x v="2"/>
    <x v="0"/>
    <d v="2025-10-15T00:00:00"/>
    <n v="1"/>
    <d v="2025-10-20T00:00:00"/>
    <n v="1"/>
    <d v="2025-10-24T00:00:00"/>
    <n v="1"/>
    <d v="2025-10-27T00:00:00"/>
    <n v="1"/>
    <x v="0"/>
    <n v="1"/>
    <x v="0"/>
    <d v="2025-11-18T00:00:00"/>
    <n v="5"/>
    <n v="4"/>
    <n v="3"/>
    <n v="6"/>
    <s v="Lead"/>
    <x v="0"/>
  </r>
  <r>
    <s v="L1959"/>
    <x v="1"/>
    <x v="2"/>
    <d v="2025-10-15T00:00:00"/>
    <n v="1"/>
    <m/>
    <n v="0"/>
    <m/>
    <n v="0"/>
    <m/>
    <n v="0"/>
    <x v="1"/>
    <n v="0"/>
    <x v="3"/>
    <m/>
    <m/>
    <m/>
    <m/>
    <m/>
    <s v="Cancelled (Lead Stage)"/>
    <x v="0"/>
  </r>
  <r>
    <s v="L1979"/>
    <x v="3"/>
    <x v="0"/>
    <d v="2025-10-15T00:00:00"/>
    <n v="1"/>
    <d v="2025-10-19T00:00:00"/>
    <n v="1"/>
    <d v="2025-10-22T00:00:00"/>
    <n v="1"/>
    <d v="2025-10-25T00:00:00"/>
    <n v="1"/>
    <x v="0"/>
    <n v="1"/>
    <x v="0"/>
    <d v="2025-11-19T00:00:00"/>
    <n v="4"/>
    <n v="3"/>
    <n v="3"/>
    <n v="5"/>
    <s v="Lead"/>
    <x v="0"/>
  </r>
  <r>
    <s v="L1997"/>
    <x v="1"/>
    <x v="0"/>
    <d v="2025-10-15T00:00:00"/>
    <n v="1"/>
    <d v="2025-10-20T00:00:00"/>
    <n v="1"/>
    <d v="2025-10-24T00:00:00"/>
    <n v="1"/>
    <d v="2025-10-30T00:00:00"/>
    <n v="1"/>
    <x v="0"/>
    <n v="1"/>
    <x v="0"/>
    <d v="2025-11-19T00:00:00"/>
    <n v="5"/>
    <n v="4"/>
    <n v="6"/>
    <n v="3"/>
    <s v="Lead"/>
    <x v="0"/>
  </r>
  <r>
    <s v="L1004"/>
    <x v="2"/>
    <x v="0"/>
    <d v="2025-10-14T00:00:00"/>
    <n v="1"/>
    <d v="2025-10-18T00:00:00"/>
    <n v="1"/>
    <d v="2025-10-21T00:00:00"/>
    <n v="1"/>
    <d v="2025-10-24T00:00:00"/>
    <n v="1"/>
    <x v="0"/>
    <n v="1"/>
    <x v="0"/>
    <d v="2025-11-12T00:00:00"/>
    <n v="4"/>
    <n v="3"/>
    <n v="3"/>
    <n v="8"/>
    <s v="Lead"/>
    <x v="1"/>
  </r>
  <r>
    <s v="L1008"/>
    <x v="1"/>
    <x v="1"/>
    <d v="2025-10-14T00:00:00"/>
    <n v="1"/>
    <d v="2025-10-17T00:00:00"/>
    <n v="1"/>
    <d v="2025-10-20T00:00:00"/>
    <n v="1"/>
    <d v="2025-10-25T00:00:00"/>
    <n v="1"/>
    <x v="0"/>
    <n v="1"/>
    <x v="0"/>
    <d v="2025-11-05T00:00:00"/>
    <n v="3"/>
    <n v="3"/>
    <n v="5"/>
    <n v="8"/>
    <s v="Lead"/>
    <x v="1"/>
  </r>
  <r>
    <s v="L1017"/>
    <x v="1"/>
    <x v="1"/>
    <d v="2025-10-14T00:00:00"/>
    <n v="1"/>
    <d v="2025-10-15T00:00:00"/>
    <n v="1"/>
    <d v="2025-10-18T00:00:00"/>
    <n v="1"/>
    <d v="2025-10-23T00:00:00"/>
    <n v="1"/>
    <x v="0"/>
    <n v="1"/>
    <x v="0"/>
    <d v="2025-11-18T00:00:00"/>
    <n v="1"/>
    <n v="3"/>
    <n v="5"/>
    <n v="0"/>
    <s v="Lead"/>
    <x v="0"/>
  </r>
  <r>
    <s v="L1031"/>
    <x v="0"/>
    <x v="0"/>
    <d v="2025-10-14T00:00:00"/>
    <n v="1"/>
    <d v="2025-10-15T00:00:00"/>
    <n v="1"/>
    <d v="2025-10-16T00:00:00"/>
    <n v="1"/>
    <d v="2025-10-20T00:00:00"/>
    <n v="1"/>
    <x v="0"/>
    <n v="1"/>
    <x v="0"/>
    <d v="2025-11-17T00:00:00"/>
    <n v="1"/>
    <n v="1"/>
    <n v="4"/>
    <n v="5"/>
    <s v="Lead"/>
    <x v="0"/>
  </r>
  <r>
    <s v="L1078"/>
    <x v="2"/>
    <x v="2"/>
    <d v="2025-10-14T00:00:00"/>
    <n v="1"/>
    <m/>
    <n v="0"/>
    <m/>
    <n v="0"/>
    <m/>
    <n v="0"/>
    <x v="1"/>
    <n v="0"/>
    <x v="2"/>
    <m/>
    <m/>
    <m/>
    <m/>
    <m/>
    <s v="Cancelled (Lead Stage)"/>
    <x v="0"/>
  </r>
  <r>
    <s v="L1105"/>
    <x v="0"/>
    <x v="0"/>
    <d v="2025-10-14T00:00:00"/>
    <n v="1"/>
    <d v="2025-10-17T00:00:00"/>
    <n v="1"/>
    <d v="2025-10-19T00:00:00"/>
    <n v="1"/>
    <d v="2025-10-24T00:00:00"/>
    <n v="1"/>
    <x v="0"/>
    <n v="1"/>
    <x v="0"/>
    <d v="2025-11-13T00:00:00"/>
    <n v="3"/>
    <n v="2"/>
    <n v="5"/>
    <n v="2"/>
    <s v="Lead"/>
    <x v="0"/>
  </r>
  <r>
    <s v="L1199"/>
    <x v="1"/>
    <x v="2"/>
    <d v="2025-10-14T00:00:00"/>
    <n v="1"/>
    <m/>
    <n v="0"/>
    <m/>
    <n v="0"/>
    <m/>
    <n v="0"/>
    <x v="1"/>
    <n v="0"/>
    <x v="5"/>
    <m/>
    <m/>
    <m/>
    <m/>
    <m/>
    <s v="Cancelled (Lead Stage)"/>
    <x v="0"/>
  </r>
  <r>
    <s v="L1214"/>
    <x v="2"/>
    <x v="2"/>
    <d v="2025-10-14T00:00:00"/>
    <n v="1"/>
    <m/>
    <n v="0"/>
    <m/>
    <n v="0"/>
    <m/>
    <n v="0"/>
    <x v="1"/>
    <n v="0"/>
    <x v="5"/>
    <m/>
    <m/>
    <m/>
    <m/>
    <m/>
    <s v="Cancelled (Lead Stage)"/>
    <x v="0"/>
  </r>
  <r>
    <s v="L1238"/>
    <x v="3"/>
    <x v="0"/>
    <d v="2025-10-14T00:00:00"/>
    <n v="1"/>
    <d v="2025-10-16T00:00:00"/>
    <n v="1"/>
    <d v="2025-10-19T00:00:00"/>
    <n v="1"/>
    <d v="2025-10-21T00:00:00"/>
    <n v="1"/>
    <x v="0"/>
    <n v="1"/>
    <x v="0"/>
    <d v="2025-11-06T00:00:00"/>
    <n v="2"/>
    <n v="3"/>
    <n v="2"/>
    <n v="1"/>
    <s v="Lead"/>
    <x v="0"/>
  </r>
  <r>
    <s v="L1265"/>
    <x v="1"/>
    <x v="0"/>
    <d v="2025-10-14T00:00:00"/>
    <n v="1"/>
    <d v="2025-10-18T00:00:00"/>
    <n v="1"/>
    <d v="2025-10-21T00:00:00"/>
    <n v="1"/>
    <d v="2025-10-26T00:00:00"/>
    <n v="1"/>
    <x v="0"/>
    <n v="1"/>
    <x v="0"/>
    <d v="2025-11-10T00:00:00"/>
    <n v="4"/>
    <n v="3"/>
    <n v="5"/>
    <n v="5"/>
    <s v="Lead"/>
    <x v="0"/>
  </r>
  <r>
    <s v="L1303"/>
    <x v="2"/>
    <x v="0"/>
    <d v="2025-10-14T00:00:00"/>
    <n v="1"/>
    <d v="2025-10-19T00:00:00"/>
    <n v="1"/>
    <d v="2025-10-24T00:00:00"/>
    <n v="1"/>
    <d v="2025-10-27T00:00:00"/>
    <n v="1"/>
    <x v="0"/>
    <n v="1"/>
    <x v="0"/>
    <d v="2025-11-23T00:00:00"/>
    <n v="5"/>
    <n v="5"/>
    <n v="3"/>
    <n v="6"/>
    <s v="Lead"/>
    <x v="0"/>
  </r>
  <r>
    <s v="L1336"/>
    <x v="0"/>
    <x v="1"/>
    <d v="2025-10-14T00:00:00"/>
    <n v="1"/>
    <d v="2025-10-15T00:00:00"/>
    <n v="1"/>
    <d v="2025-10-17T00:00:00"/>
    <n v="1"/>
    <d v="2025-10-21T00:00:00"/>
    <n v="1"/>
    <x v="0"/>
    <n v="1"/>
    <x v="0"/>
    <d v="2025-11-01T00:00:00"/>
    <n v="1"/>
    <n v="2"/>
    <n v="4"/>
    <n v="7"/>
    <s v="Lead"/>
    <x v="1"/>
  </r>
  <r>
    <s v="L1343"/>
    <x v="2"/>
    <x v="0"/>
    <d v="2025-10-14T00:00:00"/>
    <n v="1"/>
    <d v="2025-10-17T00:00:00"/>
    <n v="1"/>
    <d v="2025-10-20T00:00:00"/>
    <n v="1"/>
    <d v="2025-10-24T00:00:00"/>
    <n v="1"/>
    <x v="0"/>
    <n v="1"/>
    <x v="0"/>
    <d v="2025-11-23T00:00:00"/>
    <n v="3"/>
    <n v="3"/>
    <n v="4"/>
    <n v="8"/>
    <s v="Lead"/>
    <x v="1"/>
  </r>
  <r>
    <s v="L1351"/>
    <x v="1"/>
    <x v="0"/>
    <d v="2025-10-14T00:00:00"/>
    <n v="1"/>
    <d v="2025-10-17T00:00:00"/>
    <n v="1"/>
    <d v="2025-10-21T00:00:00"/>
    <n v="1"/>
    <d v="2025-10-26T00:00:00"/>
    <n v="1"/>
    <x v="1"/>
    <n v="0"/>
    <x v="3"/>
    <m/>
    <n v="3"/>
    <n v="4"/>
    <n v="5"/>
    <m/>
    <s v="Cancelled (Lead Stage)"/>
    <x v="0"/>
  </r>
  <r>
    <s v="L1378"/>
    <x v="1"/>
    <x v="2"/>
    <d v="2025-10-14T00:00:00"/>
    <n v="1"/>
    <m/>
    <n v="0"/>
    <m/>
    <n v="0"/>
    <m/>
    <n v="0"/>
    <x v="1"/>
    <n v="0"/>
    <x v="2"/>
    <m/>
    <m/>
    <m/>
    <m/>
    <m/>
    <s v="Cancelled (Lead Stage)"/>
    <x v="0"/>
  </r>
  <r>
    <s v="L1412"/>
    <x v="0"/>
    <x v="1"/>
    <d v="2025-10-14T00:00:00"/>
    <n v="1"/>
    <d v="2025-10-19T00:00:00"/>
    <n v="1"/>
    <d v="2025-10-24T00:00:00"/>
    <n v="1"/>
    <d v="2025-10-28T00:00:00"/>
    <n v="1"/>
    <x v="0"/>
    <n v="1"/>
    <x v="0"/>
    <d v="2025-11-08T00:00:00"/>
    <n v="5"/>
    <n v="5"/>
    <n v="4"/>
    <n v="7"/>
    <s v="Lead"/>
    <x v="1"/>
  </r>
  <r>
    <s v="L1431"/>
    <x v="3"/>
    <x v="1"/>
    <d v="2025-10-14T00:00:00"/>
    <n v="1"/>
    <d v="2025-10-17T00:00:00"/>
    <n v="1"/>
    <d v="2025-10-20T00:00:00"/>
    <n v="1"/>
    <d v="2025-10-24T00:00:00"/>
    <n v="1"/>
    <x v="0"/>
    <n v="1"/>
    <x v="0"/>
    <d v="2025-11-16T00:00:00"/>
    <n v="3"/>
    <n v="3"/>
    <n v="4"/>
    <n v="4"/>
    <s v="Lead"/>
    <x v="0"/>
  </r>
  <r>
    <s v="L1453"/>
    <x v="0"/>
    <x v="2"/>
    <d v="2025-10-14T00:00:00"/>
    <n v="1"/>
    <m/>
    <n v="0"/>
    <m/>
    <n v="0"/>
    <m/>
    <n v="0"/>
    <x v="1"/>
    <n v="0"/>
    <x v="4"/>
    <m/>
    <m/>
    <m/>
    <m/>
    <m/>
    <s v="Cancelled (Lead Stage)"/>
    <x v="0"/>
  </r>
  <r>
    <s v="L1492"/>
    <x v="0"/>
    <x v="0"/>
    <d v="2025-10-14T00:00:00"/>
    <n v="1"/>
    <d v="2025-10-17T00:00:00"/>
    <n v="1"/>
    <d v="2025-10-21T00:00:00"/>
    <n v="1"/>
    <d v="2025-10-27T00:00:00"/>
    <n v="1"/>
    <x v="0"/>
    <n v="1"/>
    <x v="0"/>
    <d v="2025-11-06T00:00:00"/>
    <n v="3"/>
    <n v="4"/>
    <n v="6"/>
    <n v="3"/>
    <s v="Lead"/>
    <x v="0"/>
  </r>
  <r>
    <s v="L1527"/>
    <x v="2"/>
    <x v="0"/>
    <d v="2025-10-14T00:00:00"/>
    <n v="1"/>
    <d v="2025-10-17T00:00:00"/>
    <n v="1"/>
    <d v="2025-10-21T00:00:00"/>
    <n v="1"/>
    <d v="2025-10-27T00:00:00"/>
    <n v="1"/>
    <x v="0"/>
    <n v="1"/>
    <x v="0"/>
    <d v="2025-11-14T00:00:00"/>
    <n v="3"/>
    <n v="4"/>
    <n v="6"/>
    <n v="4"/>
    <s v="Lead"/>
    <x v="0"/>
  </r>
  <r>
    <s v="L1568"/>
    <x v="0"/>
    <x v="0"/>
    <d v="2025-10-14T00:00:00"/>
    <n v="1"/>
    <d v="2025-10-17T00:00:00"/>
    <n v="1"/>
    <d v="2025-10-22T00:00:00"/>
    <n v="1"/>
    <d v="2025-10-26T00:00:00"/>
    <n v="1"/>
    <x v="0"/>
    <n v="1"/>
    <x v="0"/>
    <d v="2025-11-08T00:00:00"/>
    <n v="3"/>
    <n v="5"/>
    <n v="4"/>
    <n v="9"/>
    <s v="Lead"/>
    <x v="2"/>
  </r>
  <r>
    <s v="L1588"/>
    <x v="1"/>
    <x v="0"/>
    <d v="2025-10-14T00:00:00"/>
    <n v="1"/>
    <d v="2025-10-17T00:00:00"/>
    <n v="1"/>
    <d v="2025-10-18T00:00:00"/>
    <n v="1"/>
    <d v="2025-10-21T00:00:00"/>
    <n v="1"/>
    <x v="1"/>
    <n v="0"/>
    <x v="1"/>
    <m/>
    <n v="3"/>
    <n v="1"/>
    <n v="3"/>
    <m/>
    <s v="Cancelled (Lead Stage)"/>
    <x v="0"/>
  </r>
  <r>
    <s v="L1592"/>
    <x v="1"/>
    <x v="1"/>
    <d v="2025-10-14T00:00:00"/>
    <n v="1"/>
    <d v="2025-10-18T00:00:00"/>
    <n v="1"/>
    <d v="2025-10-19T00:00:00"/>
    <n v="1"/>
    <d v="2025-10-26T00:00:00"/>
    <n v="1"/>
    <x v="1"/>
    <n v="0"/>
    <x v="4"/>
    <m/>
    <n v="4"/>
    <n v="1"/>
    <n v="7"/>
    <m/>
    <s v="Cancelled (Lead Stage)"/>
    <x v="0"/>
  </r>
  <r>
    <s v="L1634"/>
    <x v="0"/>
    <x v="0"/>
    <d v="2025-10-14T00:00:00"/>
    <n v="1"/>
    <d v="2025-10-17T00:00:00"/>
    <n v="1"/>
    <d v="2025-10-19T00:00:00"/>
    <n v="1"/>
    <d v="2025-10-21T00:00:00"/>
    <n v="1"/>
    <x v="0"/>
    <n v="1"/>
    <x v="0"/>
    <d v="2025-11-05T00:00:00"/>
    <n v="3"/>
    <n v="2"/>
    <n v="2"/>
    <n v="5"/>
    <s v="Lead"/>
    <x v="0"/>
  </r>
  <r>
    <s v="L1711"/>
    <x v="0"/>
    <x v="0"/>
    <d v="2025-10-14T00:00:00"/>
    <n v="1"/>
    <d v="2025-10-16T00:00:00"/>
    <n v="1"/>
    <d v="2025-10-17T00:00:00"/>
    <n v="1"/>
    <d v="2025-10-23T00:00:00"/>
    <n v="1"/>
    <x v="0"/>
    <n v="1"/>
    <x v="0"/>
    <d v="2025-11-12T00:00:00"/>
    <n v="2"/>
    <n v="1"/>
    <n v="6"/>
    <n v="2"/>
    <s v="Lead"/>
    <x v="0"/>
  </r>
  <r>
    <s v="L1796"/>
    <x v="1"/>
    <x v="0"/>
    <d v="2025-10-14T00:00:00"/>
    <n v="1"/>
    <d v="2025-10-15T00:00:00"/>
    <n v="1"/>
    <d v="2025-10-16T00:00:00"/>
    <n v="1"/>
    <d v="2025-10-22T00:00:00"/>
    <n v="1"/>
    <x v="0"/>
    <n v="1"/>
    <x v="0"/>
    <d v="2025-11-07T00:00:00"/>
    <n v="1"/>
    <n v="1"/>
    <n v="6"/>
    <n v="8"/>
    <s v="Lead"/>
    <x v="1"/>
  </r>
  <r>
    <s v="L1819"/>
    <x v="2"/>
    <x v="2"/>
    <d v="2025-10-14T00:00:00"/>
    <n v="1"/>
    <m/>
    <n v="0"/>
    <m/>
    <n v="0"/>
    <m/>
    <n v="0"/>
    <x v="1"/>
    <n v="0"/>
    <x v="2"/>
    <m/>
    <m/>
    <m/>
    <m/>
    <m/>
    <s v="Cancelled (Lead Stage)"/>
    <x v="0"/>
  </r>
  <r>
    <s v="L1825"/>
    <x v="2"/>
    <x v="1"/>
    <d v="2025-10-14T00:00:00"/>
    <n v="1"/>
    <d v="2025-10-15T00:00:00"/>
    <n v="1"/>
    <d v="2025-10-16T00:00:00"/>
    <n v="1"/>
    <d v="2025-10-19T00:00:00"/>
    <n v="1"/>
    <x v="0"/>
    <n v="1"/>
    <x v="0"/>
    <d v="2025-11-18T00:00:00"/>
    <n v="1"/>
    <n v="1"/>
    <n v="3"/>
    <n v="3"/>
    <s v="Lead"/>
    <x v="0"/>
  </r>
  <r>
    <s v="L1831"/>
    <x v="3"/>
    <x v="1"/>
    <d v="2025-10-14T00:00:00"/>
    <n v="1"/>
    <d v="2025-10-16T00:00:00"/>
    <n v="1"/>
    <d v="2025-10-21T00:00:00"/>
    <n v="1"/>
    <d v="2025-10-28T00:00:00"/>
    <n v="1"/>
    <x v="0"/>
    <n v="1"/>
    <x v="0"/>
    <d v="2025-11-10T00:00:00"/>
    <n v="2"/>
    <n v="5"/>
    <n v="7"/>
    <n v="9"/>
    <s v="Lead"/>
    <x v="2"/>
  </r>
  <r>
    <s v="L1920"/>
    <x v="3"/>
    <x v="0"/>
    <d v="2025-10-14T00:00:00"/>
    <n v="1"/>
    <d v="2025-10-18T00:00:00"/>
    <n v="1"/>
    <d v="2025-10-21T00:00:00"/>
    <n v="1"/>
    <d v="2025-10-26T00:00:00"/>
    <n v="1"/>
    <x v="0"/>
    <n v="1"/>
    <x v="0"/>
    <d v="2025-11-15T00:00:00"/>
    <n v="4"/>
    <n v="3"/>
    <n v="5"/>
    <n v="0"/>
    <s v="Lead"/>
    <x v="0"/>
  </r>
  <r>
    <s v="L1953"/>
    <x v="1"/>
    <x v="0"/>
    <d v="2025-10-14T00:00:00"/>
    <n v="1"/>
    <d v="2025-10-16T00:00:00"/>
    <n v="1"/>
    <d v="2025-10-17T00:00:00"/>
    <n v="1"/>
    <d v="2025-10-19T00:00:00"/>
    <n v="1"/>
    <x v="0"/>
    <n v="1"/>
    <x v="0"/>
    <d v="2025-11-03T00:00:00"/>
    <n v="2"/>
    <n v="1"/>
    <n v="2"/>
    <n v="6"/>
    <s v="Lead"/>
    <x v="0"/>
  </r>
  <r>
    <s v="L1982"/>
    <x v="1"/>
    <x v="2"/>
    <d v="2025-10-14T00:00:00"/>
    <n v="1"/>
    <m/>
    <n v="0"/>
    <m/>
    <n v="0"/>
    <m/>
    <n v="0"/>
    <x v="1"/>
    <n v="0"/>
    <x v="2"/>
    <m/>
    <m/>
    <m/>
    <m/>
    <m/>
    <s v="Cancelled (Lead Stage)"/>
    <x v="0"/>
  </r>
  <r>
    <s v="L1996"/>
    <x v="0"/>
    <x v="1"/>
    <d v="2025-10-14T00:00:00"/>
    <n v="1"/>
    <d v="2025-10-19T00:00:00"/>
    <n v="1"/>
    <d v="2025-10-23T00:00:00"/>
    <n v="1"/>
    <d v="2025-10-26T00:00:00"/>
    <n v="1"/>
    <x v="0"/>
    <n v="1"/>
    <x v="0"/>
    <d v="2025-11-12T00:00:00"/>
    <n v="5"/>
    <n v="4"/>
    <n v="3"/>
    <n v="7"/>
    <s v="Lead"/>
    <x v="1"/>
  </r>
  <r>
    <s v="L1051"/>
    <x v="0"/>
    <x v="1"/>
    <d v="2025-10-13T00:00:00"/>
    <n v="1"/>
    <d v="2025-10-14T00:00:00"/>
    <n v="1"/>
    <d v="2025-10-16T00:00:00"/>
    <n v="1"/>
    <d v="2025-10-18T00:00:00"/>
    <n v="1"/>
    <x v="0"/>
    <n v="1"/>
    <x v="0"/>
    <d v="2025-11-02T00:00:00"/>
    <n v="1"/>
    <n v="2"/>
    <n v="2"/>
    <n v="6"/>
    <s v="Lead"/>
    <x v="0"/>
  </r>
  <r>
    <s v="L1094"/>
    <x v="3"/>
    <x v="2"/>
    <d v="2025-10-13T00:00:00"/>
    <n v="1"/>
    <m/>
    <n v="0"/>
    <m/>
    <n v="0"/>
    <m/>
    <n v="0"/>
    <x v="1"/>
    <n v="0"/>
    <x v="5"/>
    <m/>
    <m/>
    <m/>
    <m/>
    <m/>
    <s v="Cancelled (Lead Stage)"/>
    <x v="0"/>
  </r>
  <r>
    <s v="L1181"/>
    <x v="1"/>
    <x v="0"/>
    <d v="2025-10-13T00:00:00"/>
    <n v="1"/>
    <d v="2025-10-17T00:00:00"/>
    <n v="1"/>
    <d v="2025-10-18T00:00:00"/>
    <n v="1"/>
    <d v="2025-10-25T00:00:00"/>
    <n v="1"/>
    <x v="0"/>
    <n v="1"/>
    <x v="0"/>
    <d v="2025-11-19T00:00:00"/>
    <n v="4"/>
    <n v="1"/>
    <n v="7"/>
    <n v="4"/>
    <s v="Lead"/>
    <x v="0"/>
  </r>
  <r>
    <s v="L1207"/>
    <x v="1"/>
    <x v="0"/>
    <d v="2025-10-13T00:00:00"/>
    <n v="1"/>
    <d v="2025-10-14T00:00:00"/>
    <n v="1"/>
    <d v="2025-10-18T00:00:00"/>
    <n v="1"/>
    <d v="2025-10-25T00:00:00"/>
    <n v="1"/>
    <x v="0"/>
    <n v="1"/>
    <x v="0"/>
    <d v="2025-11-13T00:00:00"/>
    <n v="1"/>
    <n v="4"/>
    <n v="7"/>
    <n v="7"/>
    <s v="Lead"/>
    <x v="1"/>
  </r>
  <r>
    <s v="L1292"/>
    <x v="2"/>
    <x v="2"/>
    <d v="2025-10-13T00:00:00"/>
    <n v="1"/>
    <m/>
    <n v="0"/>
    <m/>
    <n v="0"/>
    <m/>
    <n v="0"/>
    <x v="1"/>
    <n v="0"/>
    <x v="4"/>
    <m/>
    <m/>
    <m/>
    <m/>
    <m/>
    <s v="Cancelled (Lead Stage)"/>
    <x v="0"/>
  </r>
  <r>
    <s v="L1357"/>
    <x v="1"/>
    <x v="0"/>
    <d v="2025-10-13T00:00:00"/>
    <n v="1"/>
    <d v="2025-10-14T00:00:00"/>
    <n v="1"/>
    <d v="2025-10-18T00:00:00"/>
    <n v="1"/>
    <d v="2025-10-21T00:00:00"/>
    <n v="1"/>
    <x v="0"/>
    <n v="1"/>
    <x v="0"/>
    <d v="2025-11-10T00:00:00"/>
    <n v="1"/>
    <n v="4"/>
    <n v="3"/>
    <n v="3"/>
    <s v="Lead"/>
    <x v="0"/>
  </r>
  <r>
    <s v="L1369"/>
    <x v="2"/>
    <x v="1"/>
    <d v="2025-10-13T00:00:00"/>
    <n v="1"/>
    <d v="2025-10-14T00:00:00"/>
    <n v="1"/>
    <d v="2025-10-18T00:00:00"/>
    <n v="1"/>
    <d v="2025-10-24T00:00:00"/>
    <n v="1"/>
    <x v="0"/>
    <n v="1"/>
    <x v="0"/>
    <d v="2025-11-16T00:00:00"/>
    <n v="1"/>
    <n v="4"/>
    <n v="6"/>
    <n v="4"/>
    <s v="Lead"/>
    <x v="0"/>
  </r>
  <r>
    <s v="L1439"/>
    <x v="3"/>
    <x v="2"/>
    <d v="2025-10-13T00:00:00"/>
    <n v="1"/>
    <m/>
    <n v="0"/>
    <m/>
    <n v="0"/>
    <m/>
    <n v="0"/>
    <x v="1"/>
    <n v="0"/>
    <x v="1"/>
    <m/>
    <m/>
    <m/>
    <m/>
    <m/>
    <s v="Cancelled (Lead Stage)"/>
    <x v="0"/>
  </r>
  <r>
    <s v="L1479"/>
    <x v="1"/>
    <x v="0"/>
    <d v="2025-10-13T00:00:00"/>
    <n v="1"/>
    <d v="2025-10-16T00:00:00"/>
    <n v="1"/>
    <d v="2025-10-20T00:00:00"/>
    <n v="1"/>
    <d v="2025-10-25T00:00:00"/>
    <n v="1"/>
    <x v="1"/>
    <n v="0"/>
    <x v="5"/>
    <m/>
    <n v="3"/>
    <n v="4"/>
    <n v="5"/>
    <m/>
    <s v="Cancelled (Lead Stage)"/>
    <x v="0"/>
  </r>
  <r>
    <s v="L1488"/>
    <x v="0"/>
    <x v="0"/>
    <d v="2025-10-13T00:00:00"/>
    <n v="1"/>
    <d v="2025-10-18T00:00:00"/>
    <n v="1"/>
    <d v="2025-10-23T00:00:00"/>
    <n v="1"/>
    <d v="2025-10-28T00:00:00"/>
    <n v="1"/>
    <x v="0"/>
    <n v="1"/>
    <x v="0"/>
    <d v="2025-11-19T00:00:00"/>
    <n v="5"/>
    <n v="5"/>
    <n v="5"/>
    <n v="5"/>
    <s v="Lead"/>
    <x v="0"/>
  </r>
  <r>
    <s v="L1500"/>
    <x v="0"/>
    <x v="0"/>
    <d v="2025-10-13T00:00:00"/>
    <n v="1"/>
    <d v="2025-10-18T00:00:00"/>
    <n v="1"/>
    <d v="2025-10-19T00:00:00"/>
    <n v="1"/>
    <d v="2025-10-21T00:00:00"/>
    <n v="1"/>
    <x v="0"/>
    <n v="1"/>
    <x v="0"/>
    <d v="2025-11-19T00:00:00"/>
    <n v="5"/>
    <n v="1"/>
    <n v="2"/>
    <n v="9"/>
    <s v="Lead"/>
    <x v="2"/>
  </r>
  <r>
    <s v="L1501"/>
    <x v="1"/>
    <x v="1"/>
    <d v="2025-10-13T00:00:00"/>
    <n v="1"/>
    <d v="2025-10-18T00:00:00"/>
    <n v="1"/>
    <d v="2025-10-20T00:00:00"/>
    <n v="1"/>
    <d v="2025-10-22T00:00:00"/>
    <n v="1"/>
    <x v="0"/>
    <n v="1"/>
    <x v="0"/>
    <d v="2025-11-15T00:00:00"/>
    <n v="5"/>
    <n v="2"/>
    <n v="2"/>
    <n v="4"/>
    <s v="Lead"/>
    <x v="0"/>
  </r>
  <r>
    <s v="L1538"/>
    <x v="3"/>
    <x v="2"/>
    <d v="2025-10-13T00:00:00"/>
    <n v="1"/>
    <m/>
    <n v="0"/>
    <m/>
    <n v="0"/>
    <m/>
    <n v="0"/>
    <x v="1"/>
    <n v="0"/>
    <x v="5"/>
    <m/>
    <m/>
    <m/>
    <m/>
    <m/>
    <s v="Cancelled (Lead Stage)"/>
    <x v="0"/>
  </r>
  <r>
    <s v="L1547"/>
    <x v="0"/>
    <x v="0"/>
    <d v="2025-10-13T00:00:00"/>
    <n v="1"/>
    <d v="2025-10-18T00:00:00"/>
    <n v="1"/>
    <d v="2025-10-22T00:00:00"/>
    <n v="1"/>
    <d v="2025-10-29T00:00:00"/>
    <n v="1"/>
    <x v="0"/>
    <n v="1"/>
    <x v="0"/>
    <d v="2025-11-16T00:00:00"/>
    <n v="5"/>
    <n v="4"/>
    <n v="7"/>
    <n v="4"/>
    <s v="Lead"/>
    <x v="0"/>
  </r>
  <r>
    <s v="L1602"/>
    <x v="1"/>
    <x v="1"/>
    <d v="2025-10-13T00:00:00"/>
    <n v="1"/>
    <d v="2025-10-16T00:00:00"/>
    <n v="1"/>
    <d v="2025-10-20T00:00:00"/>
    <n v="1"/>
    <d v="2025-10-22T00:00:00"/>
    <n v="1"/>
    <x v="0"/>
    <n v="1"/>
    <x v="0"/>
    <d v="2025-11-20T00:00:00"/>
    <n v="3"/>
    <n v="4"/>
    <n v="2"/>
    <n v="8"/>
    <s v="Lead"/>
    <x v="1"/>
  </r>
  <r>
    <s v="L1641"/>
    <x v="2"/>
    <x v="0"/>
    <d v="2025-10-13T00:00:00"/>
    <n v="1"/>
    <d v="2025-10-17T00:00:00"/>
    <n v="1"/>
    <d v="2025-10-21T00:00:00"/>
    <n v="1"/>
    <d v="2025-10-24T00:00:00"/>
    <n v="1"/>
    <x v="0"/>
    <n v="1"/>
    <x v="0"/>
    <d v="2025-11-18T00:00:00"/>
    <n v="4"/>
    <n v="4"/>
    <n v="3"/>
    <n v="9"/>
    <s v="Lead"/>
    <x v="2"/>
  </r>
  <r>
    <s v="L1646"/>
    <x v="0"/>
    <x v="1"/>
    <d v="2025-10-13T00:00:00"/>
    <n v="1"/>
    <d v="2025-10-18T00:00:00"/>
    <n v="1"/>
    <d v="2025-10-23T00:00:00"/>
    <n v="1"/>
    <d v="2025-10-30T00:00:00"/>
    <n v="1"/>
    <x v="0"/>
    <n v="1"/>
    <x v="0"/>
    <d v="2025-11-19T00:00:00"/>
    <n v="5"/>
    <n v="5"/>
    <n v="7"/>
    <n v="6"/>
    <s v="Lead"/>
    <x v="0"/>
  </r>
  <r>
    <s v="L1656"/>
    <x v="1"/>
    <x v="1"/>
    <d v="2025-10-13T00:00:00"/>
    <n v="1"/>
    <d v="2025-10-18T00:00:00"/>
    <n v="1"/>
    <d v="2025-10-22T00:00:00"/>
    <n v="1"/>
    <d v="2025-10-29T00:00:00"/>
    <n v="1"/>
    <x v="0"/>
    <n v="1"/>
    <x v="0"/>
    <d v="2025-11-19T00:00:00"/>
    <n v="5"/>
    <n v="4"/>
    <n v="7"/>
    <n v="2"/>
    <s v="Lead"/>
    <x v="0"/>
  </r>
  <r>
    <s v="L1749"/>
    <x v="3"/>
    <x v="1"/>
    <d v="2025-10-13T00:00:00"/>
    <n v="1"/>
    <d v="2025-10-14T00:00:00"/>
    <n v="1"/>
    <d v="2025-10-16T00:00:00"/>
    <n v="1"/>
    <d v="2025-10-19T00:00:00"/>
    <n v="1"/>
    <x v="0"/>
    <n v="1"/>
    <x v="0"/>
    <d v="2025-10-29T00:00:00"/>
    <n v="1"/>
    <n v="2"/>
    <n v="3"/>
    <n v="0"/>
    <s v="Lead"/>
    <x v="0"/>
  </r>
  <r>
    <s v="L1757"/>
    <x v="0"/>
    <x v="1"/>
    <d v="2025-10-13T00:00:00"/>
    <n v="1"/>
    <d v="2025-10-14T00:00:00"/>
    <n v="1"/>
    <d v="2025-10-18T00:00:00"/>
    <n v="1"/>
    <d v="2025-10-25T00:00:00"/>
    <n v="1"/>
    <x v="0"/>
    <n v="1"/>
    <x v="0"/>
    <d v="2025-11-16T00:00:00"/>
    <n v="1"/>
    <n v="4"/>
    <n v="7"/>
    <n v="6"/>
    <s v="Lead"/>
    <x v="0"/>
  </r>
  <r>
    <s v="L1769"/>
    <x v="2"/>
    <x v="0"/>
    <d v="2025-10-13T00:00:00"/>
    <n v="1"/>
    <d v="2025-10-15T00:00:00"/>
    <n v="1"/>
    <d v="2025-10-19T00:00:00"/>
    <n v="1"/>
    <d v="2025-10-26T00:00:00"/>
    <n v="1"/>
    <x v="0"/>
    <n v="1"/>
    <x v="0"/>
    <d v="2025-11-14T00:00:00"/>
    <n v="2"/>
    <n v="4"/>
    <n v="7"/>
    <n v="0"/>
    <s v="Lead"/>
    <x v="0"/>
  </r>
  <r>
    <s v="L1810"/>
    <x v="0"/>
    <x v="2"/>
    <d v="2025-10-13T00:00:00"/>
    <n v="1"/>
    <m/>
    <n v="0"/>
    <m/>
    <n v="0"/>
    <m/>
    <n v="0"/>
    <x v="1"/>
    <n v="0"/>
    <x v="2"/>
    <m/>
    <m/>
    <m/>
    <m/>
    <m/>
    <s v="Cancelled (Lead Stage)"/>
    <x v="0"/>
  </r>
  <r>
    <s v="L1853"/>
    <x v="3"/>
    <x v="0"/>
    <d v="2025-10-13T00:00:00"/>
    <n v="1"/>
    <d v="2025-10-17T00:00:00"/>
    <n v="1"/>
    <d v="2025-10-20T00:00:00"/>
    <n v="1"/>
    <d v="2025-10-23T00:00:00"/>
    <n v="1"/>
    <x v="1"/>
    <n v="0"/>
    <x v="4"/>
    <m/>
    <n v="4"/>
    <n v="3"/>
    <n v="3"/>
    <m/>
    <s v="Cancelled (Lead Stage)"/>
    <x v="0"/>
  </r>
  <r>
    <s v="L1952"/>
    <x v="2"/>
    <x v="0"/>
    <d v="2025-10-13T00:00:00"/>
    <n v="1"/>
    <d v="2025-10-14T00:00:00"/>
    <n v="1"/>
    <d v="2025-10-18T00:00:00"/>
    <n v="1"/>
    <d v="2025-10-22T00:00:00"/>
    <n v="1"/>
    <x v="0"/>
    <n v="1"/>
    <x v="0"/>
    <d v="2025-11-21T00:00:00"/>
    <n v="1"/>
    <n v="4"/>
    <n v="4"/>
    <n v="1"/>
    <s v="Lead"/>
    <x v="0"/>
  </r>
  <r>
    <s v="L1975"/>
    <x v="2"/>
    <x v="0"/>
    <d v="2025-10-13T00:00:00"/>
    <n v="1"/>
    <d v="2025-10-16T00:00:00"/>
    <n v="1"/>
    <d v="2025-10-20T00:00:00"/>
    <n v="1"/>
    <d v="2025-10-25T00:00:00"/>
    <n v="1"/>
    <x v="1"/>
    <n v="0"/>
    <x v="5"/>
    <m/>
    <n v="3"/>
    <n v="4"/>
    <n v="5"/>
    <m/>
    <s v="Cancelled (Lead Stage)"/>
    <x v="0"/>
  </r>
  <r>
    <s v="L1010"/>
    <x v="1"/>
    <x v="2"/>
    <d v="2025-10-12T00:00:00"/>
    <n v="1"/>
    <m/>
    <n v="0"/>
    <m/>
    <n v="0"/>
    <m/>
    <n v="0"/>
    <x v="1"/>
    <n v="0"/>
    <x v="4"/>
    <m/>
    <m/>
    <m/>
    <m/>
    <m/>
    <s v="Cancelled (Lead Stage)"/>
    <x v="0"/>
  </r>
  <r>
    <s v="L1060"/>
    <x v="2"/>
    <x v="0"/>
    <d v="2025-10-12T00:00:00"/>
    <n v="1"/>
    <d v="2025-10-17T00:00:00"/>
    <n v="1"/>
    <d v="2025-10-19T00:00:00"/>
    <n v="1"/>
    <d v="2025-10-25T00:00:00"/>
    <n v="1"/>
    <x v="0"/>
    <n v="1"/>
    <x v="0"/>
    <d v="2025-11-23T00:00:00"/>
    <n v="5"/>
    <n v="2"/>
    <n v="6"/>
    <n v="7"/>
    <s v="Lead"/>
    <x v="1"/>
  </r>
  <r>
    <s v="L1100"/>
    <x v="1"/>
    <x v="1"/>
    <d v="2025-10-12T00:00:00"/>
    <n v="1"/>
    <d v="2025-10-14T00:00:00"/>
    <n v="1"/>
    <d v="2025-10-18T00:00:00"/>
    <n v="1"/>
    <d v="2025-10-21T00:00:00"/>
    <n v="1"/>
    <x v="0"/>
    <n v="1"/>
    <x v="0"/>
    <d v="2025-11-02T00:00:00"/>
    <n v="2"/>
    <n v="4"/>
    <n v="3"/>
    <n v="1"/>
    <s v="Lead"/>
    <x v="0"/>
  </r>
  <r>
    <s v="L1104"/>
    <x v="0"/>
    <x v="2"/>
    <d v="2025-10-12T00:00:00"/>
    <n v="1"/>
    <m/>
    <n v="0"/>
    <m/>
    <n v="0"/>
    <m/>
    <n v="0"/>
    <x v="1"/>
    <n v="0"/>
    <x v="1"/>
    <m/>
    <m/>
    <m/>
    <m/>
    <m/>
    <s v="Cancelled (Lead Stage)"/>
    <x v="0"/>
  </r>
  <r>
    <s v="L1109"/>
    <x v="2"/>
    <x v="2"/>
    <d v="2025-10-12T00:00:00"/>
    <n v="1"/>
    <m/>
    <n v="0"/>
    <m/>
    <n v="0"/>
    <m/>
    <n v="0"/>
    <x v="1"/>
    <n v="0"/>
    <x v="1"/>
    <m/>
    <m/>
    <m/>
    <m/>
    <m/>
    <s v="Cancelled (Lead Stage)"/>
    <x v="0"/>
  </r>
  <r>
    <s v="L1143"/>
    <x v="3"/>
    <x v="1"/>
    <d v="2025-10-12T00:00:00"/>
    <n v="1"/>
    <d v="2025-10-17T00:00:00"/>
    <n v="1"/>
    <d v="2025-10-21T00:00:00"/>
    <n v="1"/>
    <d v="2025-10-27T00:00:00"/>
    <n v="1"/>
    <x v="0"/>
    <n v="1"/>
    <x v="0"/>
    <d v="2025-11-17T00:00:00"/>
    <n v="5"/>
    <n v="4"/>
    <n v="6"/>
    <n v="1"/>
    <s v="Lead"/>
    <x v="0"/>
  </r>
  <r>
    <s v="L1342"/>
    <x v="2"/>
    <x v="0"/>
    <d v="2025-10-12T00:00:00"/>
    <n v="1"/>
    <d v="2025-10-16T00:00:00"/>
    <n v="1"/>
    <d v="2025-10-20T00:00:00"/>
    <n v="1"/>
    <d v="2025-10-27T00:00:00"/>
    <n v="1"/>
    <x v="0"/>
    <n v="1"/>
    <x v="0"/>
    <d v="2025-11-12T00:00:00"/>
    <n v="4"/>
    <n v="4"/>
    <n v="7"/>
    <n v="4"/>
    <s v="Lead"/>
    <x v="0"/>
  </r>
  <r>
    <s v="L1382"/>
    <x v="2"/>
    <x v="0"/>
    <d v="2025-10-12T00:00:00"/>
    <n v="1"/>
    <d v="2025-10-15T00:00:00"/>
    <n v="1"/>
    <d v="2025-10-17T00:00:00"/>
    <n v="1"/>
    <d v="2025-10-20T00:00:00"/>
    <n v="1"/>
    <x v="0"/>
    <n v="1"/>
    <x v="0"/>
    <d v="2025-11-16T00:00:00"/>
    <n v="3"/>
    <n v="2"/>
    <n v="3"/>
    <n v="4"/>
    <s v="Lead"/>
    <x v="0"/>
  </r>
  <r>
    <s v="L1474"/>
    <x v="0"/>
    <x v="2"/>
    <d v="2025-10-12T00:00:00"/>
    <n v="1"/>
    <m/>
    <n v="0"/>
    <m/>
    <n v="0"/>
    <m/>
    <n v="0"/>
    <x v="1"/>
    <n v="0"/>
    <x v="1"/>
    <m/>
    <m/>
    <m/>
    <m/>
    <m/>
    <s v="Cancelled (Lead Stage)"/>
    <x v="0"/>
  </r>
  <r>
    <s v="L1586"/>
    <x v="1"/>
    <x v="0"/>
    <d v="2025-10-12T00:00:00"/>
    <n v="1"/>
    <d v="2025-10-13T00:00:00"/>
    <n v="1"/>
    <d v="2025-10-18T00:00:00"/>
    <n v="1"/>
    <d v="2025-10-22T00:00:00"/>
    <n v="1"/>
    <x v="0"/>
    <n v="1"/>
    <x v="0"/>
    <d v="2025-11-09T00:00:00"/>
    <n v="1"/>
    <n v="5"/>
    <n v="4"/>
    <n v="8"/>
    <s v="Lead"/>
    <x v="1"/>
  </r>
  <r>
    <s v="L1587"/>
    <x v="3"/>
    <x v="2"/>
    <d v="2025-10-12T00:00:00"/>
    <n v="1"/>
    <m/>
    <n v="0"/>
    <m/>
    <n v="0"/>
    <m/>
    <n v="0"/>
    <x v="1"/>
    <n v="0"/>
    <x v="3"/>
    <m/>
    <m/>
    <m/>
    <m/>
    <m/>
    <s v="Cancelled (Lead Stage)"/>
    <x v="0"/>
  </r>
  <r>
    <s v="L1629"/>
    <x v="3"/>
    <x v="0"/>
    <d v="2025-10-12T00:00:00"/>
    <n v="1"/>
    <d v="2025-10-15T00:00:00"/>
    <n v="1"/>
    <d v="2025-10-16T00:00:00"/>
    <n v="1"/>
    <d v="2025-10-23T00:00:00"/>
    <n v="1"/>
    <x v="0"/>
    <n v="1"/>
    <x v="0"/>
    <d v="2025-11-17T00:00:00"/>
    <n v="3"/>
    <n v="1"/>
    <n v="7"/>
    <n v="3"/>
    <s v="Lead"/>
    <x v="0"/>
  </r>
  <r>
    <s v="L1648"/>
    <x v="3"/>
    <x v="0"/>
    <d v="2025-10-12T00:00:00"/>
    <n v="1"/>
    <d v="2025-10-15T00:00:00"/>
    <n v="1"/>
    <d v="2025-10-17T00:00:00"/>
    <n v="1"/>
    <d v="2025-10-22T00:00:00"/>
    <n v="1"/>
    <x v="0"/>
    <n v="1"/>
    <x v="0"/>
    <d v="2025-11-03T00:00:00"/>
    <n v="3"/>
    <n v="2"/>
    <n v="5"/>
    <n v="0"/>
    <s v="Lead"/>
    <x v="0"/>
  </r>
  <r>
    <s v="L1678"/>
    <x v="3"/>
    <x v="0"/>
    <d v="2025-10-12T00:00:00"/>
    <n v="1"/>
    <d v="2025-10-15T00:00:00"/>
    <n v="1"/>
    <d v="2025-10-19T00:00:00"/>
    <n v="1"/>
    <d v="2025-10-23T00:00:00"/>
    <n v="1"/>
    <x v="1"/>
    <n v="0"/>
    <x v="2"/>
    <m/>
    <n v="3"/>
    <n v="4"/>
    <n v="4"/>
    <m/>
    <s v="Cancelled (Lead Stage)"/>
    <x v="0"/>
  </r>
  <r>
    <s v="L1703"/>
    <x v="2"/>
    <x v="0"/>
    <d v="2025-10-12T00:00:00"/>
    <n v="1"/>
    <d v="2025-10-13T00:00:00"/>
    <n v="1"/>
    <d v="2025-10-18T00:00:00"/>
    <n v="1"/>
    <d v="2025-10-25T00:00:00"/>
    <n v="1"/>
    <x v="0"/>
    <n v="1"/>
    <x v="0"/>
    <d v="2025-11-22T00:00:00"/>
    <n v="1"/>
    <n v="5"/>
    <n v="7"/>
    <n v="2"/>
    <s v="Lead"/>
    <x v="0"/>
  </r>
  <r>
    <s v="L1718"/>
    <x v="2"/>
    <x v="1"/>
    <d v="2025-10-12T00:00:00"/>
    <n v="1"/>
    <d v="2025-10-13T00:00:00"/>
    <n v="1"/>
    <d v="2025-10-14T00:00:00"/>
    <n v="1"/>
    <d v="2025-10-21T00:00:00"/>
    <n v="1"/>
    <x v="0"/>
    <n v="1"/>
    <x v="0"/>
    <d v="2025-11-14T00:00:00"/>
    <n v="1"/>
    <n v="1"/>
    <n v="7"/>
    <n v="2"/>
    <s v="Lead"/>
    <x v="0"/>
  </r>
  <r>
    <s v="L1754"/>
    <x v="3"/>
    <x v="0"/>
    <d v="2025-10-12T00:00:00"/>
    <n v="1"/>
    <d v="2025-10-16T00:00:00"/>
    <n v="1"/>
    <d v="2025-10-17T00:00:00"/>
    <n v="1"/>
    <d v="2025-10-23T00:00:00"/>
    <n v="1"/>
    <x v="0"/>
    <n v="1"/>
    <x v="0"/>
    <d v="2025-11-11T00:00:00"/>
    <n v="4"/>
    <n v="1"/>
    <n v="6"/>
    <n v="6"/>
    <s v="Lead"/>
    <x v="0"/>
  </r>
  <r>
    <s v="L1763"/>
    <x v="0"/>
    <x v="0"/>
    <d v="2025-10-12T00:00:00"/>
    <n v="1"/>
    <d v="2025-10-16T00:00:00"/>
    <n v="1"/>
    <d v="2025-10-18T00:00:00"/>
    <n v="1"/>
    <d v="2025-10-22T00:00:00"/>
    <n v="1"/>
    <x v="1"/>
    <n v="0"/>
    <x v="2"/>
    <m/>
    <n v="4"/>
    <n v="2"/>
    <n v="4"/>
    <m/>
    <s v="Cancelled (Lead Stage)"/>
    <x v="0"/>
  </r>
  <r>
    <s v="L1773"/>
    <x v="0"/>
    <x v="1"/>
    <d v="2025-10-12T00:00:00"/>
    <n v="1"/>
    <d v="2025-10-17T00:00:00"/>
    <n v="1"/>
    <d v="2025-10-22T00:00:00"/>
    <n v="1"/>
    <d v="2025-10-26T00:00:00"/>
    <n v="1"/>
    <x v="0"/>
    <n v="1"/>
    <x v="0"/>
    <d v="2025-11-19T00:00:00"/>
    <n v="5"/>
    <n v="5"/>
    <n v="4"/>
    <n v="1"/>
    <s v="Lead"/>
    <x v="0"/>
  </r>
  <r>
    <s v="L1812"/>
    <x v="3"/>
    <x v="1"/>
    <d v="2025-10-12T00:00:00"/>
    <n v="1"/>
    <d v="2025-10-14T00:00:00"/>
    <n v="1"/>
    <d v="2025-10-17T00:00:00"/>
    <n v="1"/>
    <d v="2025-10-21T00:00:00"/>
    <n v="1"/>
    <x v="0"/>
    <n v="1"/>
    <x v="0"/>
    <d v="2025-11-20T00:00:00"/>
    <n v="2"/>
    <n v="3"/>
    <n v="4"/>
    <n v="3"/>
    <s v="Lead"/>
    <x v="0"/>
  </r>
  <r>
    <s v="L1837"/>
    <x v="1"/>
    <x v="0"/>
    <d v="2025-10-12T00:00:00"/>
    <n v="1"/>
    <d v="2025-10-17T00:00:00"/>
    <n v="1"/>
    <d v="2025-10-20T00:00:00"/>
    <n v="1"/>
    <d v="2025-10-25T00:00:00"/>
    <n v="1"/>
    <x v="0"/>
    <n v="1"/>
    <x v="0"/>
    <d v="2025-11-21T00:00:00"/>
    <n v="5"/>
    <n v="3"/>
    <n v="5"/>
    <n v="6"/>
    <s v="Lead"/>
    <x v="0"/>
  </r>
  <r>
    <s v="L1844"/>
    <x v="2"/>
    <x v="2"/>
    <d v="2025-10-12T00:00:00"/>
    <n v="1"/>
    <m/>
    <n v="0"/>
    <m/>
    <n v="0"/>
    <m/>
    <n v="0"/>
    <x v="1"/>
    <n v="0"/>
    <x v="5"/>
    <m/>
    <m/>
    <m/>
    <m/>
    <m/>
    <s v="Cancelled (Lead Stage)"/>
    <x v="0"/>
  </r>
  <r>
    <s v="L1847"/>
    <x v="0"/>
    <x v="2"/>
    <d v="2025-10-12T00:00:00"/>
    <n v="1"/>
    <m/>
    <n v="0"/>
    <m/>
    <n v="0"/>
    <m/>
    <n v="0"/>
    <x v="1"/>
    <n v="0"/>
    <x v="2"/>
    <m/>
    <m/>
    <m/>
    <m/>
    <m/>
    <s v="Cancelled (Lead Stage)"/>
    <x v="0"/>
  </r>
  <r>
    <s v="L1851"/>
    <x v="0"/>
    <x v="1"/>
    <d v="2025-10-12T00:00:00"/>
    <n v="1"/>
    <d v="2025-10-16T00:00:00"/>
    <n v="1"/>
    <d v="2025-10-18T00:00:00"/>
    <n v="1"/>
    <d v="2025-10-20T00:00:00"/>
    <n v="1"/>
    <x v="0"/>
    <n v="1"/>
    <x v="0"/>
    <d v="2025-11-15T00:00:00"/>
    <n v="4"/>
    <n v="2"/>
    <n v="2"/>
    <n v="9"/>
    <s v="Lead"/>
    <x v="2"/>
  </r>
  <r>
    <s v="L1908"/>
    <x v="1"/>
    <x v="0"/>
    <d v="2025-10-12T00:00:00"/>
    <n v="1"/>
    <d v="2025-10-16T00:00:00"/>
    <n v="1"/>
    <d v="2025-10-20T00:00:00"/>
    <n v="1"/>
    <d v="2025-10-26T00:00:00"/>
    <n v="1"/>
    <x v="0"/>
    <n v="1"/>
    <x v="0"/>
    <d v="2025-11-25T00:00:00"/>
    <n v="4"/>
    <n v="4"/>
    <n v="6"/>
    <n v="8"/>
    <s v="Lead"/>
    <x v="1"/>
  </r>
  <r>
    <s v="L1928"/>
    <x v="0"/>
    <x v="0"/>
    <d v="2025-10-12T00:00:00"/>
    <n v="1"/>
    <d v="2025-10-15T00:00:00"/>
    <n v="1"/>
    <d v="2025-10-19T00:00:00"/>
    <n v="1"/>
    <d v="2025-10-26T00:00:00"/>
    <n v="1"/>
    <x v="0"/>
    <n v="1"/>
    <x v="0"/>
    <d v="2025-11-09T00:00:00"/>
    <n v="3"/>
    <n v="4"/>
    <n v="7"/>
    <n v="8"/>
    <s v="Lead"/>
    <x v="1"/>
  </r>
  <r>
    <s v="L1001"/>
    <x v="2"/>
    <x v="0"/>
    <d v="2025-10-11T00:00:00"/>
    <n v="1"/>
    <d v="2025-10-14T00:00:00"/>
    <n v="1"/>
    <d v="2025-10-19T00:00:00"/>
    <n v="1"/>
    <d v="2025-10-26T00:00:00"/>
    <n v="1"/>
    <x v="0"/>
    <n v="1"/>
    <x v="0"/>
    <d v="2025-11-22T00:00:00"/>
    <n v="3"/>
    <n v="5"/>
    <n v="7"/>
    <n v="8"/>
    <s v="Lead"/>
    <x v="1"/>
  </r>
  <r>
    <s v="L1036"/>
    <x v="1"/>
    <x v="0"/>
    <d v="2025-10-11T00:00:00"/>
    <n v="1"/>
    <d v="2025-10-12T00:00:00"/>
    <n v="1"/>
    <d v="2025-10-13T00:00:00"/>
    <n v="1"/>
    <d v="2025-10-15T00:00:00"/>
    <n v="1"/>
    <x v="1"/>
    <n v="0"/>
    <x v="2"/>
    <m/>
    <n v="1"/>
    <n v="1"/>
    <n v="2"/>
    <m/>
    <s v="Cancelled (Lead Stage)"/>
    <x v="0"/>
  </r>
  <r>
    <s v="L1052"/>
    <x v="1"/>
    <x v="1"/>
    <d v="2025-10-11T00:00:00"/>
    <n v="1"/>
    <d v="2025-10-14T00:00:00"/>
    <n v="1"/>
    <d v="2025-10-19T00:00:00"/>
    <n v="1"/>
    <d v="2025-10-23T00:00:00"/>
    <n v="1"/>
    <x v="0"/>
    <n v="1"/>
    <x v="0"/>
    <d v="2025-11-15T00:00:00"/>
    <n v="3"/>
    <n v="5"/>
    <n v="4"/>
    <n v="4"/>
    <s v="Lead"/>
    <x v="0"/>
  </r>
  <r>
    <s v="L1056"/>
    <x v="0"/>
    <x v="0"/>
    <d v="2025-10-11T00:00:00"/>
    <n v="1"/>
    <d v="2025-10-14T00:00:00"/>
    <n v="1"/>
    <d v="2025-10-18T00:00:00"/>
    <n v="1"/>
    <d v="2025-10-21T00:00:00"/>
    <n v="1"/>
    <x v="0"/>
    <n v="1"/>
    <x v="0"/>
    <d v="2025-11-10T00:00:00"/>
    <n v="3"/>
    <n v="4"/>
    <n v="3"/>
    <n v="6"/>
    <s v="Lead"/>
    <x v="0"/>
  </r>
  <r>
    <s v="L1063"/>
    <x v="1"/>
    <x v="1"/>
    <d v="2025-10-11T00:00:00"/>
    <n v="1"/>
    <d v="2025-10-16T00:00:00"/>
    <n v="1"/>
    <d v="2025-10-19T00:00:00"/>
    <n v="1"/>
    <d v="2025-10-26T00:00:00"/>
    <n v="1"/>
    <x v="0"/>
    <n v="1"/>
    <x v="0"/>
    <d v="2025-11-23T00:00:00"/>
    <n v="5"/>
    <n v="3"/>
    <n v="7"/>
    <n v="3"/>
    <s v="Lead"/>
    <x v="0"/>
  </r>
  <r>
    <s v="L1108"/>
    <x v="2"/>
    <x v="1"/>
    <d v="2025-10-11T00:00:00"/>
    <n v="1"/>
    <d v="2025-10-12T00:00:00"/>
    <n v="1"/>
    <d v="2025-10-15T00:00:00"/>
    <n v="1"/>
    <d v="2025-10-18T00:00:00"/>
    <n v="1"/>
    <x v="0"/>
    <n v="1"/>
    <x v="0"/>
    <d v="2025-11-17T00:00:00"/>
    <n v="1"/>
    <n v="3"/>
    <n v="3"/>
    <n v="4"/>
    <s v="Lead"/>
    <x v="0"/>
  </r>
  <r>
    <s v="L1119"/>
    <x v="2"/>
    <x v="2"/>
    <d v="2025-10-11T00:00:00"/>
    <n v="1"/>
    <m/>
    <n v="0"/>
    <m/>
    <n v="0"/>
    <m/>
    <n v="0"/>
    <x v="1"/>
    <n v="0"/>
    <x v="4"/>
    <m/>
    <m/>
    <m/>
    <m/>
    <m/>
    <s v="Cancelled (Lead Stage)"/>
    <x v="0"/>
  </r>
  <r>
    <s v="L1170"/>
    <x v="3"/>
    <x v="2"/>
    <d v="2025-10-11T00:00:00"/>
    <n v="1"/>
    <m/>
    <n v="0"/>
    <m/>
    <n v="0"/>
    <m/>
    <n v="0"/>
    <x v="1"/>
    <n v="0"/>
    <x v="5"/>
    <m/>
    <m/>
    <m/>
    <m/>
    <m/>
    <s v="Cancelled (Lead Stage)"/>
    <x v="0"/>
  </r>
  <r>
    <s v="L1305"/>
    <x v="2"/>
    <x v="0"/>
    <d v="2025-10-11T00:00:00"/>
    <n v="1"/>
    <d v="2025-10-14T00:00:00"/>
    <n v="1"/>
    <d v="2025-10-19T00:00:00"/>
    <n v="1"/>
    <d v="2025-10-22T00:00:00"/>
    <n v="1"/>
    <x v="0"/>
    <n v="1"/>
    <x v="0"/>
    <d v="2025-11-13T00:00:00"/>
    <n v="3"/>
    <n v="5"/>
    <n v="3"/>
    <n v="1"/>
    <s v="Lead"/>
    <x v="0"/>
  </r>
  <r>
    <s v="L1344"/>
    <x v="3"/>
    <x v="0"/>
    <d v="2025-10-11T00:00:00"/>
    <n v="1"/>
    <d v="2025-10-14T00:00:00"/>
    <n v="1"/>
    <d v="2025-10-15T00:00:00"/>
    <n v="1"/>
    <d v="2025-10-19T00:00:00"/>
    <n v="1"/>
    <x v="0"/>
    <n v="1"/>
    <x v="0"/>
    <d v="2025-11-02T00:00:00"/>
    <n v="3"/>
    <n v="1"/>
    <n v="4"/>
    <n v="3"/>
    <s v="Lead"/>
    <x v="0"/>
  </r>
  <r>
    <s v="L1345"/>
    <x v="3"/>
    <x v="0"/>
    <d v="2025-10-11T00:00:00"/>
    <n v="1"/>
    <d v="2025-10-16T00:00:00"/>
    <n v="1"/>
    <d v="2025-10-21T00:00:00"/>
    <n v="1"/>
    <d v="2025-10-23T00:00:00"/>
    <n v="1"/>
    <x v="0"/>
    <n v="1"/>
    <x v="0"/>
    <d v="2025-11-21T00:00:00"/>
    <n v="5"/>
    <n v="5"/>
    <n v="2"/>
    <n v="6"/>
    <s v="Lead"/>
    <x v="0"/>
  </r>
  <r>
    <s v="L1350"/>
    <x v="2"/>
    <x v="0"/>
    <d v="2025-10-11T00:00:00"/>
    <n v="1"/>
    <d v="2025-10-13T00:00:00"/>
    <n v="1"/>
    <d v="2025-10-16T00:00:00"/>
    <n v="1"/>
    <d v="2025-10-18T00:00:00"/>
    <n v="1"/>
    <x v="1"/>
    <n v="0"/>
    <x v="4"/>
    <m/>
    <n v="2"/>
    <n v="3"/>
    <n v="2"/>
    <m/>
    <s v="Cancelled (Lead Stage)"/>
    <x v="0"/>
  </r>
  <r>
    <s v="L1364"/>
    <x v="1"/>
    <x v="0"/>
    <d v="2025-10-11T00:00:00"/>
    <n v="1"/>
    <d v="2025-10-16T00:00:00"/>
    <n v="1"/>
    <d v="2025-10-18T00:00:00"/>
    <n v="1"/>
    <d v="2025-10-20T00:00:00"/>
    <n v="1"/>
    <x v="0"/>
    <n v="1"/>
    <x v="0"/>
    <d v="2025-11-17T00:00:00"/>
    <n v="5"/>
    <n v="2"/>
    <n v="2"/>
    <n v="5"/>
    <s v="Lead"/>
    <x v="0"/>
  </r>
  <r>
    <s v="L1366"/>
    <x v="1"/>
    <x v="0"/>
    <d v="2025-10-11T00:00:00"/>
    <n v="1"/>
    <d v="2025-10-15T00:00:00"/>
    <n v="1"/>
    <d v="2025-10-16T00:00:00"/>
    <n v="1"/>
    <d v="2025-10-21T00:00:00"/>
    <n v="1"/>
    <x v="0"/>
    <n v="1"/>
    <x v="0"/>
    <d v="2025-11-13T00:00:00"/>
    <n v="4"/>
    <n v="1"/>
    <n v="5"/>
    <n v="3"/>
    <s v="Lead"/>
    <x v="0"/>
  </r>
  <r>
    <s v="L1454"/>
    <x v="2"/>
    <x v="2"/>
    <d v="2025-10-11T00:00:00"/>
    <n v="1"/>
    <m/>
    <n v="0"/>
    <m/>
    <n v="0"/>
    <m/>
    <n v="0"/>
    <x v="1"/>
    <n v="0"/>
    <x v="3"/>
    <m/>
    <m/>
    <m/>
    <m/>
    <m/>
    <s v="Cancelled (Lead Stage)"/>
    <x v="0"/>
  </r>
  <r>
    <s v="L1475"/>
    <x v="0"/>
    <x v="0"/>
    <d v="2025-10-11T00:00:00"/>
    <n v="1"/>
    <d v="2025-10-13T00:00:00"/>
    <n v="1"/>
    <d v="2025-10-17T00:00:00"/>
    <n v="1"/>
    <d v="2025-10-22T00:00:00"/>
    <n v="1"/>
    <x v="1"/>
    <n v="0"/>
    <x v="4"/>
    <m/>
    <n v="2"/>
    <n v="4"/>
    <n v="5"/>
    <m/>
    <s v="Cancelled (Lead Stage)"/>
    <x v="0"/>
  </r>
  <r>
    <s v="L1482"/>
    <x v="2"/>
    <x v="0"/>
    <d v="2025-10-11T00:00:00"/>
    <n v="1"/>
    <d v="2025-10-12T00:00:00"/>
    <n v="1"/>
    <d v="2025-10-14T00:00:00"/>
    <n v="1"/>
    <d v="2025-10-16T00:00:00"/>
    <n v="1"/>
    <x v="0"/>
    <n v="1"/>
    <x v="0"/>
    <d v="2025-11-01T00:00:00"/>
    <n v="1"/>
    <n v="2"/>
    <n v="2"/>
    <n v="5"/>
    <s v="Lead"/>
    <x v="0"/>
  </r>
  <r>
    <s v="L1494"/>
    <x v="0"/>
    <x v="2"/>
    <d v="2025-10-11T00:00:00"/>
    <n v="1"/>
    <m/>
    <n v="0"/>
    <m/>
    <n v="0"/>
    <m/>
    <n v="0"/>
    <x v="1"/>
    <n v="0"/>
    <x v="1"/>
    <m/>
    <m/>
    <m/>
    <m/>
    <m/>
    <s v="Cancelled (Lead Stage)"/>
    <x v="0"/>
  </r>
  <r>
    <s v="L1514"/>
    <x v="0"/>
    <x v="0"/>
    <d v="2025-10-11T00:00:00"/>
    <n v="1"/>
    <d v="2025-10-16T00:00:00"/>
    <n v="1"/>
    <d v="2025-10-18T00:00:00"/>
    <n v="1"/>
    <d v="2025-10-22T00:00:00"/>
    <n v="1"/>
    <x v="0"/>
    <n v="1"/>
    <x v="0"/>
    <d v="2025-11-10T00:00:00"/>
    <n v="5"/>
    <n v="2"/>
    <n v="4"/>
    <n v="5"/>
    <s v="Lead"/>
    <x v="0"/>
  </r>
  <r>
    <s v="L1535"/>
    <x v="3"/>
    <x v="1"/>
    <d v="2025-10-11T00:00:00"/>
    <n v="1"/>
    <d v="2025-10-13T00:00:00"/>
    <n v="1"/>
    <d v="2025-10-16T00:00:00"/>
    <n v="1"/>
    <d v="2025-10-18T00:00:00"/>
    <n v="1"/>
    <x v="1"/>
    <n v="0"/>
    <x v="2"/>
    <m/>
    <n v="2"/>
    <n v="3"/>
    <n v="2"/>
    <m/>
    <s v="Cancelled (Lead Stage)"/>
    <x v="0"/>
  </r>
  <r>
    <s v="L1542"/>
    <x v="3"/>
    <x v="0"/>
    <d v="2025-10-11T00:00:00"/>
    <n v="1"/>
    <d v="2025-10-16T00:00:00"/>
    <n v="1"/>
    <d v="2025-10-20T00:00:00"/>
    <n v="1"/>
    <d v="2025-10-24T00:00:00"/>
    <n v="1"/>
    <x v="0"/>
    <n v="1"/>
    <x v="0"/>
    <d v="2025-11-23T00:00:00"/>
    <n v="5"/>
    <n v="4"/>
    <n v="4"/>
    <n v="9"/>
    <s v="Lead"/>
    <x v="2"/>
  </r>
  <r>
    <s v="L1549"/>
    <x v="0"/>
    <x v="0"/>
    <d v="2025-10-11T00:00:00"/>
    <n v="1"/>
    <d v="2025-10-16T00:00:00"/>
    <n v="1"/>
    <d v="2025-10-21T00:00:00"/>
    <n v="1"/>
    <d v="2025-10-23T00:00:00"/>
    <n v="1"/>
    <x v="0"/>
    <n v="1"/>
    <x v="0"/>
    <d v="2025-11-11T00:00:00"/>
    <n v="5"/>
    <n v="5"/>
    <n v="2"/>
    <n v="5"/>
    <s v="Lead"/>
    <x v="0"/>
  </r>
  <r>
    <s v="L1582"/>
    <x v="3"/>
    <x v="0"/>
    <d v="2025-10-11T00:00:00"/>
    <n v="1"/>
    <d v="2025-10-14T00:00:00"/>
    <n v="1"/>
    <d v="2025-10-18T00:00:00"/>
    <n v="1"/>
    <d v="2025-10-22T00:00:00"/>
    <n v="1"/>
    <x v="0"/>
    <n v="1"/>
    <x v="0"/>
    <d v="2025-11-09T00:00:00"/>
    <n v="3"/>
    <n v="4"/>
    <n v="4"/>
    <n v="1"/>
    <s v="Lead"/>
    <x v="0"/>
  </r>
  <r>
    <s v="L1709"/>
    <x v="2"/>
    <x v="0"/>
    <d v="2025-10-11T00:00:00"/>
    <n v="1"/>
    <d v="2025-10-14T00:00:00"/>
    <n v="1"/>
    <d v="2025-10-18T00:00:00"/>
    <n v="1"/>
    <d v="2025-10-20T00:00:00"/>
    <n v="1"/>
    <x v="0"/>
    <n v="1"/>
    <x v="0"/>
    <d v="2025-11-01T00:00:00"/>
    <n v="3"/>
    <n v="4"/>
    <n v="2"/>
    <n v="6"/>
    <s v="Lead"/>
    <x v="0"/>
  </r>
  <r>
    <s v="L1735"/>
    <x v="3"/>
    <x v="1"/>
    <d v="2025-10-11T00:00:00"/>
    <n v="1"/>
    <d v="2025-10-13T00:00:00"/>
    <n v="1"/>
    <d v="2025-10-15T00:00:00"/>
    <n v="1"/>
    <d v="2025-10-17T00:00:00"/>
    <n v="1"/>
    <x v="0"/>
    <n v="1"/>
    <x v="0"/>
    <d v="2025-11-08T00:00:00"/>
    <n v="2"/>
    <n v="2"/>
    <n v="2"/>
    <n v="9"/>
    <s v="Lead"/>
    <x v="2"/>
  </r>
  <r>
    <s v="L1783"/>
    <x v="3"/>
    <x v="0"/>
    <d v="2025-10-11T00:00:00"/>
    <n v="1"/>
    <d v="2025-10-16T00:00:00"/>
    <n v="1"/>
    <d v="2025-10-21T00:00:00"/>
    <n v="1"/>
    <d v="2025-10-27T00:00:00"/>
    <n v="1"/>
    <x v="0"/>
    <n v="1"/>
    <x v="0"/>
    <d v="2025-11-16T00:00:00"/>
    <n v="5"/>
    <n v="5"/>
    <n v="6"/>
    <n v="9"/>
    <s v="Lead"/>
    <x v="2"/>
  </r>
  <r>
    <s v="L1871"/>
    <x v="1"/>
    <x v="0"/>
    <d v="2025-10-11T00:00:00"/>
    <n v="1"/>
    <d v="2025-10-13T00:00:00"/>
    <n v="1"/>
    <d v="2025-10-16T00:00:00"/>
    <n v="1"/>
    <d v="2025-10-21T00:00:00"/>
    <n v="1"/>
    <x v="0"/>
    <n v="1"/>
    <x v="0"/>
    <d v="2025-11-06T00:00:00"/>
    <n v="2"/>
    <n v="3"/>
    <n v="5"/>
    <n v="7"/>
    <s v="Lead"/>
    <x v="1"/>
  </r>
  <r>
    <s v="L1887"/>
    <x v="3"/>
    <x v="0"/>
    <d v="2025-10-11T00:00:00"/>
    <n v="1"/>
    <d v="2025-10-15T00:00:00"/>
    <n v="1"/>
    <d v="2025-10-18T00:00:00"/>
    <n v="1"/>
    <d v="2025-10-23T00:00:00"/>
    <n v="1"/>
    <x v="0"/>
    <n v="1"/>
    <x v="0"/>
    <d v="2025-11-17T00:00:00"/>
    <n v="4"/>
    <n v="3"/>
    <n v="5"/>
    <n v="7"/>
    <s v="Lead"/>
    <x v="1"/>
  </r>
  <r>
    <s v="L1913"/>
    <x v="2"/>
    <x v="0"/>
    <d v="2025-10-11T00:00:00"/>
    <n v="1"/>
    <d v="2025-10-16T00:00:00"/>
    <n v="1"/>
    <d v="2025-10-17T00:00:00"/>
    <n v="1"/>
    <d v="2025-10-22T00:00:00"/>
    <n v="1"/>
    <x v="0"/>
    <n v="1"/>
    <x v="0"/>
    <d v="2025-11-15T00:00:00"/>
    <n v="5"/>
    <n v="1"/>
    <n v="5"/>
    <n v="9"/>
    <s v="Lead"/>
    <x v="2"/>
  </r>
  <r>
    <s v="L1963"/>
    <x v="2"/>
    <x v="1"/>
    <d v="2025-10-11T00:00:00"/>
    <n v="1"/>
    <d v="2025-10-13T00:00:00"/>
    <n v="1"/>
    <d v="2025-10-16T00:00:00"/>
    <n v="1"/>
    <d v="2025-10-18T00:00:00"/>
    <n v="1"/>
    <x v="0"/>
    <n v="1"/>
    <x v="0"/>
    <d v="2025-11-15T00:00:00"/>
    <n v="2"/>
    <n v="3"/>
    <n v="2"/>
    <n v="3"/>
    <s v="Lead"/>
    <x v="0"/>
  </r>
  <r>
    <s v="L1974"/>
    <x v="2"/>
    <x v="0"/>
    <d v="2025-10-11T00:00:00"/>
    <n v="1"/>
    <d v="2025-10-13T00:00:00"/>
    <n v="1"/>
    <d v="2025-10-17T00:00:00"/>
    <n v="1"/>
    <d v="2025-10-23T00:00:00"/>
    <n v="1"/>
    <x v="0"/>
    <n v="1"/>
    <x v="0"/>
    <d v="2025-11-02T00:00:00"/>
    <n v="2"/>
    <n v="4"/>
    <n v="6"/>
    <n v="7"/>
    <s v="Lead"/>
    <x v="1"/>
  </r>
  <r>
    <s v="L1092"/>
    <x v="1"/>
    <x v="2"/>
    <d v="2025-10-10T00:00:00"/>
    <n v="1"/>
    <m/>
    <n v="0"/>
    <m/>
    <n v="0"/>
    <m/>
    <n v="0"/>
    <x v="1"/>
    <n v="0"/>
    <x v="1"/>
    <m/>
    <m/>
    <m/>
    <m/>
    <m/>
    <s v="Cancelled (Lead Stage)"/>
    <x v="0"/>
  </r>
  <r>
    <s v="L1097"/>
    <x v="2"/>
    <x v="0"/>
    <d v="2025-10-10T00:00:00"/>
    <n v="1"/>
    <d v="2025-10-14T00:00:00"/>
    <n v="1"/>
    <d v="2025-10-15T00:00:00"/>
    <n v="1"/>
    <d v="2025-10-21T00:00:00"/>
    <n v="1"/>
    <x v="0"/>
    <n v="1"/>
    <x v="0"/>
    <d v="2025-11-15T00:00:00"/>
    <n v="4"/>
    <n v="1"/>
    <n v="6"/>
    <n v="6"/>
    <s v="Lead"/>
    <x v="0"/>
  </r>
  <r>
    <s v="L1113"/>
    <x v="2"/>
    <x v="1"/>
    <d v="2025-10-10T00:00:00"/>
    <n v="1"/>
    <d v="2025-10-12T00:00:00"/>
    <n v="1"/>
    <d v="2025-10-16T00:00:00"/>
    <n v="1"/>
    <d v="2025-10-22T00:00:00"/>
    <n v="1"/>
    <x v="0"/>
    <n v="1"/>
    <x v="0"/>
    <d v="2025-11-21T00:00:00"/>
    <n v="2"/>
    <n v="4"/>
    <n v="6"/>
    <n v="6"/>
    <s v="Lead"/>
    <x v="0"/>
  </r>
  <r>
    <s v="L1137"/>
    <x v="0"/>
    <x v="0"/>
    <d v="2025-10-10T00:00:00"/>
    <n v="1"/>
    <d v="2025-10-11T00:00:00"/>
    <n v="1"/>
    <d v="2025-10-13T00:00:00"/>
    <n v="1"/>
    <d v="2025-10-18T00:00:00"/>
    <n v="1"/>
    <x v="1"/>
    <n v="0"/>
    <x v="1"/>
    <m/>
    <n v="1"/>
    <n v="2"/>
    <n v="5"/>
    <m/>
    <s v="Cancelled (Lead Stage)"/>
    <x v="0"/>
  </r>
  <r>
    <s v="L1141"/>
    <x v="3"/>
    <x v="2"/>
    <d v="2025-10-10T00:00:00"/>
    <n v="1"/>
    <m/>
    <n v="0"/>
    <m/>
    <n v="0"/>
    <m/>
    <n v="0"/>
    <x v="1"/>
    <n v="0"/>
    <x v="4"/>
    <m/>
    <m/>
    <m/>
    <m/>
    <m/>
    <s v="Cancelled (Lead Stage)"/>
    <x v="0"/>
  </r>
  <r>
    <s v="L1145"/>
    <x v="2"/>
    <x v="0"/>
    <d v="2025-10-10T00:00:00"/>
    <n v="1"/>
    <d v="2025-10-11T00:00:00"/>
    <n v="1"/>
    <d v="2025-10-15T00:00:00"/>
    <n v="1"/>
    <d v="2025-10-18T00:00:00"/>
    <n v="1"/>
    <x v="0"/>
    <n v="1"/>
    <x v="0"/>
    <d v="2025-11-09T00:00:00"/>
    <n v="1"/>
    <n v="4"/>
    <n v="3"/>
    <n v="1"/>
    <s v="Lead"/>
    <x v="0"/>
  </r>
  <r>
    <s v="L1154"/>
    <x v="2"/>
    <x v="2"/>
    <d v="2025-10-10T00:00:00"/>
    <n v="1"/>
    <m/>
    <n v="0"/>
    <m/>
    <n v="0"/>
    <m/>
    <n v="0"/>
    <x v="1"/>
    <n v="0"/>
    <x v="4"/>
    <m/>
    <m/>
    <m/>
    <m/>
    <m/>
    <s v="Cancelled (Lead Stage)"/>
    <x v="0"/>
  </r>
  <r>
    <s v="L1166"/>
    <x v="3"/>
    <x v="0"/>
    <d v="2025-10-10T00:00:00"/>
    <n v="1"/>
    <d v="2025-10-14T00:00:00"/>
    <n v="1"/>
    <d v="2025-10-19T00:00:00"/>
    <n v="1"/>
    <d v="2025-10-25T00:00:00"/>
    <n v="1"/>
    <x v="1"/>
    <n v="0"/>
    <x v="3"/>
    <m/>
    <n v="4"/>
    <n v="5"/>
    <n v="6"/>
    <m/>
    <s v="Cancelled (Lead Stage)"/>
    <x v="0"/>
  </r>
  <r>
    <s v="L1193"/>
    <x v="1"/>
    <x v="0"/>
    <d v="2025-10-10T00:00:00"/>
    <n v="1"/>
    <d v="2025-10-14T00:00:00"/>
    <n v="1"/>
    <d v="2025-10-19T00:00:00"/>
    <n v="1"/>
    <d v="2025-10-24T00:00:00"/>
    <n v="1"/>
    <x v="0"/>
    <n v="1"/>
    <x v="0"/>
    <d v="2025-11-04T00:00:00"/>
    <n v="4"/>
    <n v="5"/>
    <n v="5"/>
    <n v="5"/>
    <s v="Lead"/>
    <x v="0"/>
  </r>
  <r>
    <s v="L1211"/>
    <x v="1"/>
    <x v="0"/>
    <d v="2025-10-10T00:00:00"/>
    <n v="1"/>
    <d v="2025-10-11T00:00:00"/>
    <n v="1"/>
    <d v="2025-10-13T00:00:00"/>
    <n v="1"/>
    <d v="2025-10-16T00:00:00"/>
    <n v="1"/>
    <x v="1"/>
    <n v="0"/>
    <x v="4"/>
    <m/>
    <n v="1"/>
    <n v="2"/>
    <n v="3"/>
    <m/>
    <s v="Cancelled (Lead Stage)"/>
    <x v="0"/>
  </r>
  <r>
    <s v="L1215"/>
    <x v="0"/>
    <x v="2"/>
    <d v="2025-10-10T00:00:00"/>
    <n v="1"/>
    <m/>
    <n v="0"/>
    <m/>
    <n v="0"/>
    <m/>
    <n v="0"/>
    <x v="1"/>
    <n v="0"/>
    <x v="1"/>
    <m/>
    <m/>
    <m/>
    <m/>
    <m/>
    <s v="Cancelled (Lead Stage)"/>
    <x v="0"/>
  </r>
  <r>
    <s v="L1243"/>
    <x v="1"/>
    <x v="2"/>
    <d v="2025-10-10T00:00:00"/>
    <n v="1"/>
    <m/>
    <n v="0"/>
    <m/>
    <n v="0"/>
    <m/>
    <n v="0"/>
    <x v="1"/>
    <n v="0"/>
    <x v="2"/>
    <m/>
    <m/>
    <m/>
    <m/>
    <m/>
    <s v="Cancelled (Lead Stage)"/>
    <x v="0"/>
  </r>
  <r>
    <s v="L1246"/>
    <x v="0"/>
    <x v="1"/>
    <d v="2025-10-10T00:00:00"/>
    <n v="1"/>
    <d v="2025-10-12T00:00:00"/>
    <n v="1"/>
    <d v="2025-10-15T00:00:00"/>
    <n v="1"/>
    <d v="2025-10-18T00:00:00"/>
    <n v="1"/>
    <x v="0"/>
    <n v="1"/>
    <x v="0"/>
    <d v="2025-11-02T00:00:00"/>
    <n v="2"/>
    <n v="3"/>
    <n v="3"/>
    <n v="6"/>
    <s v="Lead"/>
    <x v="0"/>
  </r>
  <r>
    <s v="L1248"/>
    <x v="0"/>
    <x v="0"/>
    <d v="2025-10-10T00:00:00"/>
    <n v="1"/>
    <d v="2025-10-12T00:00:00"/>
    <n v="1"/>
    <d v="2025-10-17T00:00:00"/>
    <n v="1"/>
    <d v="2025-10-20T00:00:00"/>
    <n v="1"/>
    <x v="0"/>
    <n v="1"/>
    <x v="0"/>
    <d v="2025-11-08T00:00:00"/>
    <n v="2"/>
    <n v="5"/>
    <n v="3"/>
    <n v="7"/>
    <s v="Lead"/>
    <x v="1"/>
  </r>
  <r>
    <s v="L1279"/>
    <x v="1"/>
    <x v="1"/>
    <d v="2025-10-10T00:00:00"/>
    <n v="1"/>
    <d v="2025-10-14T00:00:00"/>
    <n v="1"/>
    <d v="2025-10-19T00:00:00"/>
    <n v="1"/>
    <d v="2025-10-24T00:00:00"/>
    <n v="1"/>
    <x v="1"/>
    <n v="0"/>
    <x v="4"/>
    <m/>
    <n v="4"/>
    <n v="5"/>
    <n v="5"/>
    <m/>
    <s v="Cancelled (Lead Stage)"/>
    <x v="0"/>
  </r>
  <r>
    <s v="L1285"/>
    <x v="0"/>
    <x v="0"/>
    <d v="2025-10-10T00:00:00"/>
    <n v="1"/>
    <d v="2025-10-13T00:00:00"/>
    <n v="1"/>
    <d v="2025-10-15T00:00:00"/>
    <n v="1"/>
    <d v="2025-10-17T00:00:00"/>
    <n v="1"/>
    <x v="0"/>
    <n v="1"/>
    <x v="0"/>
    <d v="2025-11-14T00:00:00"/>
    <n v="3"/>
    <n v="2"/>
    <n v="2"/>
    <n v="9"/>
    <s v="Lead"/>
    <x v="2"/>
  </r>
  <r>
    <s v="L1290"/>
    <x v="3"/>
    <x v="1"/>
    <d v="2025-10-10T00:00:00"/>
    <n v="1"/>
    <d v="2025-10-15T00:00:00"/>
    <n v="1"/>
    <d v="2025-10-20T00:00:00"/>
    <n v="1"/>
    <d v="2025-10-27T00:00:00"/>
    <n v="1"/>
    <x v="0"/>
    <n v="1"/>
    <x v="0"/>
    <d v="2025-11-10T00:00:00"/>
    <n v="5"/>
    <n v="5"/>
    <n v="7"/>
    <n v="4"/>
    <s v="Lead"/>
    <x v="0"/>
  </r>
  <r>
    <s v="L1354"/>
    <x v="2"/>
    <x v="1"/>
    <d v="2025-10-10T00:00:00"/>
    <n v="1"/>
    <d v="2025-10-14T00:00:00"/>
    <n v="1"/>
    <d v="2025-10-16T00:00:00"/>
    <n v="1"/>
    <d v="2025-10-20T00:00:00"/>
    <n v="1"/>
    <x v="0"/>
    <n v="1"/>
    <x v="0"/>
    <d v="2025-11-16T00:00:00"/>
    <n v="4"/>
    <n v="2"/>
    <n v="4"/>
    <n v="2"/>
    <s v="Lead"/>
    <x v="0"/>
  </r>
  <r>
    <s v="L1395"/>
    <x v="2"/>
    <x v="0"/>
    <d v="2025-10-10T00:00:00"/>
    <n v="1"/>
    <d v="2025-10-12T00:00:00"/>
    <n v="1"/>
    <d v="2025-10-13T00:00:00"/>
    <n v="1"/>
    <d v="2025-10-17T00:00:00"/>
    <n v="1"/>
    <x v="0"/>
    <n v="1"/>
    <x v="0"/>
    <d v="2025-11-11T00:00:00"/>
    <n v="2"/>
    <n v="1"/>
    <n v="4"/>
    <n v="8"/>
    <s v="Lead"/>
    <x v="1"/>
  </r>
  <r>
    <s v="L1408"/>
    <x v="1"/>
    <x v="1"/>
    <d v="2025-10-10T00:00:00"/>
    <n v="1"/>
    <d v="2025-10-15T00:00:00"/>
    <n v="1"/>
    <d v="2025-10-16T00:00:00"/>
    <n v="1"/>
    <d v="2025-10-22T00:00:00"/>
    <n v="1"/>
    <x v="1"/>
    <n v="0"/>
    <x v="4"/>
    <m/>
    <n v="5"/>
    <n v="1"/>
    <n v="6"/>
    <m/>
    <s v="Cancelled (Lead Stage)"/>
    <x v="0"/>
  </r>
  <r>
    <s v="L1427"/>
    <x v="3"/>
    <x v="0"/>
    <d v="2025-10-10T00:00:00"/>
    <n v="1"/>
    <d v="2025-10-12T00:00:00"/>
    <n v="1"/>
    <d v="2025-10-14T00:00:00"/>
    <n v="1"/>
    <d v="2025-10-16T00:00:00"/>
    <n v="1"/>
    <x v="0"/>
    <n v="1"/>
    <x v="0"/>
    <d v="2025-11-04T00:00:00"/>
    <n v="2"/>
    <n v="2"/>
    <n v="2"/>
    <n v="7"/>
    <s v="Lead"/>
    <x v="1"/>
  </r>
  <r>
    <s v="L1461"/>
    <x v="1"/>
    <x v="2"/>
    <d v="2025-10-10T00:00:00"/>
    <n v="1"/>
    <m/>
    <n v="0"/>
    <m/>
    <n v="0"/>
    <m/>
    <n v="0"/>
    <x v="1"/>
    <n v="0"/>
    <x v="3"/>
    <m/>
    <m/>
    <m/>
    <m/>
    <m/>
    <s v="Cancelled (Lead Stage)"/>
    <x v="0"/>
  </r>
  <r>
    <s v="L1463"/>
    <x v="3"/>
    <x v="0"/>
    <d v="2025-10-10T00:00:00"/>
    <n v="1"/>
    <d v="2025-10-11T00:00:00"/>
    <n v="1"/>
    <d v="2025-10-13T00:00:00"/>
    <n v="1"/>
    <d v="2025-10-19T00:00:00"/>
    <n v="1"/>
    <x v="0"/>
    <n v="1"/>
    <x v="0"/>
    <d v="2025-11-14T00:00:00"/>
    <n v="1"/>
    <n v="2"/>
    <n v="6"/>
    <n v="1"/>
    <s v="Lead"/>
    <x v="0"/>
  </r>
  <r>
    <s v="L1564"/>
    <x v="0"/>
    <x v="0"/>
    <d v="2025-10-10T00:00:00"/>
    <n v="1"/>
    <d v="2025-10-12T00:00:00"/>
    <n v="1"/>
    <d v="2025-10-15T00:00:00"/>
    <n v="1"/>
    <d v="2025-10-21T00:00:00"/>
    <n v="1"/>
    <x v="0"/>
    <n v="1"/>
    <x v="0"/>
    <d v="2025-11-19T00:00:00"/>
    <n v="2"/>
    <n v="3"/>
    <n v="6"/>
    <n v="4"/>
    <s v="Lead"/>
    <x v="0"/>
  </r>
  <r>
    <s v="L1578"/>
    <x v="3"/>
    <x v="1"/>
    <d v="2025-10-10T00:00:00"/>
    <n v="1"/>
    <d v="2025-10-12T00:00:00"/>
    <n v="1"/>
    <d v="2025-10-15T00:00:00"/>
    <n v="1"/>
    <d v="2025-10-22T00:00:00"/>
    <n v="1"/>
    <x v="0"/>
    <n v="1"/>
    <x v="0"/>
    <d v="2025-11-04T00:00:00"/>
    <n v="2"/>
    <n v="3"/>
    <n v="7"/>
    <n v="6"/>
    <s v="Lead"/>
    <x v="0"/>
  </r>
  <r>
    <s v="L1585"/>
    <x v="3"/>
    <x v="1"/>
    <d v="2025-10-10T00:00:00"/>
    <n v="1"/>
    <d v="2025-10-12T00:00:00"/>
    <n v="1"/>
    <d v="2025-10-13T00:00:00"/>
    <n v="1"/>
    <d v="2025-10-20T00:00:00"/>
    <n v="1"/>
    <x v="0"/>
    <n v="1"/>
    <x v="0"/>
    <d v="2025-11-09T00:00:00"/>
    <n v="2"/>
    <n v="1"/>
    <n v="7"/>
    <n v="5"/>
    <s v="Lead"/>
    <x v="0"/>
  </r>
  <r>
    <s v="L1622"/>
    <x v="0"/>
    <x v="0"/>
    <d v="2025-10-10T00:00:00"/>
    <n v="1"/>
    <d v="2025-10-14T00:00:00"/>
    <n v="1"/>
    <d v="2025-10-15T00:00:00"/>
    <n v="1"/>
    <d v="2025-10-21T00:00:00"/>
    <n v="1"/>
    <x v="0"/>
    <n v="1"/>
    <x v="0"/>
    <d v="2025-11-10T00:00:00"/>
    <n v="4"/>
    <n v="1"/>
    <n v="6"/>
    <n v="9"/>
    <s v="Lead"/>
    <x v="2"/>
  </r>
  <r>
    <s v="L1631"/>
    <x v="1"/>
    <x v="2"/>
    <d v="2025-10-10T00:00:00"/>
    <n v="1"/>
    <m/>
    <n v="0"/>
    <m/>
    <n v="0"/>
    <m/>
    <n v="0"/>
    <x v="1"/>
    <n v="0"/>
    <x v="2"/>
    <m/>
    <m/>
    <m/>
    <m/>
    <m/>
    <s v="Cancelled (Lead Stage)"/>
    <x v="0"/>
  </r>
  <r>
    <s v="L1639"/>
    <x v="0"/>
    <x v="0"/>
    <d v="2025-10-10T00:00:00"/>
    <n v="1"/>
    <d v="2025-10-12T00:00:00"/>
    <n v="1"/>
    <d v="2025-10-15T00:00:00"/>
    <n v="1"/>
    <d v="2025-10-20T00:00:00"/>
    <n v="1"/>
    <x v="0"/>
    <n v="1"/>
    <x v="0"/>
    <d v="2025-11-02T00:00:00"/>
    <n v="2"/>
    <n v="3"/>
    <n v="5"/>
    <n v="8"/>
    <s v="Lead"/>
    <x v="1"/>
  </r>
  <r>
    <s v="L1650"/>
    <x v="0"/>
    <x v="1"/>
    <d v="2025-10-10T00:00:00"/>
    <n v="1"/>
    <d v="2025-10-11T00:00:00"/>
    <n v="1"/>
    <d v="2025-10-12T00:00:00"/>
    <n v="1"/>
    <d v="2025-10-16T00:00:00"/>
    <n v="1"/>
    <x v="1"/>
    <n v="0"/>
    <x v="1"/>
    <m/>
    <n v="1"/>
    <n v="1"/>
    <n v="4"/>
    <m/>
    <s v="Cancelled (Lead Stage)"/>
    <x v="0"/>
  </r>
  <r>
    <s v="L1652"/>
    <x v="0"/>
    <x v="2"/>
    <d v="2025-10-10T00:00:00"/>
    <n v="1"/>
    <m/>
    <n v="0"/>
    <m/>
    <n v="0"/>
    <m/>
    <n v="0"/>
    <x v="1"/>
    <n v="0"/>
    <x v="5"/>
    <m/>
    <m/>
    <m/>
    <m/>
    <m/>
    <s v="Cancelled (Lead Stage)"/>
    <x v="0"/>
  </r>
  <r>
    <s v="L1672"/>
    <x v="1"/>
    <x v="1"/>
    <d v="2025-10-10T00:00:00"/>
    <n v="1"/>
    <d v="2025-10-15T00:00:00"/>
    <n v="1"/>
    <d v="2025-10-16T00:00:00"/>
    <n v="1"/>
    <d v="2025-10-18T00:00:00"/>
    <n v="1"/>
    <x v="0"/>
    <n v="1"/>
    <x v="0"/>
    <d v="2025-10-29T00:00:00"/>
    <n v="5"/>
    <n v="1"/>
    <n v="2"/>
    <n v="6"/>
    <s v="Lead"/>
    <x v="0"/>
  </r>
  <r>
    <s v="L1698"/>
    <x v="2"/>
    <x v="2"/>
    <d v="2025-10-10T00:00:00"/>
    <n v="1"/>
    <m/>
    <n v="0"/>
    <m/>
    <n v="0"/>
    <m/>
    <n v="0"/>
    <x v="1"/>
    <n v="0"/>
    <x v="1"/>
    <m/>
    <m/>
    <m/>
    <m/>
    <m/>
    <s v="Cancelled (Lead Stage)"/>
    <x v="0"/>
  </r>
  <r>
    <s v="L1708"/>
    <x v="1"/>
    <x v="1"/>
    <d v="2025-10-10T00:00:00"/>
    <n v="1"/>
    <d v="2025-10-15T00:00:00"/>
    <n v="1"/>
    <d v="2025-10-18T00:00:00"/>
    <n v="1"/>
    <d v="2025-10-23T00:00:00"/>
    <n v="1"/>
    <x v="0"/>
    <n v="1"/>
    <x v="0"/>
    <d v="2025-11-07T00:00:00"/>
    <n v="5"/>
    <n v="3"/>
    <n v="5"/>
    <n v="2"/>
    <s v="Lead"/>
    <x v="0"/>
  </r>
  <r>
    <s v="L1732"/>
    <x v="0"/>
    <x v="0"/>
    <d v="2025-10-10T00:00:00"/>
    <n v="1"/>
    <d v="2025-10-11T00:00:00"/>
    <n v="1"/>
    <d v="2025-10-16T00:00:00"/>
    <n v="1"/>
    <d v="2025-10-23T00:00:00"/>
    <n v="1"/>
    <x v="0"/>
    <n v="1"/>
    <x v="0"/>
    <d v="2025-11-14T00:00:00"/>
    <n v="1"/>
    <n v="5"/>
    <n v="7"/>
    <n v="6"/>
    <s v="Lead"/>
    <x v="0"/>
  </r>
  <r>
    <s v="L1794"/>
    <x v="0"/>
    <x v="1"/>
    <d v="2025-10-10T00:00:00"/>
    <n v="1"/>
    <d v="2025-10-15T00:00:00"/>
    <n v="1"/>
    <d v="2025-10-19T00:00:00"/>
    <n v="1"/>
    <d v="2025-10-24T00:00:00"/>
    <n v="1"/>
    <x v="0"/>
    <n v="1"/>
    <x v="0"/>
    <d v="2025-11-10T00:00:00"/>
    <n v="5"/>
    <n v="4"/>
    <n v="5"/>
    <n v="10"/>
    <s v="Lead"/>
    <x v="2"/>
  </r>
  <r>
    <s v="L1802"/>
    <x v="1"/>
    <x v="0"/>
    <d v="2025-10-10T00:00:00"/>
    <n v="1"/>
    <d v="2025-10-15T00:00:00"/>
    <n v="1"/>
    <d v="2025-10-20T00:00:00"/>
    <n v="1"/>
    <d v="2025-10-25T00:00:00"/>
    <n v="1"/>
    <x v="0"/>
    <n v="1"/>
    <x v="0"/>
    <d v="2025-11-22T00:00:00"/>
    <n v="5"/>
    <n v="5"/>
    <n v="5"/>
    <n v="10"/>
    <s v="Lead"/>
    <x v="2"/>
  </r>
  <r>
    <s v="L1944"/>
    <x v="1"/>
    <x v="1"/>
    <d v="2025-10-10T00:00:00"/>
    <n v="1"/>
    <d v="2025-10-14T00:00:00"/>
    <n v="1"/>
    <d v="2025-10-18T00:00:00"/>
    <n v="1"/>
    <d v="2025-10-22T00:00:00"/>
    <n v="1"/>
    <x v="0"/>
    <n v="1"/>
    <x v="0"/>
    <d v="2025-11-13T00:00:00"/>
    <n v="4"/>
    <n v="4"/>
    <n v="4"/>
    <n v="3"/>
    <s v="Lead"/>
    <x v="0"/>
  </r>
  <r>
    <s v="L1978"/>
    <x v="1"/>
    <x v="0"/>
    <d v="2025-10-10T00:00:00"/>
    <n v="1"/>
    <d v="2025-10-15T00:00:00"/>
    <n v="1"/>
    <d v="2025-10-16T00:00:00"/>
    <n v="1"/>
    <d v="2025-10-19T00:00:00"/>
    <n v="1"/>
    <x v="0"/>
    <n v="1"/>
    <x v="0"/>
    <d v="2025-11-02T00:00:00"/>
    <n v="5"/>
    <n v="1"/>
    <n v="3"/>
    <n v="8"/>
    <s v="Lead"/>
    <x v="1"/>
  </r>
  <r>
    <s v="L1023"/>
    <x v="1"/>
    <x v="0"/>
    <d v="2025-10-09T00:00:00"/>
    <n v="1"/>
    <d v="2025-10-11T00:00:00"/>
    <n v="1"/>
    <d v="2025-10-15T00:00:00"/>
    <n v="1"/>
    <d v="2025-10-19T00:00:00"/>
    <n v="1"/>
    <x v="0"/>
    <n v="1"/>
    <x v="0"/>
    <d v="2025-11-02T00:00:00"/>
    <n v="2"/>
    <n v="4"/>
    <n v="4"/>
    <n v="3"/>
    <s v="Lead"/>
    <x v="0"/>
  </r>
  <r>
    <s v="L1035"/>
    <x v="0"/>
    <x v="0"/>
    <d v="2025-10-09T00:00:00"/>
    <n v="1"/>
    <d v="2025-10-13T00:00:00"/>
    <n v="1"/>
    <d v="2025-10-15T00:00:00"/>
    <n v="1"/>
    <d v="2025-10-20T00:00:00"/>
    <n v="1"/>
    <x v="0"/>
    <n v="1"/>
    <x v="0"/>
    <d v="2025-11-15T00:00:00"/>
    <n v="4"/>
    <n v="2"/>
    <n v="5"/>
    <n v="9"/>
    <s v="Lead"/>
    <x v="2"/>
  </r>
  <r>
    <s v="L1042"/>
    <x v="0"/>
    <x v="0"/>
    <d v="2025-10-09T00:00:00"/>
    <n v="1"/>
    <d v="2025-10-10T00:00:00"/>
    <n v="1"/>
    <d v="2025-10-14T00:00:00"/>
    <n v="1"/>
    <d v="2025-10-21T00:00:00"/>
    <n v="1"/>
    <x v="0"/>
    <n v="1"/>
    <x v="0"/>
    <d v="2025-11-12T00:00:00"/>
    <n v="1"/>
    <n v="4"/>
    <n v="7"/>
    <n v="7"/>
    <s v="Lead"/>
    <x v="1"/>
  </r>
  <r>
    <s v="L1062"/>
    <x v="0"/>
    <x v="0"/>
    <d v="2025-10-09T00:00:00"/>
    <n v="1"/>
    <d v="2025-10-14T00:00:00"/>
    <n v="1"/>
    <d v="2025-10-19T00:00:00"/>
    <n v="1"/>
    <d v="2025-10-21T00:00:00"/>
    <n v="1"/>
    <x v="0"/>
    <n v="1"/>
    <x v="0"/>
    <d v="2025-11-07T00:00:00"/>
    <n v="5"/>
    <n v="5"/>
    <n v="2"/>
    <n v="3"/>
    <s v="Lead"/>
    <x v="0"/>
  </r>
  <r>
    <s v="L1064"/>
    <x v="1"/>
    <x v="2"/>
    <d v="2025-10-09T00:00:00"/>
    <n v="1"/>
    <m/>
    <n v="0"/>
    <m/>
    <n v="0"/>
    <m/>
    <n v="0"/>
    <x v="1"/>
    <n v="0"/>
    <x v="4"/>
    <m/>
    <m/>
    <m/>
    <m/>
    <m/>
    <s v="Cancelled (Lead Stage)"/>
    <x v="0"/>
  </r>
  <r>
    <s v="L1069"/>
    <x v="0"/>
    <x v="1"/>
    <d v="2025-10-09T00:00:00"/>
    <n v="1"/>
    <d v="2025-10-10T00:00:00"/>
    <n v="1"/>
    <d v="2025-10-15T00:00:00"/>
    <n v="1"/>
    <d v="2025-10-18T00:00:00"/>
    <n v="1"/>
    <x v="0"/>
    <n v="1"/>
    <x v="0"/>
    <d v="2025-11-06T00:00:00"/>
    <n v="1"/>
    <n v="5"/>
    <n v="3"/>
    <n v="1"/>
    <s v="Lead"/>
    <x v="0"/>
  </r>
  <r>
    <s v="L1112"/>
    <x v="0"/>
    <x v="0"/>
    <d v="2025-10-09T00:00:00"/>
    <n v="1"/>
    <d v="2025-10-11T00:00:00"/>
    <n v="1"/>
    <d v="2025-10-14T00:00:00"/>
    <n v="1"/>
    <d v="2025-10-19T00:00:00"/>
    <n v="1"/>
    <x v="1"/>
    <n v="0"/>
    <x v="3"/>
    <m/>
    <n v="2"/>
    <n v="3"/>
    <n v="5"/>
    <m/>
    <s v="Cancelled (Lead Stage)"/>
    <x v="0"/>
  </r>
  <r>
    <s v="L1114"/>
    <x v="3"/>
    <x v="0"/>
    <d v="2025-10-09T00:00:00"/>
    <n v="1"/>
    <d v="2025-10-14T00:00:00"/>
    <n v="1"/>
    <d v="2025-10-17T00:00:00"/>
    <n v="1"/>
    <d v="2025-10-19T00:00:00"/>
    <n v="1"/>
    <x v="0"/>
    <n v="1"/>
    <x v="0"/>
    <d v="2025-11-08T00:00:00"/>
    <n v="5"/>
    <n v="3"/>
    <n v="2"/>
    <n v="10"/>
    <s v="Lead"/>
    <x v="2"/>
  </r>
  <r>
    <s v="L1131"/>
    <x v="3"/>
    <x v="1"/>
    <d v="2025-10-09T00:00:00"/>
    <n v="1"/>
    <d v="2025-10-14T00:00:00"/>
    <n v="1"/>
    <d v="2025-10-16T00:00:00"/>
    <n v="1"/>
    <d v="2025-10-23T00:00:00"/>
    <n v="1"/>
    <x v="0"/>
    <n v="1"/>
    <x v="0"/>
    <d v="2025-11-14T00:00:00"/>
    <n v="5"/>
    <n v="2"/>
    <n v="7"/>
    <n v="4"/>
    <s v="Lead"/>
    <x v="0"/>
  </r>
  <r>
    <s v="L1150"/>
    <x v="1"/>
    <x v="1"/>
    <d v="2025-10-09T00:00:00"/>
    <n v="1"/>
    <d v="2025-10-10T00:00:00"/>
    <n v="1"/>
    <d v="2025-10-15T00:00:00"/>
    <n v="1"/>
    <d v="2025-10-18T00:00:00"/>
    <n v="1"/>
    <x v="0"/>
    <n v="1"/>
    <x v="0"/>
    <d v="2025-11-17T00:00:00"/>
    <n v="1"/>
    <n v="5"/>
    <n v="3"/>
    <n v="2"/>
    <s v="Lead"/>
    <x v="0"/>
  </r>
  <r>
    <s v="L1174"/>
    <x v="3"/>
    <x v="0"/>
    <d v="2025-10-09T00:00:00"/>
    <n v="1"/>
    <d v="2025-10-14T00:00:00"/>
    <n v="1"/>
    <d v="2025-10-15T00:00:00"/>
    <n v="1"/>
    <d v="2025-10-22T00:00:00"/>
    <n v="1"/>
    <x v="0"/>
    <n v="1"/>
    <x v="0"/>
    <d v="2025-11-03T00:00:00"/>
    <n v="5"/>
    <n v="1"/>
    <n v="7"/>
    <n v="6"/>
    <s v="Lead"/>
    <x v="0"/>
  </r>
  <r>
    <s v="L1228"/>
    <x v="0"/>
    <x v="2"/>
    <d v="2025-10-09T00:00:00"/>
    <n v="1"/>
    <m/>
    <n v="0"/>
    <m/>
    <n v="0"/>
    <m/>
    <n v="0"/>
    <x v="1"/>
    <n v="0"/>
    <x v="4"/>
    <m/>
    <m/>
    <m/>
    <m/>
    <m/>
    <s v="Cancelled (Lead Stage)"/>
    <x v="0"/>
  </r>
  <r>
    <s v="L1256"/>
    <x v="3"/>
    <x v="0"/>
    <d v="2025-10-09T00:00:00"/>
    <n v="1"/>
    <d v="2025-10-14T00:00:00"/>
    <n v="1"/>
    <d v="2025-10-17T00:00:00"/>
    <n v="1"/>
    <d v="2025-10-22T00:00:00"/>
    <n v="1"/>
    <x v="0"/>
    <n v="1"/>
    <x v="0"/>
    <d v="2025-11-16T00:00:00"/>
    <n v="5"/>
    <n v="3"/>
    <n v="5"/>
    <n v="3"/>
    <s v="Lead"/>
    <x v="0"/>
  </r>
  <r>
    <s v="L1272"/>
    <x v="1"/>
    <x v="0"/>
    <d v="2025-10-09T00:00:00"/>
    <n v="1"/>
    <d v="2025-10-10T00:00:00"/>
    <n v="1"/>
    <d v="2025-10-14T00:00:00"/>
    <n v="1"/>
    <d v="2025-10-19T00:00:00"/>
    <n v="1"/>
    <x v="0"/>
    <n v="1"/>
    <x v="0"/>
    <d v="2025-11-12T00:00:00"/>
    <n v="1"/>
    <n v="4"/>
    <n v="5"/>
    <n v="9"/>
    <s v="Lead"/>
    <x v="2"/>
  </r>
  <r>
    <s v="L1294"/>
    <x v="0"/>
    <x v="2"/>
    <d v="2025-10-09T00:00:00"/>
    <n v="1"/>
    <m/>
    <n v="0"/>
    <m/>
    <n v="0"/>
    <m/>
    <n v="0"/>
    <x v="1"/>
    <n v="0"/>
    <x v="1"/>
    <m/>
    <m/>
    <m/>
    <m/>
    <m/>
    <s v="Cancelled (Lead Stage)"/>
    <x v="0"/>
  </r>
  <r>
    <s v="L1307"/>
    <x v="2"/>
    <x v="0"/>
    <d v="2025-10-09T00:00:00"/>
    <n v="1"/>
    <d v="2025-10-13T00:00:00"/>
    <n v="1"/>
    <d v="2025-10-15T00:00:00"/>
    <n v="1"/>
    <d v="2025-10-19T00:00:00"/>
    <n v="1"/>
    <x v="0"/>
    <n v="1"/>
    <x v="0"/>
    <d v="2025-11-11T00:00:00"/>
    <n v="4"/>
    <n v="2"/>
    <n v="4"/>
    <n v="9"/>
    <s v="Lead"/>
    <x v="2"/>
  </r>
  <r>
    <s v="L1322"/>
    <x v="3"/>
    <x v="0"/>
    <d v="2025-10-09T00:00:00"/>
    <n v="1"/>
    <d v="2025-10-14T00:00:00"/>
    <n v="1"/>
    <d v="2025-10-16T00:00:00"/>
    <n v="1"/>
    <d v="2025-10-23T00:00:00"/>
    <n v="1"/>
    <x v="1"/>
    <n v="0"/>
    <x v="2"/>
    <m/>
    <n v="5"/>
    <n v="2"/>
    <n v="7"/>
    <m/>
    <s v="Cancelled (Lead Stage)"/>
    <x v="0"/>
  </r>
  <r>
    <s v="L1333"/>
    <x v="0"/>
    <x v="0"/>
    <d v="2025-10-09T00:00:00"/>
    <n v="1"/>
    <d v="2025-10-10T00:00:00"/>
    <n v="1"/>
    <d v="2025-10-13T00:00:00"/>
    <n v="1"/>
    <d v="2025-10-16T00:00:00"/>
    <n v="1"/>
    <x v="0"/>
    <n v="1"/>
    <x v="0"/>
    <d v="2025-11-01T00:00:00"/>
    <n v="1"/>
    <n v="3"/>
    <n v="3"/>
    <n v="2"/>
    <s v="Lead"/>
    <x v="0"/>
  </r>
  <r>
    <s v="L1365"/>
    <x v="3"/>
    <x v="0"/>
    <d v="2025-10-09T00:00:00"/>
    <n v="1"/>
    <d v="2025-10-10T00:00:00"/>
    <n v="1"/>
    <d v="2025-10-13T00:00:00"/>
    <n v="1"/>
    <d v="2025-10-16T00:00:00"/>
    <n v="1"/>
    <x v="0"/>
    <n v="1"/>
    <x v="0"/>
    <d v="2025-11-11T00:00:00"/>
    <n v="1"/>
    <n v="3"/>
    <n v="3"/>
    <n v="10"/>
    <s v="Lead"/>
    <x v="2"/>
  </r>
  <r>
    <s v="L1391"/>
    <x v="1"/>
    <x v="0"/>
    <d v="2025-10-09T00:00:00"/>
    <n v="1"/>
    <d v="2025-10-11T00:00:00"/>
    <n v="1"/>
    <d v="2025-10-12T00:00:00"/>
    <n v="1"/>
    <d v="2025-10-14T00:00:00"/>
    <n v="1"/>
    <x v="0"/>
    <n v="1"/>
    <x v="0"/>
    <d v="2025-11-08T00:00:00"/>
    <n v="2"/>
    <n v="1"/>
    <n v="2"/>
    <n v="4"/>
    <s v="Lead"/>
    <x v="0"/>
  </r>
  <r>
    <s v="L1430"/>
    <x v="2"/>
    <x v="1"/>
    <d v="2025-10-09T00:00:00"/>
    <n v="1"/>
    <d v="2025-10-11T00:00:00"/>
    <n v="1"/>
    <d v="2025-10-15T00:00:00"/>
    <n v="1"/>
    <d v="2025-10-20T00:00:00"/>
    <n v="1"/>
    <x v="0"/>
    <n v="1"/>
    <x v="0"/>
    <d v="2025-11-07T00:00:00"/>
    <n v="2"/>
    <n v="4"/>
    <n v="5"/>
    <n v="10"/>
    <s v="Lead"/>
    <x v="2"/>
  </r>
  <r>
    <s v="L1449"/>
    <x v="1"/>
    <x v="1"/>
    <d v="2025-10-09T00:00:00"/>
    <n v="1"/>
    <d v="2025-10-14T00:00:00"/>
    <n v="1"/>
    <d v="2025-10-17T00:00:00"/>
    <n v="1"/>
    <d v="2025-10-23T00:00:00"/>
    <n v="1"/>
    <x v="0"/>
    <n v="1"/>
    <x v="0"/>
    <d v="2025-11-18T00:00:00"/>
    <n v="5"/>
    <n v="3"/>
    <n v="6"/>
    <n v="3"/>
    <s v="Lead"/>
    <x v="0"/>
  </r>
  <r>
    <s v="L1458"/>
    <x v="1"/>
    <x v="1"/>
    <d v="2025-10-09T00:00:00"/>
    <n v="1"/>
    <d v="2025-10-12T00:00:00"/>
    <n v="1"/>
    <d v="2025-10-14T00:00:00"/>
    <n v="1"/>
    <d v="2025-10-17T00:00:00"/>
    <n v="1"/>
    <x v="0"/>
    <n v="1"/>
    <x v="0"/>
    <d v="2025-11-08T00:00:00"/>
    <n v="3"/>
    <n v="2"/>
    <n v="3"/>
    <n v="5"/>
    <s v="Lead"/>
    <x v="0"/>
  </r>
  <r>
    <s v="L1534"/>
    <x v="3"/>
    <x v="1"/>
    <d v="2025-10-09T00:00:00"/>
    <n v="1"/>
    <d v="2025-10-12T00:00:00"/>
    <n v="1"/>
    <d v="2025-10-15T00:00:00"/>
    <n v="1"/>
    <d v="2025-10-19T00:00:00"/>
    <n v="1"/>
    <x v="0"/>
    <n v="1"/>
    <x v="0"/>
    <d v="2025-10-29T00:00:00"/>
    <n v="3"/>
    <n v="3"/>
    <n v="4"/>
    <n v="0"/>
    <s v="Lead"/>
    <x v="0"/>
  </r>
  <r>
    <s v="L1613"/>
    <x v="2"/>
    <x v="2"/>
    <d v="2025-10-09T00:00:00"/>
    <n v="1"/>
    <m/>
    <n v="0"/>
    <m/>
    <n v="0"/>
    <m/>
    <n v="0"/>
    <x v="1"/>
    <n v="0"/>
    <x v="1"/>
    <m/>
    <m/>
    <m/>
    <m/>
    <m/>
    <s v="Cancelled (Lead Stage)"/>
    <x v="0"/>
  </r>
  <r>
    <s v="L1615"/>
    <x v="1"/>
    <x v="0"/>
    <d v="2025-10-09T00:00:00"/>
    <n v="1"/>
    <d v="2025-10-12T00:00:00"/>
    <n v="1"/>
    <d v="2025-10-13T00:00:00"/>
    <n v="1"/>
    <d v="2025-10-19T00:00:00"/>
    <n v="1"/>
    <x v="0"/>
    <n v="1"/>
    <x v="0"/>
    <d v="2025-10-30T00:00:00"/>
    <n v="3"/>
    <n v="1"/>
    <n v="6"/>
    <n v="6"/>
    <s v="Lead"/>
    <x v="0"/>
  </r>
  <r>
    <s v="L1636"/>
    <x v="3"/>
    <x v="0"/>
    <d v="2025-10-09T00:00:00"/>
    <n v="1"/>
    <d v="2025-10-13T00:00:00"/>
    <n v="1"/>
    <d v="2025-10-18T00:00:00"/>
    <n v="1"/>
    <d v="2025-10-20T00:00:00"/>
    <n v="1"/>
    <x v="0"/>
    <n v="1"/>
    <x v="0"/>
    <d v="2025-11-16T00:00:00"/>
    <n v="4"/>
    <n v="5"/>
    <n v="2"/>
    <n v="3"/>
    <s v="Lead"/>
    <x v="0"/>
  </r>
  <r>
    <s v="L1657"/>
    <x v="0"/>
    <x v="0"/>
    <d v="2025-10-09T00:00:00"/>
    <n v="1"/>
    <d v="2025-10-11T00:00:00"/>
    <n v="1"/>
    <d v="2025-10-15T00:00:00"/>
    <n v="1"/>
    <d v="2025-10-19T00:00:00"/>
    <n v="1"/>
    <x v="1"/>
    <n v="0"/>
    <x v="4"/>
    <m/>
    <n v="2"/>
    <n v="4"/>
    <n v="4"/>
    <m/>
    <s v="Cancelled (Lead Stage)"/>
    <x v="0"/>
  </r>
  <r>
    <s v="L1683"/>
    <x v="1"/>
    <x v="2"/>
    <d v="2025-10-09T00:00:00"/>
    <n v="1"/>
    <m/>
    <n v="0"/>
    <m/>
    <n v="0"/>
    <m/>
    <n v="0"/>
    <x v="1"/>
    <n v="0"/>
    <x v="1"/>
    <m/>
    <m/>
    <m/>
    <m/>
    <m/>
    <s v="Cancelled (Lead Stage)"/>
    <x v="0"/>
  </r>
  <r>
    <s v="L1722"/>
    <x v="3"/>
    <x v="1"/>
    <d v="2025-10-09T00:00:00"/>
    <n v="1"/>
    <d v="2025-10-14T00:00:00"/>
    <n v="1"/>
    <d v="2025-10-19T00:00:00"/>
    <n v="1"/>
    <d v="2025-10-23T00:00:00"/>
    <n v="1"/>
    <x v="0"/>
    <n v="1"/>
    <x v="0"/>
    <d v="2025-11-20T00:00:00"/>
    <n v="5"/>
    <n v="5"/>
    <n v="4"/>
    <n v="3"/>
    <s v="Lead"/>
    <x v="0"/>
  </r>
  <r>
    <s v="L1725"/>
    <x v="1"/>
    <x v="1"/>
    <d v="2025-10-09T00:00:00"/>
    <n v="1"/>
    <d v="2025-10-12T00:00:00"/>
    <n v="1"/>
    <d v="2025-10-13T00:00:00"/>
    <n v="1"/>
    <d v="2025-10-19T00:00:00"/>
    <n v="1"/>
    <x v="0"/>
    <n v="1"/>
    <x v="0"/>
    <d v="2025-10-31T00:00:00"/>
    <n v="3"/>
    <n v="1"/>
    <n v="6"/>
    <n v="8"/>
    <s v="Lead"/>
    <x v="1"/>
  </r>
  <r>
    <s v="L1759"/>
    <x v="0"/>
    <x v="2"/>
    <d v="2025-10-09T00:00:00"/>
    <n v="1"/>
    <m/>
    <n v="0"/>
    <m/>
    <n v="0"/>
    <m/>
    <n v="0"/>
    <x v="1"/>
    <n v="0"/>
    <x v="2"/>
    <m/>
    <m/>
    <m/>
    <m/>
    <m/>
    <s v="Cancelled (Lead Stage)"/>
    <x v="0"/>
  </r>
  <r>
    <s v="L1767"/>
    <x v="3"/>
    <x v="1"/>
    <d v="2025-10-09T00:00:00"/>
    <n v="1"/>
    <d v="2025-10-14T00:00:00"/>
    <n v="1"/>
    <d v="2025-10-16T00:00:00"/>
    <n v="1"/>
    <d v="2025-10-21T00:00:00"/>
    <n v="1"/>
    <x v="0"/>
    <n v="1"/>
    <x v="0"/>
    <d v="2025-11-02T00:00:00"/>
    <n v="5"/>
    <n v="2"/>
    <n v="5"/>
    <n v="0"/>
    <s v="Lead"/>
    <x v="0"/>
  </r>
  <r>
    <s v="L1834"/>
    <x v="0"/>
    <x v="1"/>
    <d v="2025-10-09T00:00:00"/>
    <n v="1"/>
    <d v="2025-10-14T00:00:00"/>
    <n v="1"/>
    <d v="2025-10-18T00:00:00"/>
    <n v="1"/>
    <d v="2025-10-21T00:00:00"/>
    <n v="1"/>
    <x v="0"/>
    <n v="1"/>
    <x v="0"/>
    <d v="2025-11-12T00:00:00"/>
    <n v="5"/>
    <n v="4"/>
    <n v="3"/>
    <n v="8"/>
    <s v="Lead"/>
    <x v="1"/>
  </r>
  <r>
    <s v="L1854"/>
    <x v="2"/>
    <x v="0"/>
    <d v="2025-10-09T00:00:00"/>
    <n v="1"/>
    <d v="2025-10-13T00:00:00"/>
    <n v="1"/>
    <d v="2025-10-16T00:00:00"/>
    <n v="1"/>
    <d v="2025-10-19T00:00:00"/>
    <n v="1"/>
    <x v="0"/>
    <n v="1"/>
    <x v="0"/>
    <d v="2025-11-06T00:00:00"/>
    <n v="4"/>
    <n v="3"/>
    <n v="3"/>
    <n v="2"/>
    <s v="Lead"/>
    <x v="0"/>
  </r>
  <r>
    <s v="L1894"/>
    <x v="2"/>
    <x v="0"/>
    <d v="2025-10-09T00:00:00"/>
    <n v="1"/>
    <d v="2025-10-11T00:00:00"/>
    <n v="1"/>
    <d v="2025-10-13T00:00:00"/>
    <n v="1"/>
    <d v="2025-10-16T00:00:00"/>
    <n v="1"/>
    <x v="0"/>
    <n v="1"/>
    <x v="0"/>
    <d v="2025-10-29T00:00:00"/>
    <n v="2"/>
    <n v="2"/>
    <n v="3"/>
    <n v="1"/>
    <s v="Lead"/>
    <x v="0"/>
  </r>
  <r>
    <s v="L1899"/>
    <x v="3"/>
    <x v="1"/>
    <d v="2025-10-09T00:00:00"/>
    <n v="1"/>
    <d v="2025-10-13T00:00:00"/>
    <n v="1"/>
    <d v="2025-10-15T00:00:00"/>
    <n v="1"/>
    <d v="2025-10-18T00:00:00"/>
    <n v="1"/>
    <x v="0"/>
    <n v="1"/>
    <x v="0"/>
    <d v="2025-11-15T00:00:00"/>
    <n v="4"/>
    <n v="2"/>
    <n v="3"/>
    <n v="9"/>
    <s v="Lead"/>
    <x v="2"/>
  </r>
  <r>
    <s v="L1916"/>
    <x v="0"/>
    <x v="1"/>
    <d v="2025-10-09T00:00:00"/>
    <n v="1"/>
    <d v="2025-10-10T00:00:00"/>
    <n v="1"/>
    <d v="2025-10-15T00:00:00"/>
    <n v="1"/>
    <d v="2025-10-20T00:00:00"/>
    <n v="1"/>
    <x v="0"/>
    <n v="1"/>
    <x v="0"/>
    <d v="2025-11-04T00:00:00"/>
    <n v="1"/>
    <n v="5"/>
    <n v="5"/>
    <n v="6"/>
    <s v="Lead"/>
    <x v="0"/>
  </r>
  <r>
    <s v="L1968"/>
    <x v="2"/>
    <x v="2"/>
    <d v="2025-10-09T00:00:00"/>
    <n v="1"/>
    <m/>
    <n v="0"/>
    <m/>
    <n v="0"/>
    <m/>
    <n v="0"/>
    <x v="1"/>
    <n v="0"/>
    <x v="2"/>
    <m/>
    <m/>
    <m/>
    <m/>
    <m/>
    <s v="Cancelled (Lead Stage)"/>
    <x v="0"/>
  </r>
  <r>
    <s v="L1038"/>
    <x v="1"/>
    <x v="0"/>
    <d v="2025-10-08T00:00:00"/>
    <n v="1"/>
    <d v="2025-10-13T00:00:00"/>
    <n v="1"/>
    <d v="2025-10-16T00:00:00"/>
    <n v="1"/>
    <d v="2025-10-23T00:00:00"/>
    <n v="1"/>
    <x v="0"/>
    <n v="1"/>
    <x v="0"/>
    <d v="2025-11-04T00:00:00"/>
    <n v="5"/>
    <n v="3"/>
    <n v="7"/>
    <n v="9"/>
    <s v="Lead"/>
    <x v="2"/>
  </r>
  <r>
    <s v="L1045"/>
    <x v="3"/>
    <x v="1"/>
    <d v="2025-10-08T00:00:00"/>
    <n v="1"/>
    <d v="2025-10-13T00:00:00"/>
    <n v="1"/>
    <d v="2025-10-17T00:00:00"/>
    <n v="1"/>
    <d v="2025-10-23T00:00:00"/>
    <n v="1"/>
    <x v="0"/>
    <n v="1"/>
    <x v="0"/>
    <d v="2025-11-05T00:00:00"/>
    <n v="5"/>
    <n v="4"/>
    <n v="6"/>
    <n v="3"/>
    <s v="Lead"/>
    <x v="0"/>
  </r>
  <r>
    <s v="L1076"/>
    <x v="3"/>
    <x v="0"/>
    <d v="2025-10-08T00:00:00"/>
    <n v="1"/>
    <d v="2025-10-09T00:00:00"/>
    <n v="1"/>
    <d v="2025-10-12T00:00:00"/>
    <n v="1"/>
    <d v="2025-10-15T00:00:00"/>
    <n v="1"/>
    <x v="0"/>
    <n v="1"/>
    <x v="0"/>
    <d v="2025-11-12T00:00:00"/>
    <n v="1"/>
    <n v="3"/>
    <n v="3"/>
    <n v="8"/>
    <s v="Lead"/>
    <x v="1"/>
  </r>
  <r>
    <s v="L1082"/>
    <x v="0"/>
    <x v="0"/>
    <d v="2025-10-08T00:00:00"/>
    <n v="1"/>
    <d v="2025-10-10T00:00:00"/>
    <n v="1"/>
    <d v="2025-10-13T00:00:00"/>
    <n v="1"/>
    <d v="2025-10-18T00:00:00"/>
    <n v="1"/>
    <x v="0"/>
    <n v="1"/>
    <x v="0"/>
    <d v="2025-10-29T00:00:00"/>
    <n v="2"/>
    <n v="3"/>
    <n v="5"/>
    <n v="5"/>
    <s v="Lead"/>
    <x v="0"/>
  </r>
  <r>
    <s v="L1093"/>
    <x v="2"/>
    <x v="2"/>
    <d v="2025-10-08T00:00:00"/>
    <n v="1"/>
    <m/>
    <n v="0"/>
    <m/>
    <n v="0"/>
    <m/>
    <n v="0"/>
    <x v="1"/>
    <n v="0"/>
    <x v="2"/>
    <m/>
    <m/>
    <m/>
    <m/>
    <m/>
    <s v="Cancelled (Lead Stage)"/>
    <x v="0"/>
  </r>
  <r>
    <s v="L1096"/>
    <x v="2"/>
    <x v="1"/>
    <d v="2025-10-08T00:00:00"/>
    <n v="1"/>
    <d v="2025-10-12T00:00:00"/>
    <n v="1"/>
    <d v="2025-10-15T00:00:00"/>
    <n v="1"/>
    <d v="2025-10-22T00:00:00"/>
    <n v="1"/>
    <x v="1"/>
    <n v="0"/>
    <x v="2"/>
    <m/>
    <n v="4"/>
    <n v="3"/>
    <n v="7"/>
    <m/>
    <s v="Cancelled (Lead Stage)"/>
    <x v="0"/>
  </r>
  <r>
    <s v="L1115"/>
    <x v="3"/>
    <x v="1"/>
    <d v="2025-10-08T00:00:00"/>
    <n v="1"/>
    <d v="2025-10-09T00:00:00"/>
    <n v="1"/>
    <d v="2025-10-13T00:00:00"/>
    <n v="1"/>
    <d v="2025-10-17T00:00:00"/>
    <n v="1"/>
    <x v="0"/>
    <n v="1"/>
    <x v="0"/>
    <d v="2025-11-10T00:00:00"/>
    <n v="1"/>
    <n v="4"/>
    <n v="4"/>
    <n v="8"/>
    <s v="Lead"/>
    <x v="1"/>
  </r>
  <r>
    <s v="L1142"/>
    <x v="2"/>
    <x v="1"/>
    <d v="2025-10-08T00:00:00"/>
    <n v="1"/>
    <d v="2025-10-12T00:00:00"/>
    <n v="1"/>
    <d v="2025-10-13T00:00:00"/>
    <n v="1"/>
    <d v="2025-10-15T00:00:00"/>
    <n v="1"/>
    <x v="0"/>
    <n v="1"/>
    <x v="0"/>
    <d v="2025-11-06T00:00:00"/>
    <n v="4"/>
    <n v="1"/>
    <n v="2"/>
    <n v="4"/>
    <s v="Lead"/>
    <x v="0"/>
  </r>
  <r>
    <s v="L1195"/>
    <x v="1"/>
    <x v="0"/>
    <d v="2025-10-08T00:00:00"/>
    <n v="1"/>
    <d v="2025-10-09T00:00:00"/>
    <n v="1"/>
    <d v="2025-10-11T00:00:00"/>
    <n v="1"/>
    <d v="2025-10-14T00:00:00"/>
    <n v="1"/>
    <x v="0"/>
    <n v="1"/>
    <x v="0"/>
    <d v="2025-11-03T00:00:00"/>
    <n v="1"/>
    <n v="2"/>
    <n v="3"/>
    <n v="9"/>
    <s v="Lead"/>
    <x v="2"/>
  </r>
  <r>
    <s v="L1204"/>
    <x v="1"/>
    <x v="2"/>
    <d v="2025-10-08T00:00:00"/>
    <n v="1"/>
    <m/>
    <n v="0"/>
    <m/>
    <n v="0"/>
    <m/>
    <n v="0"/>
    <x v="1"/>
    <n v="0"/>
    <x v="2"/>
    <m/>
    <m/>
    <m/>
    <m/>
    <m/>
    <s v="Cancelled (Lead Stage)"/>
    <x v="0"/>
  </r>
  <r>
    <s v="L1232"/>
    <x v="0"/>
    <x v="0"/>
    <d v="2025-10-08T00:00:00"/>
    <n v="1"/>
    <d v="2025-10-09T00:00:00"/>
    <n v="1"/>
    <d v="2025-10-11T00:00:00"/>
    <n v="1"/>
    <d v="2025-10-15T00:00:00"/>
    <n v="1"/>
    <x v="1"/>
    <n v="0"/>
    <x v="2"/>
    <m/>
    <n v="1"/>
    <n v="2"/>
    <n v="4"/>
    <m/>
    <s v="Cancelled (Lead Stage)"/>
    <x v="0"/>
  </r>
  <r>
    <s v="L1245"/>
    <x v="2"/>
    <x v="0"/>
    <d v="2025-10-08T00:00:00"/>
    <n v="1"/>
    <d v="2025-10-10T00:00:00"/>
    <n v="1"/>
    <d v="2025-10-13T00:00:00"/>
    <n v="1"/>
    <d v="2025-10-20T00:00:00"/>
    <n v="1"/>
    <x v="1"/>
    <n v="0"/>
    <x v="3"/>
    <m/>
    <n v="2"/>
    <n v="3"/>
    <n v="7"/>
    <m/>
    <s v="Cancelled (Lead Stage)"/>
    <x v="0"/>
  </r>
  <r>
    <s v="L1254"/>
    <x v="0"/>
    <x v="0"/>
    <d v="2025-10-08T00:00:00"/>
    <n v="1"/>
    <d v="2025-10-13T00:00:00"/>
    <n v="1"/>
    <d v="2025-10-14T00:00:00"/>
    <n v="1"/>
    <d v="2025-10-21T00:00:00"/>
    <n v="1"/>
    <x v="0"/>
    <n v="1"/>
    <x v="0"/>
    <d v="2025-11-15T00:00:00"/>
    <n v="5"/>
    <n v="1"/>
    <n v="7"/>
    <n v="5"/>
    <s v="Lead"/>
    <x v="0"/>
  </r>
  <r>
    <s v="L1268"/>
    <x v="3"/>
    <x v="0"/>
    <d v="2025-10-08T00:00:00"/>
    <n v="1"/>
    <d v="2025-10-12T00:00:00"/>
    <n v="1"/>
    <d v="2025-10-17T00:00:00"/>
    <n v="1"/>
    <d v="2025-10-22T00:00:00"/>
    <n v="1"/>
    <x v="0"/>
    <n v="1"/>
    <x v="0"/>
    <d v="2025-11-12T00:00:00"/>
    <n v="4"/>
    <n v="5"/>
    <n v="5"/>
    <n v="6"/>
    <s v="Lead"/>
    <x v="0"/>
  </r>
  <r>
    <s v="L1310"/>
    <x v="0"/>
    <x v="1"/>
    <d v="2025-10-08T00:00:00"/>
    <n v="1"/>
    <d v="2025-10-09T00:00:00"/>
    <n v="1"/>
    <d v="2025-10-14T00:00:00"/>
    <n v="1"/>
    <d v="2025-10-18T00:00:00"/>
    <n v="1"/>
    <x v="0"/>
    <n v="1"/>
    <x v="0"/>
    <d v="2025-11-15T00:00:00"/>
    <n v="1"/>
    <n v="5"/>
    <n v="4"/>
    <n v="3"/>
    <s v="Lead"/>
    <x v="0"/>
  </r>
  <r>
    <s v="L1405"/>
    <x v="1"/>
    <x v="0"/>
    <d v="2025-10-08T00:00:00"/>
    <n v="1"/>
    <d v="2025-10-10T00:00:00"/>
    <n v="1"/>
    <d v="2025-10-11T00:00:00"/>
    <n v="1"/>
    <d v="2025-10-17T00:00:00"/>
    <n v="1"/>
    <x v="0"/>
    <n v="1"/>
    <x v="0"/>
    <d v="2025-11-08T00:00:00"/>
    <n v="2"/>
    <n v="1"/>
    <n v="6"/>
    <n v="7"/>
    <s v="Lead"/>
    <x v="1"/>
  </r>
  <r>
    <s v="L1414"/>
    <x v="2"/>
    <x v="1"/>
    <d v="2025-10-08T00:00:00"/>
    <n v="1"/>
    <d v="2025-10-11T00:00:00"/>
    <n v="1"/>
    <d v="2025-10-12T00:00:00"/>
    <n v="1"/>
    <d v="2025-10-15T00:00:00"/>
    <n v="1"/>
    <x v="1"/>
    <n v="0"/>
    <x v="1"/>
    <m/>
    <n v="3"/>
    <n v="1"/>
    <n v="3"/>
    <m/>
    <s v="Cancelled (Lead Stage)"/>
    <x v="0"/>
  </r>
  <r>
    <s v="L1435"/>
    <x v="3"/>
    <x v="1"/>
    <d v="2025-10-08T00:00:00"/>
    <n v="1"/>
    <d v="2025-10-11T00:00:00"/>
    <n v="1"/>
    <d v="2025-10-16T00:00:00"/>
    <n v="1"/>
    <d v="2025-10-19T00:00:00"/>
    <n v="1"/>
    <x v="0"/>
    <n v="1"/>
    <x v="0"/>
    <d v="2025-10-31T00:00:00"/>
    <n v="3"/>
    <n v="5"/>
    <n v="3"/>
    <n v="7"/>
    <s v="Lead"/>
    <x v="1"/>
  </r>
  <r>
    <s v="L1486"/>
    <x v="3"/>
    <x v="0"/>
    <d v="2025-10-08T00:00:00"/>
    <n v="1"/>
    <d v="2025-10-12T00:00:00"/>
    <n v="1"/>
    <d v="2025-10-15T00:00:00"/>
    <n v="1"/>
    <d v="2025-10-19T00:00:00"/>
    <n v="1"/>
    <x v="0"/>
    <n v="1"/>
    <x v="0"/>
    <d v="2025-11-12T00:00:00"/>
    <n v="4"/>
    <n v="3"/>
    <n v="4"/>
    <n v="9"/>
    <s v="Lead"/>
    <x v="2"/>
  </r>
  <r>
    <s v="L1489"/>
    <x v="0"/>
    <x v="1"/>
    <d v="2025-10-08T00:00:00"/>
    <n v="1"/>
    <d v="2025-10-09T00:00:00"/>
    <n v="1"/>
    <d v="2025-10-11T00:00:00"/>
    <n v="1"/>
    <d v="2025-10-17T00:00:00"/>
    <n v="1"/>
    <x v="0"/>
    <n v="1"/>
    <x v="0"/>
    <d v="2025-11-16T00:00:00"/>
    <n v="1"/>
    <n v="2"/>
    <n v="6"/>
    <n v="2"/>
    <s v="Lead"/>
    <x v="0"/>
  </r>
  <r>
    <s v="L1560"/>
    <x v="3"/>
    <x v="0"/>
    <d v="2025-10-08T00:00:00"/>
    <n v="1"/>
    <d v="2025-10-11T00:00:00"/>
    <n v="1"/>
    <d v="2025-10-14T00:00:00"/>
    <n v="1"/>
    <d v="2025-10-19T00:00:00"/>
    <n v="1"/>
    <x v="0"/>
    <n v="1"/>
    <x v="0"/>
    <d v="2025-11-12T00:00:00"/>
    <n v="3"/>
    <n v="3"/>
    <n v="5"/>
    <n v="6"/>
    <s v="Lead"/>
    <x v="0"/>
  </r>
  <r>
    <s v="L1565"/>
    <x v="0"/>
    <x v="1"/>
    <d v="2025-10-08T00:00:00"/>
    <n v="1"/>
    <d v="2025-10-09T00:00:00"/>
    <n v="1"/>
    <d v="2025-10-11T00:00:00"/>
    <n v="1"/>
    <d v="2025-10-17T00:00:00"/>
    <n v="1"/>
    <x v="0"/>
    <n v="1"/>
    <x v="0"/>
    <d v="2025-11-08T00:00:00"/>
    <n v="1"/>
    <n v="2"/>
    <n v="6"/>
    <n v="5"/>
    <s v="Lead"/>
    <x v="0"/>
  </r>
  <r>
    <s v="L1590"/>
    <x v="0"/>
    <x v="2"/>
    <d v="2025-10-08T00:00:00"/>
    <n v="1"/>
    <m/>
    <n v="0"/>
    <m/>
    <n v="0"/>
    <m/>
    <n v="0"/>
    <x v="1"/>
    <n v="0"/>
    <x v="2"/>
    <m/>
    <m/>
    <m/>
    <m/>
    <m/>
    <s v="Cancelled (Lead Stage)"/>
    <x v="0"/>
  </r>
  <r>
    <s v="L1605"/>
    <x v="0"/>
    <x v="0"/>
    <d v="2025-10-08T00:00:00"/>
    <n v="1"/>
    <d v="2025-10-11T00:00:00"/>
    <n v="1"/>
    <d v="2025-10-16T00:00:00"/>
    <n v="1"/>
    <d v="2025-10-22T00:00:00"/>
    <n v="1"/>
    <x v="0"/>
    <n v="1"/>
    <x v="0"/>
    <d v="2025-11-05T00:00:00"/>
    <n v="3"/>
    <n v="5"/>
    <n v="6"/>
    <n v="3"/>
    <s v="Lead"/>
    <x v="0"/>
  </r>
  <r>
    <s v="L1610"/>
    <x v="2"/>
    <x v="1"/>
    <d v="2025-10-08T00:00:00"/>
    <n v="1"/>
    <d v="2025-10-11T00:00:00"/>
    <n v="1"/>
    <d v="2025-10-12T00:00:00"/>
    <n v="1"/>
    <d v="2025-10-18T00:00:00"/>
    <n v="1"/>
    <x v="0"/>
    <n v="1"/>
    <x v="0"/>
    <d v="2025-11-05T00:00:00"/>
    <n v="3"/>
    <n v="1"/>
    <n v="6"/>
    <n v="1"/>
    <s v="Lead"/>
    <x v="0"/>
  </r>
  <r>
    <s v="L1645"/>
    <x v="2"/>
    <x v="1"/>
    <d v="2025-10-08T00:00:00"/>
    <n v="1"/>
    <d v="2025-10-11T00:00:00"/>
    <n v="1"/>
    <d v="2025-10-15T00:00:00"/>
    <n v="1"/>
    <d v="2025-10-22T00:00:00"/>
    <n v="1"/>
    <x v="0"/>
    <n v="1"/>
    <x v="0"/>
    <d v="2025-11-06T00:00:00"/>
    <n v="3"/>
    <n v="4"/>
    <n v="7"/>
    <n v="0"/>
    <s v="Lead"/>
    <x v="0"/>
  </r>
  <r>
    <s v="L1675"/>
    <x v="3"/>
    <x v="2"/>
    <d v="2025-10-08T00:00:00"/>
    <n v="1"/>
    <m/>
    <n v="0"/>
    <m/>
    <n v="0"/>
    <m/>
    <n v="0"/>
    <x v="1"/>
    <n v="0"/>
    <x v="3"/>
    <m/>
    <m/>
    <m/>
    <m/>
    <m/>
    <s v="Cancelled (Lead Stage)"/>
    <x v="0"/>
  </r>
  <r>
    <s v="L1679"/>
    <x v="2"/>
    <x v="0"/>
    <d v="2025-10-08T00:00:00"/>
    <n v="1"/>
    <d v="2025-10-12T00:00:00"/>
    <n v="1"/>
    <d v="2025-10-15T00:00:00"/>
    <n v="1"/>
    <d v="2025-10-17T00:00:00"/>
    <n v="1"/>
    <x v="0"/>
    <n v="1"/>
    <x v="0"/>
    <d v="2025-11-15T00:00:00"/>
    <n v="4"/>
    <n v="3"/>
    <n v="2"/>
    <n v="10"/>
    <s v="Lead"/>
    <x v="2"/>
  </r>
  <r>
    <s v="L1744"/>
    <x v="3"/>
    <x v="1"/>
    <d v="2025-10-08T00:00:00"/>
    <n v="1"/>
    <d v="2025-10-13T00:00:00"/>
    <n v="1"/>
    <d v="2025-10-14T00:00:00"/>
    <n v="1"/>
    <d v="2025-10-16T00:00:00"/>
    <n v="1"/>
    <x v="0"/>
    <n v="1"/>
    <x v="0"/>
    <d v="2025-11-11T00:00:00"/>
    <n v="5"/>
    <n v="1"/>
    <n v="2"/>
    <n v="5"/>
    <s v="Lead"/>
    <x v="0"/>
  </r>
  <r>
    <s v="L1776"/>
    <x v="3"/>
    <x v="0"/>
    <d v="2025-10-08T00:00:00"/>
    <n v="1"/>
    <d v="2025-10-10T00:00:00"/>
    <n v="1"/>
    <d v="2025-10-14T00:00:00"/>
    <n v="1"/>
    <d v="2025-10-18T00:00:00"/>
    <n v="1"/>
    <x v="0"/>
    <n v="1"/>
    <x v="0"/>
    <d v="2025-11-16T00:00:00"/>
    <n v="2"/>
    <n v="4"/>
    <n v="4"/>
    <n v="1"/>
    <s v="Lead"/>
    <x v="0"/>
  </r>
  <r>
    <s v="L1786"/>
    <x v="2"/>
    <x v="2"/>
    <d v="2025-10-08T00:00:00"/>
    <n v="1"/>
    <m/>
    <n v="0"/>
    <m/>
    <n v="0"/>
    <m/>
    <n v="0"/>
    <x v="1"/>
    <n v="0"/>
    <x v="1"/>
    <m/>
    <m/>
    <m/>
    <m/>
    <m/>
    <s v="Cancelled (Lead Stage)"/>
    <x v="0"/>
  </r>
  <r>
    <s v="L1806"/>
    <x v="0"/>
    <x v="1"/>
    <d v="2025-10-08T00:00:00"/>
    <n v="1"/>
    <d v="2025-10-11T00:00:00"/>
    <n v="1"/>
    <d v="2025-10-15T00:00:00"/>
    <n v="1"/>
    <d v="2025-10-19T00:00:00"/>
    <n v="1"/>
    <x v="0"/>
    <n v="1"/>
    <x v="0"/>
    <d v="2025-11-01T00:00:00"/>
    <n v="3"/>
    <n v="4"/>
    <n v="4"/>
    <n v="3"/>
    <s v="Lead"/>
    <x v="0"/>
  </r>
  <r>
    <s v="L1842"/>
    <x v="1"/>
    <x v="0"/>
    <d v="2025-10-08T00:00:00"/>
    <n v="1"/>
    <d v="2025-10-10T00:00:00"/>
    <n v="1"/>
    <d v="2025-10-15T00:00:00"/>
    <n v="1"/>
    <d v="2025-10-18T00:00:00"/>
    <n v="1"/>
    <x v="0"/>
    <n v="1"/>
    <x v="0"/>
    <d v="2025-11-03T00:00:00"/>
    <n v="2"/>
    <n v="5"/>
    <n v="3"/>
    <n v="0"/>
    <s v="Lead"/>
    <x v="0"/>
  </r>
  <r>
    <s v="L1872"/>
    <x v="1"/>
    <x v="0"/>
    <d v="2025-10-08T00:00:00"/>
    <n v="1"/>
    <d v="2025-10-12T00:00:00"/>
    <n v="1"/>
    <d v="2025-10-13T00:00:00"/>
    <n v="1"/>
    <d v="2025-10-16T00:00:00"/>
    <n v="1"/>
    <x v="0"/>
    <n v="1"/>
    <x v="0"/>
    <d v="2025-11-03T00:00:00"/>
    <n v="4"/>
    <n v="1"/>
    <n v="3"/>
    <n v="5"/>
    <s v="Lead"/>
    <x v="0"/>
  </r>
  <r>
    <s v="L1886"/>
    <x v="0"/>
    <x v="2"/>
    <d v="2025-10-08T00:00:00"/>
    <n v="1"/>
    <m/>
    <n v="0"/>
    <m/>
    <n v="0"/>
    <m/>
    <n v="0"/>
    <x v="1"/>
    <n v="0"/>
    <x v="3"/>
    <m/>
    <m/>
    <m/>
    <m/>
    <m/>
    <s v="Cancelled (Lead Stage)"/>
    <x v="0"/>
  </r>
  <r>
    <s v="L1911"/>
    <x v="3"/>
    <x v="1"/>
    <d v="2025-10-08T00:00:00"/>
    <n v="1"/>
    <d v="2025-10-10T00:00:00"/>
    <n v="1"/>
    <d v="2025-10-14T00:00:00"/>
    <n v="1"/>
    <d v="2025-10-21T00:00:00"/>
    <n v="1"/>
    <x v="0"/>
    <n v="1"/>
    <x v="0"/>
    <d v="2025-11-09T00:00:00"/>
    <n v="2"/>
    <n v="4"/>
    <n v="7"/>
    <n v="1"/>
    <s v="Lead"/>
    <x v="0"/>
  </r>
  <r>
    <s v="L1934"/>
    <x v="3"/>
    <x v="1"/>
    <d v="2025-10-08T00:00:00"/>
    <n v="1"/>
    <d v="2025-10-09T00:00:00"/>
    <n v="1"/>
    <d v="2025-10-14T00:00:00"/>
    <n v="1"/>
    <d v="2025-10-19T00:00:00"/>
    <n v="1"/>
    <x v="0"/>
    <n v="1"/>
    <x v="0"/>
    <d v="2025-11-12T00:00:00"/>
    <n v="1"/>
    <n v="5"/>
    <n v="5"/>
    <n v="9"/>
    <s v="Lead"/>
    <x v="2"/>
  </r>
  <r>
    <s v="L1999"/>
    <x v="0"/>
    <x v="0"/>
    <d v="2025-10-08T00:00:00"/>
    <n v="1"/>
    <d v="2025-10-13T00:00:00"/>
    <n v="1"/>
    <d v="2025-10-15T00:00:00"/>
    <n v="1"/>
    <d v="2025-10-18T00:00:00"/>
    <n v="1"/>
    <x v="0"/>
    <n v="1"/>
    <x v="0"/>
    <d v="2025-11-13T00:00:00"/>
    <n v="5"/>
    <n v="2"/>
    <n v="3"/>
    <n v="4"/>
    <s v="Lead"/>
    <x v="0"/>
  </r>
  <r>
    <s v="L1059"/>
    <x v="1"/>
    <x v="0"/>
    <d v="2025-10-07T00:00:00"/>
    <n v="1"/>
    <d v="2025-10-11T00:00:00"/>
    <n v="1"/>
    <d v="2025-10-14T00:00:00"/>
    <n v="1"/>
    <d v="2025-10-18T00:00:00"/>
    <n v="1"/>
    <x v="0"/>
    <n v="1"/>
    <x v="0"/>
    <d v="2025-11-14T00:00:00"/>
    <n v="4"/>
    <n v="3"/>
    <n v="4"/>
    <n v="2"/>
    <s v="Lead"/>
    <x v="0"/>
  </r>
  <r>
    <s v="L1074"/>
    <x v="1"/>
    <x v="0"/>
    <d v="2025-10-07T00:00:00"/>
    <n v="1"/>
    <d v="2025-10-10T00:00:00"/>
    <n v="1"/>
    <d v="2025-10-13T00:00:00"/>
    <n v="1"/>
    <d v="2025-10-17T00:00:00"/>
    <n v="1"/>
    <x v="0"/>
    <n v="1"/>
    <x v="0"/>
    <d v="2025-11-14T00:00:00"/>
    <n v="3"/>
    <n v="3"/>
    <n v="4"/>
    <n v="0"/>
    <s v="Lead"/>
    <x v="0"/>
  </r>
  <r>
    <s v="L1118"/>
    <x v="2"/>
    <x v="0"/>
    <d v="2025-10-07T00:00:00"/>
    <n v="1"/>
    <d v="2025-10-10T00:00:00"/>
    <n v="1"/>
    <d v="2025-10-12T00:00:00"/>
    <n v="1"/>
    <d v="2025-10-17T00:00:00"/>
    <n v="1"/>
    <x v="0"/>
    <n v="1"/>
    <x v="0"/>
    <d v="2025-11-04T00:00:00"/>
    <n v="3"/>
    <n v="2"/>
    <n v="5"/>
    <n v="5"/>
    <s v="Lead"/>
    <x v="0"/>
  </r>
  <r>
    <s v="L1127"/>
    <x v="3"/>
    <x v="2"/>
    <d v="2025-10-07T00:00:00"/>
    <n v="1"/>
    <m/>
    <n v="0"/>
    <m/>
    <n v="0"/>
    <m/>
    <n v="0"/>
    <x v="1"/>
    <n v="0"/>
    <x v="2"/>
    <m/>
    <m/>
    <m/>
    <m/>
    <m/>
    <s v="Cancelled (Lead Stage)"/>
    <x v="0"/>
  </r>
  <r>
    <s v="L1128"/>
    <x v="1"/>
    <x v="1"/>
    <d v="2025-10-07T00:00:00"/>
    <n v="1"/>
    <d v="2025-10-09T00:00:00"/>
    <n v="1"/>
    <d v="2025-10-14T00:00:00"/>
    <n v="1"/>
    <d v="2025-10-19T00:00:00"/>
    <n v="1"/>
    <x v="0"/>
    <n v="1"/>
    <x v="0"/>
    <d v="2025-10-30T00:00:00"/>
    <n v="2"/>
    <n v="5"/>
    <n v="5"/>
    <n v="4"/>
    <s v="Lead"/>
    <x v="0"/>
  </r>
  <r>
    <s v="L1140"/>
    <x v="1"/>
    <x v="0"/>
    <d v="2025-10-07T00:00:00"/>
    <n v="1"/>
    <d v="2025-10-12T00:00:00"/>
    <n v="1"/>
    <d v="2025-10-13T00:00:00"/>
    <n v="1"/>
    <d v="2025-10-16T00:00:00"/>
    <n v="1"/>
    <x v="0"/>
    <n v="1"/>
    <x v="0"/>
    <d v="2025-11-10T00:00:00"/>
    <n v="5"/>
    <n v="1"/>
    <n v="3"/>
    <n v="0"/>
    <s v="Lead"/>
    <x v="0"/>
  </r>
  <r>
    <s v="L1225"/>
    <x v="1"/>
    <x v="0"/>
    <d v="2025-10-07T00:00:00"/>
    <n v="1"/>
    <d v="2025-10-10T00:00:00"/>
    <n v="1"/>
    <d v="2025-10-14T00:00:00"/>
    <n v="1"/>
    <d v="2025-10-18T00:00:00"/>
    <n v="1"/>
    <x v="1"/>
    <n v="0"/>
    <x v="4"/>
    <m/>
    <n v="3"/>
    <n v="4"/>
    <n v="4"/>
    <m/>
    <s v="Cancelled (Lead Stage)"/>
    <x v="0"/>
  </r>
  <r>
    <s v="L1227"/>
    <x v="1"/>
    <x v="1"/>
    <d v="2025-10-07T00:00:00"/>
    <n v="1"/>
    <d v="2025-10-10T00:00:00"/>
    <n v="1"/>
    <d v="2025-10-13T00:00:00"/>
    <n v="1"/>
    <d v="2025-10-19T00:00:00"/>
    <n v="1"/>
    <x v="0"/>
    <n v="1"/>
    <x v="0"/>
    <d v="2025-10-30T00:00:00"/>
    <n v="3"/>
    <n v="3"/>
    <n v="6"/>
    <n v="4"/>
    <s v="Lead"/>
    <x v="0"/>
  </r>
  <r>
    <s v="L1264"/>
    <x v="3"/>
    <x v="0"/>
    <d v="2025-10-07T00:00:00"/>
    <n v="1"/>
    <d v="2025-10-08T00:00:00"/>
    <n v="1"/>
    <d v="2025-10-11T00:00:00"/>
    <n v="1"/>
    <d v="2025-10-16T00:00:00"/>
    <n v="1"/>
    <x v="0"/>
    <n v="1"/>
    <x v="0"/>
    <d v="2025-11-07T00:00:00"/>
    <n v="1"/>
    <n v="3"/>
    <n v="5"/>
    <n v="7"/>
    <s v="Lead"/>
    <x v="1"/>
  </r>
  <r>
    <s v="L1380"/>
    <x v="2"/>
    <x v="0"/>
    <d v="2025-10-07T00:00:00"/>
    <n v="1"/>
    <d v="2025-10-09T00:00:00"/>
    <n v="1"/>
    <d v="2025-10-14T00:00:00"/>
    <n v="1"/>
    <d v="2025-10-19T00:00:00"/>
    <n v="1"/>
    <x v="0"/>
    <n v="1"/>
    <x v="0"/>
    <d v="2025-11-01T00:00:00"/>
    <n v="2"/>
    <n v="5"/>
    <n v="5"/>
    <n v="1"/>
    <s v="Lead"/>
    <x v="0"/>
  </r>
  <r>
    <s v="L1390"/>
    <x v="0"/>
    <x v="1"/>
    <d v="2025-10-07T00:00:00"/>
    <n v="1"/>
    <d v="2025-10-12T00:00:00"/>
    <n v="1"/>
    <d v="2025-10-13T00:00:00"/>
    <n v="1"/>
    <d v="2025-10-15T00:00:00"/>
    <n v="1"/>
    <x v="0"/>
    <n v="1"/>
    <x v="0"/>
    <d v="2025-11-14T00:00:00"/>
    <n v="5"/>
    <n v="1"/>
    <n v="2"/>
    <n v="1"/>
    <s v="Lead"/>
    <x v="0"/>
  </r>
  <r>
    <s v="L1440"/>
    <x v="1"/>
    <x v="1"/>
    <d v="2025-10-07T00:00:00"/>
    <n v="1"/>
    <d v="2025-10-08T00:00:00"/>
    <n v="1"/>
    <d v="2025-10-13T00:00:00"/>
    <n v="1"/>
    <d v="2025-10-15T00:00:00"/>
    <n v="1"/>
    <x v="0"/>
    <n v="1"/>
    <x v="0"/>
    <d v="2025-11-07T00:00:00"/>
    <n v="1"/>
    <n v="5"/>
    <n v="2"/>
    <n v="1"/>
    <s v="Lead"/>
    <x v="0"/>
  </r>
  <r>
    <s v="L1484"/>
    <x v="1"/>
    <x v="0"/>
    <d v="2025-10-07T00:00:00"/>
    <n v="1"/>
    <d v="2025-10-11T00:00:00"/>
    <n v="1"/>
    <d v="2025-10-12T00:00:00"/>
    <n v="1"/>
    <d v="2025-10-14T00:00:00"/>
    <n v="1"/>
    <x v="0"/>
    <n v="1"/>
    <x v="0"/>
    <d v="2025-11-04T00:00:00"/>
    <n v="4"/>
    <n v="1"/>
    <n v="2"/>
    <n v="6"/>
    <s v="Lead"/>
    <x v="0"/>
  </r>
  <r>
    <s v="L1640"/>
    <x v="2"/>
    <x v="2"/>
    <d v="2025-10-07T00:00:00"/>
    <n v="1"/>
    <m/>
    <n v="0"/>
    <m/>
    <n v="0"/>
    <m/>
    <n v="0"/>
    <x v="1"/>
    <n v="0"/>
    <x v="5"/>
    <m/>
    <m/>
    <m/>
    <m/>
    <m/>
    <s v="Cancelled (Lead Stage)"/>
    <x v="0"/>
  </r>
  <r>
    <s v="L1681"/>
    <x v="3"/>
    <x v="0"/>
    <d v="2025-10-07T00:00:00"/>
    <n v="1"/>
    <d v="2025-10-12T00:00:00"/>
    <n v="1"/>
    <d v="2025-10-13T00:00:00"/>
    <n v="1"/>
    <d v="2025-10-18T00:00:00"/>
    <n v="1"/>
    <x v="0"/>
    <n v="1"/>
    <x v="0"/>
    <d v="2025-11-12T00:00:00"/>
    <n v="5"/>
    <n v="1"/>
    <n v="5"/>
    <n v="9"/>
    <s v="Lead"/>
    <x v="2"/>
  </r>
  <r>
    <s v="L1713"/>
    <x v="2"/>
    <x v="0"/>
    <d v="2025-10-07T00:00:00"/>
    <n v="1"/>
    <d v="2025-10-09T00:00:00"/>
    <n v="1"/>
    <d v="2025-10-12T00:00:00"/>
    <n v="1"/>
    <d v="2025-10-19T00:00:00"/>
    <n v="1"/>
    <x v="0"/>
    <n v="1"/>
    <x v="0"/>
    <d v="2025-11-03T00:00:00"/>
    <n v="2"/>
    <n v="3"/>
    <n v="7"/>
    <n v="8"/>
    <s v="Lead"/>
    <x v="1"/>
  </r>
  <r>
    <s v="L1838"/>
    <x v="2"/>
    <x v="1"/>
    <d v="2025-10-07T00:00:00"/>
    <n v="1"/>
    <d v="2025-10-10T00:00:00"/>
    <n v="1"/>
    <d v="2025-10-11T00:00:00"/>
    <n v="1"/>
    <d v="2025-10-17T00:00:00"/>
    <n v="1"/>
    <x v="0"/>
    <n v="1"/>
    <x v="0"/>
    <d v="2025-11-04T00:00:00"/>
    <n v="3"/>
    <n v="1"/>
    <n v="6"/>
    <n v="6"/>
    <s v="Lead"/>
    <x v="0"/>
  </r>
  <r>
    <s v="L1855"/>
    <x v="2"/>
    <x v="1"/>
    <d v="2025-10-07T00:00:00"/>
    <n v="1"/>
    <d v="2025-10-11T00:00:00"/>
    <n v="1"/>
    <d v="2025-10-16T00:00:00"/>
    <n v="1"/>
    <d v="2025-10-19T00:00:00"/>
    <n v="1"/>
    <x v="0"/>
    <n v="1"/>
    <x v="0"/>
    <d v="2025-11-17T00:00:00"/>
    <n v="4"/>
    <n v="5"/>
    <n v="3"/>
    <n v="7"/>
    <s v="Lead"/>
    <x v="1"/>
  </r>
  <r>
    <s v="L1864"/>
    <x v="3"/>
    <x v="1"/>
    <d v="2025-10-07T00:00:00"/>
    <n v="1"/>
    <d v="2025-10-09T00:00:00"/>
    <n v="1"/>
    <d v="2025-10-14T00:00:00"/>
    <n v="1"/>
    <d v="2025-10-18T00:00:00"/>
    <n v="1"/>
    <x v="0"/>
    <n v="1"/>
    <x v="0"/>
    <d v="2025-11-06T00:00:00"/>
    <n v="2"/>
    <n v="5"/>
    <n v="4"/>
    <n v="4"/>
    <s v="Lead"/>
    <x v="0"/>
  </r>
  <r>
    <s v="L1876"/>
    <x v="3"/>
    <x v="0"/>
    <d v="2025-10-07T00:00:00"/>
    <n v="1"/>
    <d v="2025-10-09T00:00:00"/>
    <n v="1"/>
    <d v="2025-10-14T00:00:00"/>
    <n v="1"/>
    <d v="2025-10-16T00:00:00"/>
    <n v="1"/>
    <x v="0"/>
    <n v="1"/>
    <x v="0"/>
    <d v="2025-11-08T00:00:00"/>
    <n v="2"/>
    <n v="5"/>
    <n v="2"/>
    <n v="2"/>
    <s v="Lead"/>
    <x v="0"/>
  </r>
  <r>
    <s v="L1881"/>
    <x v="1"/>
    <x v="2"/>
    <d v="2025-10-07T00:00:00"/>
    <n v="1"/>
    <m/>
    <n v="0"/>
    <m/>
    <n v="0"/>
    <m/>
    <n v="0"/>
    <x v="1"/>
    <n v="0"/>
    <x v="2"/>
    <m/>
    <m/>
    <m/>
    <m/>
    <m/>
    <s v="Cancelled (Lead Stage)"/>
    <x v="0"/>
  </r>
  <r>
    <s v="L1883"/>
    <x v="1"/>
    <x v="2"/>
    <d v="2025-10-07T00:00:00"/>
    <n v="1"/>
    <m/>
    <n v="0"/>
    <m/>
    <n v="0"/>
    <m/>
    <n v="0"/>
    <x v="1"/>
    <n v="0"/>
    <x v="5"/>
    <m/>
    <m/>
    <m/>
    <m/>
    <m/>
    <s v="Cancelled (Lead Stage)"/>
    <x v="0"/>
  </r>
  <r>
    <s v="L1995"/>
    <x v="3"/>
    <x v="1"/>
    <d v="2025-10-07T00:00:00"/>
    <n v="1"/>
    <d v="2025-10-10T00:00:00"/>
    <n v="1"/>
    <d v="2025-10-15T00:00:00"/>
    <n v="1"/>
    <d v="2025-10-21T00:00:00"/>
    <n v="1"/>
    <x v="0"/>
    <n v="1"/>
    <x v="0"/>
    <d v="2025-11-18T00:00:00"/>
    <n v="3"/>
    <n v="5"/>
    <n v="6"/>
    <n v="5"/>
    <s v="Lead"/>
    <x v="0"/>
  </r>
  <r>
    <s v="L1018"/>
    <x v="1"/>
    <x v="0"/>
    <d v="2025-10-06T00:00:00"/>
    <n v="1"/>
    <d v="2025-10-07T00:00:00"/>
    <n v="1"/>
    <d v="2025-10-12T00:00:00"/>
    <n v="1"/>
    <d v="2025-10-17T00:00:00"/>
    <n v="1"/>
    <x v="0"/>
    <n v="1"/>
    <x v="0"/>
    <d v="2025-11-11T00:00:00"/>
    <n v="1"/>
    <n v="5"/>
    <n v="5"/>
    <n v="5"/>
    <s v="Lead"/>
    <x v="0"/>
  </r>
  <r>
    <s v="L1057"/>
    <x v="1"/>
    <x v="1"/>
    <d v="2025-10-06T00:00:00"/>
    <n v="1"/>
    <d v="2025-10-11T00:00:00"/>
    <n v="1"/>
    <d v="2025-10-16T00:00:00"/>
    <n v="1"/>
    <d v="2025-10-23T00:00:00"/>
    <n v="1"/>
    <x v="0"/>
    <n v="1"/>
    <x v="0"/>
    <d v="2025-11-07T00:00:00"/>
    <n v="5"/>
    <n v="5"/>
    <n v="7"/>
    <n v="1"/>
    <s v="Lead"/>
    <x v="0"/>
  </r>
  <r>
    <s v="L1126"/>
    <x v="2"/>
    <x v="0"/>
    <d v="2025-10-06T00:00:00"/>
    <n v="1"/>
    <d v="2025-10-09T00:00:00"/>
    <n v="1"/>
    <d v="2025-10-14T00:00:00"/>
    <n v="1"/>
    <d v="2025-10-19T00:00:00"/>
    <n v="1"/>
    <x v="0"/>
    <n v="1"/>
    <x v="0"/>
    <d v="2025-10-29T00:00:00"/>
    <n v="3"/>
    <n v="5"/>
    <n v="5"/>
    <n v="4"/>
    <s v="Lead"/>
    <x v="0"/>
  </r>
  <r>
    <s v="L1144"/>
    <x v="1"/>
    <x v="1"/>
    <d v="2025-10-06T00:00:00"/>
    <n v="1"/>
    <d v="2025-10-09T00:00:00"/>
    <n v="1"/>
    <d v="2025-10-12T00:00:00"/>
    <n v="1"/>
    <d v="2025-10-14T00:00:00"/>
    <n v="1"/>
    <x v="0"/>
    <n v="1"/>
    <x v="0"/>
    <d v="2025-11-10T00:00:00"/>
    <n v="3"/>
    <n v="3"/>
    <n v="2"/>
    <n v="6"/>
    <s v="Lead"/>
    <x v="0"/>
  </r>
  <r>
    <s v="L1171"/>
    <x v="3"/>
    <x v="1"/>
    <d v="2025-10-06T00:00:00"/>
    <n v="1"/>
    <d v="2025-10-10T00:00:00"/>
    <n v="1"/>
    <d v="2025-10-12T00:00:00"/>
    <n v="1"/>
    <d v="2025-10-16T00:00:00"/>
    <n v="1"/>
    <x v="0"/>
    <n v="1"/>
    <x v="0"/>
    <d v="2025-10-31T00:00:00"/>
    <n v="4"/>
    <n v="2"/>
    <n v="4"/>
    <n v="1"/>
    <s v="Lead"/>
    <x v="0"/>
  </r>
  <r>
    <s v="L1231"/>
    <x v="0"/>
    <x v="0"/>
    <d v="2025-10-06T00:00:00"/>
    <n v="1"/>
    <d v="2025-10-11T00:00:00"/>
    <n v="1"/>
    <d v="2025-10-12T00:00:00"/>
    <n v="1"/>
    <d v="2025-10-19T00:00:00"/>
    <n v="1"/>
    <x v="0"/>
    <n v="1"/>
    <x v="0"/>
    <d v="2025-11-11T00:00:00"/>
    <n v="5"/>
    <n v="1"/>
    <n v="7"/>
    <n v="8"/>
    <s v="Lead"/>
    <x v="1"/>
  </r>
  <r>
    <s v="L1233"/>
    <x v="0"/>
    <x v="1"/>
    <d v="2025-10-06T00:00:00"/>
    <n v="1"/>
    <d v="2025-10-11T00:00:00"/>
    <n v="1"/>
    <d v="2025-10-13T00:00:00"/>
    <n v="1"/>
    <d v="2025-10-17T00:00:00"/>
    <n v="1"/>
    <x v="0"/>
    <n v="1"/>
    <x v="0"/>
    <d v="2025-10-29T00:00:00"/>
    <n v="5"/>
    <n v="2"/>
    <n v="4"/>
    <n v="9"/>
    <s v="Lead"/>
    <x v="2"/>
  </r>
  <r>
    <s v="L1236"/>
    <x v="2"/>
    <x v="1"/>
    <d v="2025-10-06T00:00:00"/>
    <n v="1"/>
    <d v="2025-10-09T00:00:00"/>
    <n v="1"/>
    <d v="2025-10-11T00:00:00"/>
    <n v="1"/>
    <d v="2025-10-17T00:00:00"/>
    <n v="1"/>
    <x v="0"/>
    <n v="1"/>
    <x v="0"/>
    <d v="2025-11-15T00:00:00"/>
    <n v="3"/>
    <n v="2"/>
    <n v="6"/>
    <n v="7"/>
    <s v="Lead"/>
    <x v="1"/>
  </r>
  <r>
    <s v="L1277"/>
    <x v="3"/>
    <x v="0"/>
    <d v="2025-10-06T00:00:00"/>
    <n v="1"/>
    <d v="2025-10-10T00:00:00"/>
    <n v="1"/>
    <d v="2025-10-14T00:00:00"/>
    <n v="1"/>
    <d v="2025-10-18T00:00:00"/>
    <n v="1"/>
    <x v="0"/>
    <n v="1"/>
    <x v="0"/>
    <d v="2025-11-05T00:00:00"/>
    <n v="4"/>
    <n v="4"/>
    <n v="4"/>
    <n v="1"/>
    <s v="Lead"/>
    <x v="0"/>
  </r>
  <r>
    <s v="L1327"/>
    <x v="2"/>
    <x v="0"/>
    <d v="2025-10-06T00:00:00"/>
    <n v="1"/>
    <d v="2025-10-09T00:00:00"/>
    <n v="1"/>
    <d v="2025-10-10T00:00:00"/>
    <n v="1"/>
    <d v="2025-10-15T00:00:00"/>
    <n v="1"/>
    <x v="0"/>
    <n v="1"/>
    <x v="0"/>
    <d v="2025-10-29T00:00:00"/>
    <n v="3"/>
    <n v="1"/>
    <n v="5"/>
    <n v="7"/>
    <s v="Lead"/>
    <x v="1"/>
  </r>
  <r>
    <s v="L1334"/>
    <x v="0"/>
    <x v="1"/>
    <d v="2025-10-06T00:00:00"/>
    <n v="1"/>
    <d v="2025-10-09T00:00:00"/>
    <n v="1"/>
    <d v="2025-10-10T00:00:00"/>
    <n v="1"/>
    <d v="2025-10-17T00:00:00"/>
    <n v="1"/>
    <x v="0"/>
    <n v="1"/>
    <x v="0"/>
    <d v="2025-10-31T00:00:00"/>
    <n v="3"/>
    <n v="1"/>
    <n v="7"/>
    <n v="1"/>
    <s v="Lead"/>
    <x v="0"/>
  </r>
  <r>
    <s v="L1349"/>
    <x v="2"/>
    <x v="0"/>
    <d v="2025-10-06T00:00:00"/>
    <n v="1"/>
    <d v="2025-10-11T00:00:00"/>
    <n v="1"/>
    <d v="2025-10-12T00:00:00"/>
    <n v="1"/>
    <d v="2025-10-15T00:00:00"/>
    <n v="1"/>
    <x v="0"/>
    <n v="1"/>
    <x v="0"/>
    <d v="2025-10-27T00:00:00"/>
    <n v="5"/>
    <n v="1"/>
    <n v="3"/>
    <n v="6"/>
    <s v="Lead"/>
    <x v="0"/>
  </r>
  <r>
    <s v="L1407"/>
    <x v="1"/>
    <x v="2"/>
    <d v="2025-10-06T00:00:00"/>
    <n v="1"/>
    <m/>
    <n v="0"/>
    <m/>
    <n v="0"/>
    <m/>
    <n v="0"/>
    <x v="1"/>
    <n v="0"/>
    <x v="4"/>
    <m/>
    <m/>
    <m/>
    <m/>
    <m/>
    <s v="Cancelled (Lead Stage)"/>
    <x v="0"/>
  </r>
  <r>
    <s v="L1576"/>
    <x v="1"/>
    <x v="0"/>
    <d v="2025-10-06T00:00:00"/>
    <n v="1"/>
    <d v="2025-10-10T00:00:00"/>
    <n v="1"/>
    <d v="2025-10-14T00:00:00"/>
    <n v="1"/>
    <d v="2025-10-21T00:00:00"/>
    <n v="1"/>
    <x v="0"/>
    <n v="1"/>
    <x v="0"/>
    <d v="2025-11-09T00:00:00"/>
    <n v="4"/>
    <n v="4"/>
    <n v="7"/>
    <n v="7"/>
    <s v="Lead"/>
    <x v="1"/>
  </r>
  <r>
    <s v="L1596"/>
    <x v="1"/>
    <x v="0"/>
    <d v="2025-10-06T00:00:00"/>
    <n v="1"/>
    <d v="2025-10-07T00:00:00"/>
    <n v="1"/>
    <d v="2025-10-08T00:00:00"/>
    <n v="1"/>
    <d v="2025-10-10T00:00:00"/>
    <n v="1"/>
    <x v="1"/>
    <n v="0"/>
    <x v="4"/>
    <m/>
    <n v="1"/>
    <n v="1"/>
    <n v="2"/>
    <m/>
    <s v="Cancelled (Lead Stage)"/>
    <x v="0"/>
  </r>
  <r>
    <s v="L1597"/>
    <x v="2"/>
    <x v="0"/>
    <d v="2025-10-06T00:00:00"/>
    <n v="1"/>
    <d v="2025-10-08T00:00:00"/>
    <n v="1"/>
    <d v="2025-10-10T00:00:00"/>
    <n v="1"/>
    <d v="2025-10-14T00:00:00"/>
    <n v="1"/>
    <x v="0"/>
    <n v="1"/>
    <x v="0"/>
    <d v="2025-10-28T00:00:00"/>
    <n v="2"/>
    <n v="2"/>
    <n v="4"/>
    <n v="3"/>
    <s v="Lead"/>
    <x v="0"/>
  </r>
  <r>
    <s v="L1598"/>
    <x v="0"/>
    <x v="0"/>
    <d v="2025-10-06T00:00:00"/>
    <n v="1"/>
    <d v="2025-10-09T00:00:00"/>
    <n v="1"/>
    <d v="2025-10-10T00:00:00"/>
    <n v="1"/>
    <d v="2025-10-15T00:00:00"/>
    <n v="1"/>
    <x v="0"/>
    <n v="1"/>
    <x v="0"/>
    <d v="2025-11-10T00:00:00"/>
    <n v="3"/>
    <n v="1"/>
    <n v="5"/>
    <n v="1"/>
    <s v="Lead"/>
    <x v="0"/>
  </r>
  <r>
    <s v="L1625"/>
    <x v="1"/>
    <x v="1"/>
    <d v="2025-10-06T00:00:00"/>
    <n v="1"/>
    <d v="2025-10-08T00:00:00"/>
    <n v="1"/>
    <d v="2025-10-12T00:00:00"/>
    <n v="1"/>
    <d v="2025-10-19T00:00:00"/>
    <n v="1"/>
    <x v="0"/>
    <n v="1"/>
    <x v="0"/>
    <d v="2025-11-15T00:00:00"/>
    <n v="2"/>
    <n v="4"/>
    <n v="7"/>
    <n v="0"/>
    <s v="Lead"/>
    <x v="0"/>
  </r>
  <r>
    <s v="L1712"/>
    <x v="2"/>
    <x v="1"/>
    <d v="2025-10-06T00:00:00"/>
    <n v="1"/>
    <d v="2025-10-07T00:00:00"/>
    <n v="1"/>
    <d v="2025-10-12T00:00:00"/>
    <n v="1"/>
    <d v="2025-10-16T00:00:00"/>
    <n v="1"/>
    <x v="0"/>
    <n v="1"/>
    <x v="0"/>
    <d v="2025-11-15T00:00:00"/>
    <n v="1"/>
    <n v="5"/>
    <n v="4"/>
    <n v="5"/>
    <s v="Lead"/>
    <x v="0"/>
  </r>
  <r>
    <s v="L1724"/>
    <x v="3"/>
    <x v="1"/>
    <d v="2025-10-06T00:00:00"/>
    <n v="1"/>
    <d v="2025-10-09T00:00:00"/>
    <n v="1"/>
    <d v="2025-10-12T00:00:00"/>
    <n v="1"/>
    <d v="2025-10-15T00:00:00"/>
    <n v="1"/>
    <x v="0"/>
    <n v="1"/>
    <x v="0"/>
    <d v="2025-11-09T00:00:00"/>
    <n v="3"/>
    <n v="3"/>
    <n v="3"/>
    <n v="10"/>
    <s v="Lead"/>
    <x v="2"/>
  </r>
  <r>
    <s v="L1901"/>
    <x v="2"/>
    <x v="0"/>
    <d v="2025-10-06T00:00:00"/>
    <n v="1"/>
    <d v="2025-10-10T00:00:00"/>
    <n v="1"/>
    <d v="2025-10-14T00:00:00"/>
    <n v="1"/>
    <d v="2025-10-18T00:00:00"/>
    <n v="1"/>
    <x v="0"/>
    <n v="1"/>
    <x v="0"/>
    <d v="2025-11-01T00:00:00"/>
    <n v="4"/>
    <n v="4"/>
    <n v="4"/>
    <n v="0"/>
    <s v="Lead"/>
    <x v="0"/>
  </r>
  <r>
    <s v="L1915"/>
    <x v="1"/>
    <x v="1"/>
    <d v="2025-10-06T00:00:00"/>
    <n v="1"/>
    <d v="2025-10-07T00:00:00"/>
    <n v="1"/>
    <d v="2025-10-12T00:00:00"/>
    <n v="1"/>
    <d v="2025-10-18T00:00:00"/>
    <n v="1"/>
    <x v="0"/>
    <n v="1"/>
    <x v="0"/>
    <d v="2025-10-31T00:00:00"/>
    <n v="1"/>
    <n v="5"/>
    <n v="6"/>
    <n v="1"/>
    <s v="Lead"/>
    <x v="0"/>
  </r>
  <r>
    <s v="L1016"/>
    <x v="0"/>
    <x v="1"/>
    <d v="2025-10-05T00:00:00"/>
    <n v="1"/>
    <d v="2025-10-06T00:00:00"/>
    <n v="1"/>
    <d v="2025-10-10T00:00:00"/>
    <n v="1"/>
    <d v="2025-10-16T00:00:00"/>
    <n v="1"/>
    <x v="0"/>
    <n v="1"/>
    <x v="0"/>
    <d v="2025-10-26T00:00:00"/>
    <n v="1"/>
    <n v="4"/>
    <n v="6"/>
    <n v="2"/>
    <s v="Lead"/>
    <x v="0"/>
  </r>
  <r>
    <s v="L1149"/>
    <x v="3"/>
    <x v="0"/>
    <d v="2025-10-05T00:00:00"/>
    <n v="1"/>
    <d v="2025-10-10T00:00:00"/>
    <n v="1"/>
    <d v="2025-10-11T00:00:00"/>
    <n v="1"/>
    <d v="2025-10-15T00:00:00"/>
    <n v="1"/>
    <x v="0"/>
    <n v="1"/>
    <x v="0"/>
    <d v="2025-11-12T00:00:00"/>
    <n v="5"/>
    <n v="1"/>
    <n v="4"/>
    <n v="4"/>
    <s v="Lead"/>
    <x v="0"/>
  </r>
  <r>
    <s v="L1157"/>
    <x v="0"/>
    <x v="1"/>
    <d v="2025-10-05T00:00:00"/>
    <n v="1"/>
    <d v="2025-10-08T00:00:00"/>
    <n v="1"/>
    <d v="2025-10-12T00:00:00"/>
    <n v="1"/>
    <d v="2025-10-15T00:00:00"/>
    <n v="1"/>
    <x v="0"/>
    <n v="1"/>
    <x v="0"/>
    <d v="2025-11-08T00:00:00"/>
    <n v="3"/>
    <n v="4"/>
    <n v="3"/>
    <n v="8"/>
    <s v="Lead"/>
    <x v="1"/>
  </r>
  <r>
    <s v="L1188"/>
    <x v="1"/>
    <x v="1"/>
    <d v="2025-10-05T00:00:00"/>
    <n v="1"/>
    <d v="2025-10-09T00:00:00"/>
    <n v="1"/>
    <d v="2025-10-12T00:00:00"/>
    <n v="1"/>
    <d v="2025-10-16T00:00:00"/>
    <n v="1"/>
    <x v="0"/>
    <n v="1"/>
    <x v="0"/>
    <d v="2025-11-08T00:00:00"/>
    <n v="4"/>
    <n v="3"/>
    <n v="4"/>
    <n v="9"/>
    <s v="Lead"/>
    <x v="2"/>
  </r>
  <r>
    <s v="L1189"/>
    <x v="1"/>
    <x v="2"/>
    <d v="2025-10-05T00:00:00"/>
    <n v="1"/>
    <m/>
    <n v="0"/>
    <m/>
    <n v="0"/>
    <m/>
    <n v="0"/>
    <x v="1"/>
    <n v="0"/>
    <x v="5"/>
    <m/>
    <m/>
    <m/>
    <m/>
    <m/>
    <s v="Cancelled (Lead Stage)"/>
    <x v="0"/>
  </r>
  <r>
    <s v="L1270"/>
    <x v="0"/>
    <x v="1"/>
    <d v="2025-10-05T00:00:00"/>
    <n v="1"/>
    <d v="2025-10-08T00:00:00"/>
    <n v="1"/>
    <d v="2025-10-10T00:00:00"/>
    <n v="1"/>
    <d v="2025-10-17T00:00:00"/>
    <n v="1"/>
    <x v="0"/>
    <n v="1"/>
    <x v="0"/>
    <d v="2025-11-07T00:00:00"/>
    <n v="3"/>
    <n v="2"/>
    <n v="7"/>
    <n v="5"/>
    <s v="Lead"/>
    <x v="0"/>
  </r>
  <r>
    <s v="L1274"/>
    <x v="2"/>
    <x v="0"/>
    <d v="2025-10-05T00:00:00"/>
    <n v="1"/>
    <d v="2025-10-10T00:00:00"/>
    <n v="1"/>
    <d v="2025-10-14T00:00:00"/>
    <n v="1"/>
    <d v="2025-10-21T00:00:00"/>
    <n v="1"/>
    <x v="0"/>
    <n v="1"/>
    <x v="0"/>
    <d v="2025-11-08T00:00:00"/>
    <n v="5"/>
    <n v="4"/>
    <n v="7"/>
    <n v="3"/>
    <s v="Lead"/>
    <x v="0"/>
  </r>
  <r>
    <s v="L1393"/>
    <x v="2"/>
    <x v="2"/>
    <d v="2025-10-05T00:00:00"/>
    <n v="1"/>
    <m/>
    <n v="0"/>
    <m/>
    <n v="0"/>
    <m/>
    <n v="0"/>
    <x v="1"/>
    <n v="0"/>
    <x v="4"/>
    <m/>
    <m/>
    <m/>
    <m/>
    <m/>
    <s v="Cancelled (Lead Stage)"/>
    <x v="0"/>
  </r>
  <r>
    <s v="L1423"/>
    <x v="3"/>
    <x v="2"/>
    <d v="2025-10-05T00:00:00"/>
    <n v="1"/>
    <m/>
    <n v="0"/>
    <m/>
    <n v="0"/>
    <m/>
    <n v="0"/>
    <x v="1"/>
    <n v="0"/>
    <x v="1"/>
    <m/>
    <m/>
    <m/>
    <m/>
    <m/>
    <s v="Cancelled (Lead Stage)"/>
    <x v="0"/>
  </r>
  <r>
    <s v="L1438"/>
    <x v="3"/>
    <x v="1"/>
    <d v="2025-10-05T00:00:00"/>
    <n v="1"/>
    <d v="2025-10-10T00:00:00"/>
    <n v="1"/>
    <d v="2025-10-14T00:00:00"/>
    <n v="1"/>
    <d v="2025-10-21T00:00:00"/>
    <n v="1"/>
    <x v="0"/>
    <n v="1"/>
    <x v="0"/>
    <d v="2025-11-06T00:00:00"/>
    <n v="5"/>
    <n v="4"/>
    <n v="7"/>
    <n v="7"/>
    <s v="Lead"/>
    <x v="1"/>
  </r>
  <r>
    <s v="L1446"/>
    <x v="3"/>
    <x v="2"/>
    <d v="2025-10-05T00:00:00"/>
    <n v="1"/>
    <m/>
    <n v="0"/>
    <m/>
    <n v="0"/>
    <m/>
    <n v="0"/>
    <x v="1"/>
    <n v="0"/>
    <x v="1"/>
    <m/>
    <m/>
    <m/>
    <m/>
    <m/>
    <s v="Cancelled (Lead Stage)"/>
    <x v="0"/>
  </r>
  <r>
    <s v="L1470"/>
    <x v="1"/>
    <x v="0"/>
    <d v="2025-10-05T00:00:00"/>
    <n v="1"/>
    <d v="2025-10-06T00:00:00"/>
    <n v="1"/>
    <d v="2025-10-11T00:00:00"/>
    <n v="1"/>
    <d v="2025-10-13T00:00:00"/>
    <n v="1"/>
    <x v="0"/>
    <n v="1"/>
    <x v="0"/>
    <d v="2025-10-24T00:00:00"/>
    <n v="1"/>
    <n v="5"/>
    <n v="2"/>
    <n v="7"/>
    <s v="Lead"/>
    <x v="1"/>
  </r>
  <r>
    <s v="L1506"/>
    <x v="0"/>
    <x v="0"/>
    <d v="2025-10-05T00:00:00"/>
    <n v="1"/>
    <d v="2025-10-08T00:00:00"/>
    <n v="1"/>
    <d v="2025-10-10T00:00:00"/>
    <n v="1"/>
    <d v="2025-10-13T00:00:00"/>
    <n v="1"/>
    <x v="0"/>
    <n v="1"/>
    <x v="0"/>
    <d v="2025-11-03T00:00:00"/>
    <n v="3"/>
    <n v="2"/>
    <n v="3"/>
    <n v="5"/>
    <s v="Lead"/>
    <x v="0"/>
  </r>
  <r>
    <s v="L1510"/>
    <x v="1"/>
    <x v="2"/>
    <d v="2025-10-05T00:00:00"/>
    <n v="1"/>
    <m/>
    <n v="0"/>
    <m/>
    <n v="0"/>
    <m/>
    <n v="0"/>
    <x v="1"/>
    <n v="0"/>
    <x v="3"/>
    <m/>
    <m/>
    <m/>
    <m/>
    <m/>
    <s v="Cancelled (Lead Stage)"/>
    <x v="0"/>
  </r>
  <r>
    <s v="L1526"/>
    <x v="2"/>
    <x v="0"/>
    <d v="2025-10-05T00:00:00"/>
    <n v="1"/>
    <d v="2025-10-07T00:00:00"/>
    <n v="1"/>
    <d v="2025-10-11T00:00:00"/>
    <n v="1"/>
    <d v="2025-10-17T00:00:00"/>
    <n v="1"/>
    <x v="0"/>
    <n v="1"/>
    <x v="0"/>
    <d v="2025-11-02T00:00:00"/>
    <n v="2"/>
    <n v="4"/>
    <n v="6"/>
    <n v="6"/>
    <s v="Lead"/>
    <x v="0"/>
  </r>
  <r>
    <s v="L1530"/>
    <x v="0"/>
    <x v="0"/>
    <d v="2025-10-05T00:00:00"/>
    <n v="1"/>
    <d v="2025-10-09T00:00:00"/>
    <n v="1"/>
    <d v="2025-10-14T00:00:00"/>
    <n v="1"/>
    <d v="2025-10-17T00:00:00"/>
    <n v="1"/>
    <x v="0"/>
    <n v="1"/>
    <x v="0"/>
    <d v="2025-11-16T00:00:00"/>
    <n v="4"/>
    <n v="5"/>
    <n v="3"/>
    <n v="2"/>
    <s v="Lead"/>
    <x v="0"/>
  </r>
  <r>
    <s v="L1589"/>
    <x v="3"/>
    <x v="0"/>
    <d v="2025-10-05T00:00:00"/>
    <n v="1"/>
    <d v="2025-10-08T00:00:00"/>
    <n v="1"/>
    <d v="2025-10-09T00:00:00"/>
    <n v="1"/>
    <d v="2025-10-13T00:00:00"/>
    <n v="1"/>
    <x v="0"/>
    <n v="1"/>
    <x v="0"/>
    <d v="2025-10-31T00:00:00"/>
    <n v="3"/>
    <n v="1"/>
    <n v="4"/>
    <n v="9"/>
    <s v="Lead"/>
    <x v="2"/>
  </r>
  <r>
    <s v="L1609"/>
    <x v="1"/>
    <x v="1"/>
    <d v="2025-10-05T00:00:00"/>
    <n v="1"/>
    <d v="2025-10-09T00:00:00"/>
    <n v="1"/>
    <d v="2025-10-10T00:00:00"/>
    <n v="1"/>
    <d v="2025-10-15T00:00:00"/>
    <n v="1"/>
    <x v="0"/>
    <n v="1"/>
    <x v="0"/>
    <d v="2025-11-03T00:00:00"/>
    <n v="4"/>
    <n v="1"/>
    <n v="5"/>
    <n v="1"/>
    <s v="Lead"/>
    <x v="0"/>
  </r>
  <r>
    <s v="L1691"/>
    <x v="0"/>
    <x v="0"/>
    <d v="2025-10-05T00:00:00"/>
    <n v="1"/>
    <d v="2025-10-08T00:00:00"/>
    <n v="1"/>
    <d v="2025-10-11T00:00:00"/>
    <n v="1"/>
    <d v="2025-10-15T00:00:00"/>
    <n v="1"/>
    <x v="0"/>
    <n v="1"/>
    <x v="0"/>
    <d v="2025-11-03T00:00:00"/>
    <n v="3"/>
    <n v="3"/>
    <n v="4"/>
    <n v="3"/>
    <s v="Lead"/>
    <x v="0"/>
  </r>
  <r>
    <s v="L1705"/>
    <x v="3"/>
    <x v="0"/>
    <d v="2025-10-05T00:00:00"/>
    <n v="1"/>
    <d v="2025-10-08T00:00:00"/>
    <n v="1"/>
    <d v="2025-10-13T00:00:00"/>
    <n v="1"/>
    <d v="2025-10-16T00:00:00"/>
    <n v="1"/>
    <x v="0"/>
    <n v="1"/>
    <x v="0"/>
    <d v="2025-10-30T00:00:00"/>
    <n v="3"/>
    <n v="5"/>
    <n v="3"/>
    <n v="2"/>
    <s v="Lead"/>
    <x v="0"/>
  </r>
  <r>
    <s v="L1714"/>
    <x v="2"/>
    <x v="1"/>
    <d v="2025-10-05T00:00:00"/>
    <n v="1"/>
    <d v="2025-10-06T00:00:00"/>
    <n v="1"/>
    <d v="2025-10-07T00:00:00"/>
    <n v="1"/>
    <d v="2025-10-14T00:00:00"/>
    <n v="1"/>
    <x v="0"/>
    <n v="1"/>
    <x v="0"/>
    <d v="2025-11-03T00:00:00"/>
    <n v="1"/>
    <n v="1"/>
    <n v="7"/>
    <n v="7"/>
    <s v="Lead"/>
    <x v="1"/>
  </r>
  <r>
    <s v="L1741"/>
    <x v="2"/>
    <x v="0"/>
    <d v="2025-10-05T00:00:00"/>
    <n v="1"/>
    <d v="2025-10-10T00:00:00"/>
    <n v="1"/>
    <d v="2025-10-13T00:00:00"/>
    <n v="1"/>
    <d v="2025-10-17T00:00:00"/>
    <n v="1"/>
    <x v="0"/>
    <n v="1"/>
    <x v="0"/>
    <d v="2025-11-07T00:00:00"/>
    <n v="5"/>
    <n v="3"/>
    <n v="4"/>
    <n v="2"/>
    <s v="Lead"/>
    <x v="0"/>
  </r>
  <r>
    <s v="L1798"/>
    <x v="2"/>
    <x v="2"/>
    <d v="2025-10-05T00:00:00"/>
    <n v="1"/>
    <m/>
    <n v="0"/>
    <m/>
    <n v="0"/>
    <m/>
    <n v="0"/>
    <x v="1"/>
    <n v="0"/>
    <x v="1"/>
    <m/>
    <m/>
    <m/>
    <m/>
    <m/>
    <s v="Cancelled (Lead Stage)"/>
    <x v="0"/>
  </r>
  <r>
    <s v="L1809"/>
    <x v="0"/>
    <x v="0"/>
    <d v="2025-10-05T00:00:00"/>
    <n v="1"/>
    <d v="2025-10-06T00:00:00"/>
    <n v="1"/>
    <d v="2025-10-09T00:00:00"/>
    <n v="1"/>
    <d v="2025-10-12T00:00:00"/>
    <n v="1"/>
    <x v="0"/>
    <n v="1"/>
    <x v="0"/>
    <d v="2025-10-23T00:00:00"/>
    <n v="1"/>
    <n v="3"/>
    <n v="3"/>
    <n v="1"/>
    <s v="Lead"/>
    <x v="0"/>
  </r>
  <r>
    <s v="L1823"/>
    <x v="3"/>
    <x v="1"/>
    <d v="2025-10-05T00:00:00"/>
    <n v="1"/>
    <d v="2025-10-10T00:00:00"/>
    <n v="1"/>
    <d v="2025-10-13T00:00:00"/>
    <n v="1"/>
    <d v="2025-10-15T00:00:00"/>
    <n v="1"/>
    <x v="0"/>
    <n v="1"/>
    <x v="0"/>
    <d v="2025-10-28T00:00:00"/>
    <n v="5"/>
    <n v="3"/>
    <n v="2"/>
    <n v="4"/>
    <s v="Lead"/>
    <x v="0"/>
  </r>
  <r>
    <s v="L1873"/>
    <x v="1"/>
    <x v="1"/>
    <d v="2025-10-05T00:00:00"/>
    <n v="1"/>
    <d v="2025-10-06T00:00:00"/>
    <n v="1"/>
    <d v="2025-10-11T00:00:00"/>
    <n v="1"/>
    <d v="2025-10-13T00:00:00"/>
    <n v="1"/>
    <x v="0"/>
    <n v="1"/>
    <x v="0"/>
    <d v="2025-11-08T00:00:00"/>
    <n v="1"/>
    <n v="5"/>
    <n v="2"/>
    <n v="4"/>
    <s v="Lead"/>
    <x v="0"/>
  </r>
  <r>
    <s v="L1889"/>
    <x v="3"/>
    <x v="0"/>
    <d v="2025-10-05T00:00:00"/>
    <n v="1"/>
    <d v="2025-10-07T00:00:00"/>
    <n v="1"/>
    <d v="2025-10-11T00:00:00"/>
    <n v="1"/>
    <d v="2025-10-13T00:00:00"/>
    <n v="1"/>
    <x v="0"/>
    <n v="1"/>
    <x v="0"/>
    <d v="2025-10-30T00:00:00"/>
    <n v="2"/>
    <n v="4"/>
    <n v="2"/>
    <n v="4"/>
    <s v="Lead"/>
    <x v="0"/>
  </r>
  <r>
    <s v="L1896"/>
    <x v="1"/>
    <x v="2"/>
    <d v="2025-10-05T00:00:00"/>
    <n v="1"/>
    <m/>
    <n v="0"/>
    <m/>
    <n v="0"/>
    <m/>
    <n v="0"/>
    <x v="1"/>
    <n v="0"/>
    <x v="1"/>
    <m/>
    <m/>
    <m/>
    <m/>
    <m/>
    <s v="Cancelled (Lead Stage)"/>
    <x v="0"/>
  </r>
  <r>
    <s v="L1897"/>
    <x v="2"/>
    <x v="2"/>
    <d v="2025-10-05T00:00:00"/>
    <n v="1"/>
    <m/>
    <n v="0"/>
    <m/>
    <n v="0"/>
    <m/>
    <n v="0"/>
    <x v="1"/>
    <n v="0"/>
    <x v="3"/>
    <m/>
    <m/>
    <m/>
    <m/>
    <m/>
    <s v="Cancelled (Lead Stage)"/>
    <x v="0"/>
  </r>
  <r>
    <s v="L1906"/>
    <x v="2"/>
    <x v="0"/>
    <d v="2025-10-05T00:00:00"/>
    <n v="1"/>
    <d v="2025-10-06T00:00:00"/>
    <n v="1"/>
    <d v="2025-10-10T00:00:00"/>
    <n v="1"/>
    <d v="2025-10-12T00:00:00"/>
    <n v="1"/>
    <x v="0"/>
    <n v="1"/>
    <x v="0"/>
    <d v="2025-10-25T00:00:00"/>
    <n v="1"/>
    <n v="4"/>
    <n v="2"/>
    <n v="4"/>
    <s v="Lead"/>
    <x v="0"/>
  </r>
  <r>
    <s v="L1918"/>
    <x v="0"/>
    <x v="1"/>
    <d v="2025-10-05T00:00:00"/>
    <n v="1"/>
    <d v="2025-10-09T00:00:00"/>
    <n v="1"/>
    <d v="2025-10-10T00:00:00"/>
    <n v="1"/>
    <d v="2025-10-12T00:00:00"/>
    <n v="1"/>
    <x v="0"/>
    <n v="1"/>
    <x v="0"/>
    <d v="2025-10-31T00:00:00"/>
    <n v="4"/>
    <n v="1"/>
    <n v="2"/>
    <n v="1"/>
    <s v="Lead"/>
    <x v="0"/>
  </r>
  <r>
    <s v="L1965"/>
    <x v="0"/>
    <x v="0"/>
    <d v="2025-10-05T00:00:00"/>
    <n v="1"/>
    <d v="2025-10-10T00:00:00"/>
    <n v="1"/>
    <d v="2025-10-14T00:00:00"/>
    <n v="1"/>
    <d v="2025-10-21T00:00:00"/>
    <n v="1"/>
    <x v="0"/>
    <n v="1"/>
    <x v="0"/>
    <d v="2025-11-18T00:00:00"/>
    <n v="5"/>
    <n v="4"/>
    <n v="7"/>
    <n v="7"/>
    <s v="Lead"/>
    <x v="1"/>
  </r>
  <r>
    <s v="L1967"/>
    <x v="0"/>
    <x v="0"/>
    <d v="2025-10-05T00:00:00"/>
    <n v="1"/>
    <d v="2025-10-09T00:00:00"/>
    <n v="1"/>
    <d v="2025-10-14T00:00:00"/>
    <n v="1"/>
    <d v="2025-10-18T00:00:00"/>
    <n v="1"/>
    <x v="0"/>
    <n v="1"/>
    <x v="0"/>
    <d v="2025-11-02T00:00:00"/>
    <n v="4"/>
    <n v="5"/>
    <n v="4"/>
    <n v="7"/>
    <s v="Lead"/>
    <x v="1"/>
  </r>
  <r>
    <s v="L1007"/>
    <x v="3"/>
    <x v="0"/>
    <d v="2025-10-04T00:00:00"/>
    <n v="1"/>
    <d v="2025-10-05T00:00:00"/>
    <n v="1"/>
    <d v="2025-10-08T00:00:00"/>
    <n v="1"/>
    <d v="2025-10-15T00:00:00"/>
    <n v="1"/>
    <x v="1"/>
    <n v="0"/>
    <x v="3"/>
    <m/>
    <n v="1"/>
    <n v="3"/>
    <n v="7"/>
    <m/>
    <s v="Cancelled (Lead Stage)"/>
    <x v="0"/>
  </r>
  <r>
    <s v="L1116"/>
    <x v="2"/>
    <x v="2"/>
    <d v="2025-10-04T00:00:00"/>
    <n v="1"/>
    <m/>
    <n v="0"/>
    <m/>
    <n v="0"/>
    <m/>
    <n v="0"/>
    <x v="1"/>
    <n v="0"/>
    <x v="3"/>
    <m/>
    <m/>
    <m/>
    <m/>
    <m/>
    <s v="Cancelled (Lead Stage)"/>
    <x v="0"/>
  </r>
  <r>
    <s v="L1120"/>
    <x v="2"/>
    <x v="0"/>
    <d v="2025-10-04T00:00:00"/>
    <n v="1"/>
    <d v="2025-10-08T00:00:00"/>
    <n v="1"/>
    <d v="2025-10-13T00:00:00"/>
    <n v="1"/>
    <d v="2025-10-16T00:00:00"/>
    <n v="1"/>
    <x v="0"/>
    <n v="1"/>
    <x v="0"/>
    <d v="2025-11-01T00:00:00"/>
    <n v="4"/>
    <n v="5"/>
    <n v="3"/>
    <n v="1"/>
    <s v="Lead"/>
    <x v="0"/>
  </r>
  <r>
    <s v="L1138"/>
    <x v="1"/>
    <x v="2"/>
    <d v="2025-10-04T00:00:00"/>
    <n v="1"/>
    <m/>
    <n v="0"/>
    <m/>
    <n v="0"/>
    <m/>
    <n v="0"/>
    <x v="1"/>
    <n v="0"/>
    <x v="5"/>
    <m/>
    <m/>
    <m/>
    <m/>
    <m/>
    <s v="Cancelled (Lead Stage)"/>
    <x v="0"/>
  </r>
  <r>
    <s v="L1162"/>
    <x v="0"/>
    <x v="1"/>
    <d v="2025-10-04T00:00:00"/>
    <n v="1"/>
    <d v="2025-10-07T00:00:00"/>
    <n v="1"/>
    <d v="2025-10-10T00:00:00"/>
    <n v="1"/>
    <d v="2025-10-15T00:00:00"/>
    <n v="1"/>
    <x v="0"/>
    <n v="1"/>
    <x v="0"/>
    <d v="2025-10-25T00:00:00"/>
    <n v="3"/>
    <n v="3"/>
    <n v="5"/>
    <n v="7"/>
    <s v="Lead"/>
    <x v="1"/>
  </r>
  <r>
    <s v="L1178"/>
    <x v="3"/>
    <x v="0"/>
    <d v="2025-10-04T00:00:00"/>
    <n v="1"/>
    <d v="2025-10-05T00:00:00"/>
    <n v="1"/>
    <d v="2025-10-07T00:00:00"/>
    <n v="1"/>
    <d v="2025-10-10T00:00:00"/>
    <n v="1"/>
    <x v="0"/>
    <n v="1"/>
    <x v="0"/>
    <d v="2025-10-30T00:00:00"/>
    <n v="1"/>
    <n v="2"/>
    <n v="3"/>
    <n v="9"/>
    <s v="Lead"/>
    <x v="2"/>
  </r>
  <r>
    <s v="L1196"/>
    <x v="2"/>
    <x v="1"/>
    <d v="2025-10-04T00:00:00"/>
    <n v="1"/>
    <d v="2025-10-08T00:00:00"/>
    <n v="1"/>
    <d v="2025-10-13T00:00:00"/>
    <n v="1"/>
    <d v="2025-10-16T00:00:00"/>
    <n v="1"/>
    <x v="0"/>
    <n v="1"/>
    <x v="0"/>
    <d v="2025-11-01T00:00:00"/>
    <n v="4"/>
    <n v="5"/>
    <n v="3"/>
    <n v="10"/>
    <s v="Lead"/>
    <x v="2"/>
  </r>
  <r>
    <s v="L1222"/>
    <x v="1"/>
    <x v="0"/>
    <d v="2025-10-04T00:00:00"/>
    <n v="1"/>
    <d v="2025-10-05T00:00:00"/>
    <n v="1"/>
    <d v="2025-10-07T00:00:00"/>
    <n v="1"/>
    <d v="2025-10-13T00:00:00"/>
    <n v="1"/>
    <x v="0"/>
    <n v="1"/>
    <x v="0"/>
    <d v="2025-11-09T00:00:00"/>
    <n v="1"/>
    <n v="2"/>
    <n v="6"/>
    <n v="1"/>
    <s v="Lead"/>
    <x v="0"/>
  </r>
  <r>
    <s v="L1266"/>
    <x v="0"/>
    <x v="2"/>
    <d v="2025-10-04T00:00:00"/>
    <n v="1"/>
    <m/>
    <n v="0"/>
    <m/>
    <n v="0"/>
    <m/>
    <n v="0"/>
    <x v="1"/>
    <n v="0"/>
    <x v="3"/>
    <m/>
    <m/>
    <m/>
    <m/>
    <m/>
    <s v="Cancelled (Lead Stage)"/>
    <x v="0"/>
  </r>
  <r>
    <s v="L1287"/>
    <x v="1"/>
    <x v="1"/>
    <d v="2025-10-04T00:00:00"/>
    <n v="1"/>
    <d v="2025-10-05T00:00:00"/>
    <n v="1"/>
    <d v="2025-10-10T00:00:00"/>
    <n v="1"/>
    <d v="2025-10-17T00:00:00"/>
    <n v="1"/>
    <x v="0"/>
    <n v="1"/>
    <x v="0"/>
    <d v="2025-10-28T00:00:00"/>
    <n v="1"/>
    <n v="5"/>
    <n v="7"/>
    <n v="2"/>
    <s v="Lead"/>
    <x v="0"/>
  </r>
  <r>
    <s v="L1347"/>
    <x v="3"/>
    <x v="1"/>
    <d v="2025-10-04T00:00:00"/>
    <n v="1"/>
    <d v="2025-10-07T00:00:00"/>
    <n v="1"/>
    <d v="2025-10-08T00:00:00"/>
    <n v="1"/>
    <d v="2025-10-15T00:00:00"/>
    <n v="1"/>
    <x v="0"/>
    <n v="1"/>
    <x v="0"/>
    <d v="2025-11-04T00:00:00"/>
    <n v="3"/>
    <n v="1"/>
    <n v="7"/>
    <n v="8"/>
    <s v="Lead"/>
    <x v="1"/>
  </r>
  <r>
    <s v="L1367"/>
    <x v="2"/>
    <x v="1"/>
    <d v="2025-10-04T00:00:00"/>
    <n v="1"/>
    <d v="2025-10-09T00:00:00"/>
    <n v="1"/>
    <d v="2025-10-11T00:00:00"/>
    <n v="1"/>
    <d v="2025-10-13T00:00:00"/>
    <n v="1"/>
    <x v="1"/>
    <n v="0"/>
    <x v="5"/>
    <m/>
    <n v="5"/>
    <n v="2"/>
    <n v="2"/>
    <m/>
    <s v="Cancelled (Lead Stage)"/>
    <x v="0"/>
  </r>
  <r>
    <s v="L1400"/>
    <x v="2"/>
    <x v="0"/>
    <d v="2025-10-04T00:00:00"/>
    <n v="1"/>
    <d v="2025-10-08T00:00:00"/>
    <n v="1"/>
    <d v="2025-10-13T00:00:00"/>
    <n v="1"/>
    <d v="2025-10-20T00:00:00"/>
    <n v="1"/>
    <x v="0"/>
    <n v="1"/>
    <x v="0"/>
    <d v="2025-11-03T00:00:00"/>
    <n v="4"/>
    <n v="5"/>
    <n v="7"/>
    <n v="1"/>
    <s v="Lead"/>
    <x v="0"/>
  </r>
  <r>
    <s v="L1417"/>
    <x v="2"/>
    <x v="0"/>
    <d v="2025-10-04T00:00:00"/>
    <n v="1"/>
    <d v="2025-10-07T00:00:00"/>
    <n v="1"/>
    <d v="2025-10-10T00:00:00"/>
    <n v="1"/>
    <d v="2025-10-13T00:00:00"/>
    <n v="1"/>
    <x v="0"/>
    <n v="1"/>
    <x v="0"/>
    <d v="2025-10-23T00:00:00"/>
    <n v="3"/>
    <n v="3"/>
    <n v="3"/>
    <n v="10"/>
    <s v="Lead"/>
    <x v="2"/>
  </r>
  <r>
    <s v="L1420"/>
    <x v="1"/>
    <x v="0"/>
    <d v="2025-10-04T00:00:00"/>
    <n v="1"/>
    <d v="2025-10-08T00:00:00"/>
    <n v="1"/>
    <d v="2025-10-11T00:00:00"/>
    <n v="1"/>
    <d v="2025-10-18T00:00:00"/>
    <n v="1"/>
    <x v="0"/>
    <n v="1"/>
    <x v="0"/>
    <d v="2025-11-06T00:00:00"/>
    <n v="4"/>
    <n v="3"/>
    <n v="7"/>
    <n v="1"/>
    <s v="Lead"/>
    <x v="0"/>
  </r>
  <r>
    <s v="L1516"/>
    <x v="1"/>
    <x v="0"/>
    <d v="2025-10-04T00:00:00"/>
    <n v="1"/>
    <d v="2025-10-05T00:00:00"/>
    <n v="1"/>
    <d v="2025-10-09T00:00:00"/>
    <n v="1"/>
    <d v="2025-10-16T00:00:00"/>
    <n v="1"/>
    <x v="0"/>
    <n v="1"/>
    <x v="0"/>
    <d v="2025-10-26T00:00:00"/>
    <n v="1"/>
    <n v="4"/>
    <n v="7"/>
    <n v="2"/>
    <s v="Lead"/>
    <x v="0"/>
  </r>
  <r>
    <s v="L1520"/>
    <x v="2"/>
    <x v="0"/>
    <d v="2025-10-04T00:00:00"/>
    <n v="1"/>
    <d v="2025-10-09T00:00:00"/>
    <n v="1"/>
    <d v="2025-10-13T00:00:00"/>
    <n v="1"/>
    <d v="2025-10-20T00:00:00"/>
    <n v="1"/>
    <x v="0"/>
    <n v="1"/>
    <x v="0"/>
    <d v="2025-11-17T00:00:00"/>
    <n v="5"/>
    <n v="4"/>
    <n v="7"/>
    <n v="7"/>
    <s v="Lead"/>
    <x v="1"/>
  </r>
  <r>
    <s v="L1569"/>
    <x v="3"/>
    <x v="0"/>
    <d v="2025-10-04T00:00:00"/>
    <n v="1"/>
    <d v="2025-10-06T00:00:00"/>
    <n v="1"/>
    <d v="2025-10-08T00:00:00"/>
    <n v="1"/>
    <d v="2025-10-15T00:00:00"/>
    <n v="1"/>
    <x v="0"/>
    <n v="1"/>
    <x v="0"/>
    <d v="2025-10-25T00:00:00"/>
    <n v="2"/>
    <n v="2"/>
    <n v="7"/>
    <n v="4"/>
    <s v="Lead"/>
    <x v="0"/>
  </r>
  <r>
    <s v="L1574"/>
    <x v="2"/>
    <x v="0"/>
    <d v="2025-10-04T00:00:00"/>
    <n v="1"/>
    <d v="2025-10-06T00:00:00"/>
    <n v="1"/>
    <d v="2025-10-10T00:00:00"/>
    <n v="1"/>
    <d v="2025-10-12T00:00:00"/>
    <n v="1"/>
    <x v="0"/>
    <n v="1"/>
    <x v="0"/>
    <d v="2025-11-10T00:00:00"/>
    <n v="2"/>
    <n v="4"/>
    <n v="2"/>
    <n v="0"/>
    <s v="Lead"/>
    <x v="0"/>
  </r>
  <r>
    <s v="L1644"/>
    <x v="0"/>
    <x v="1"/>
    <d v="2025-10-04T00:00:00"/>
    <n v="1"/>
    <d v="2025-10-05T00:00:00"/>
    <n v="1"/>
    <d v="2025-10-09T00:00:00"/>
    <n v="1"/>
    <d v="2025-10-15T00:00:00"/>
    <n v="1"/>
    <x v="0"/>
    <n v="1"/>
    <x v="0"/>
    <d v="2025-11-11T00:00:00"/>
    <n v="1"/>
    <n v="4"/>
    <n v="6"/>
    <n v="1"/>
    <s v="Lead"/>
    <x v="0"/>
  </r>
  <r>
    <s v="L1693"/>
    <x v="0"/>
    <x v="1"/>
    <d v="2025-10-04T00:00:00"/>
    <n v="1"/>
    <d v="2025-10-05T00:00:00"/>
    <n v="1"/>
    <d v="2025-10-07T00:00:00"/>
    <n v="1"/>
    <d v="2025-10-13T00:00:00"/>
    <n v="1"/>
    <x v="0"/>
    <n v="1"/>
    <x v="0"/>
    <d v="2025-10-24T00:00:00"/>
    <n v="1"/>
    <n v="2"/>
    <n v="6"/>
    <n v="7"/>
    <s v="Lead"/>
    <x v="1"/>
  </r>
  <r>
    <s v="L1737"/>
    <x v="0"/>
    <x v="2"/>
    <d v="2025-10-04T00:00:00"/>
    <n v="1"/>
    <m/>
    <n v="0"/>
    <m/>
    <n v="0"/>
    <m/>
    <n v="0"/>
    <x v="1"/>
    <n v="0"/>
    <x v="5"/>
    <m/>
    <m/>
    <m/>
    <m/>
    <m/>
    <s v="Cancelled (Lead Stage)"/>
    <x v="0"/>
  </r>
  <r>
    <s v="L1761"/>
    <x v="1"/>
    <x v="0"/>
    <d v="2025-10-04T00:00:00"/>
    <n v="1"/>
    <d v="2025-10-05T00:00:00"/>
    <n v="1"/>
    <d v="2025-10-06T00:00:00"/>
    <n v="1"/>
    <d v="2025-10-10T00:00:00"/>
    <n v="1"/>
    <x v="0"/>
    <n v="1"/>
    <x v="0"/>
    <d v="2025-10-29T00:00:00"/>
    <n v="1"/>
    <n v="1"/>
    <n v="4"/>
    <n v="8"/>
    <s v="Lead"/>
    <x v="1"/>
  </r>
  <r>
    <s v="L1774"/>
    <x v="3"/>
    <x v="2"/>
    <d v="2025-10-04T00:00:00"/>
    <n v="1"/>
    <m/>
    <n v="0"/>
    <m/>
    <n v="0"/>
    <m/>
    <n v="0"/>
    <x v="1"/>
    <n v="0"/>
    <x v="3"/>
    <m/>
    <m/>
    <m/>
    <m/>
    <m/>
    <s v="Cancelled (Lead Stage)"/>
    <x v="0"/>
  </r>
  <r>
    <s v="L1797"/>
    <x v="3"/>
    <x v="0"/>
    <d v="2025-10-04T00:00:00"/>
    <n v="1"/>
    <d v="2025-10-07T00:00:00"/>
    <n v="1"/>
    <d v="2025-10-12T00:00:00"/>
    <n v="1"/>
    <d v="2025-10-16T00:00:00"/>
    <n v="1"/>
    <x v="0"/>
    <n v="1"/>
    <x v="0"/>
    <d v="2025-10-26T00:00:00"/>
    <n v="3"/>
    <n v="5"/>
    <n v="4"/>
    <n v="7"/>
    <s v="Lead"/>
    <x v="1"/>
  </r>
  <r>
    <s v="L1804"/>
    <x v="0"/>
    <x v="0"/>
    <d v="2025-10-04T00:00:00"/>
    <n v="1"/>
    <d v="2025-10-06T00:00:00"/>
    <n v="1"/>
    <d v="2025-10-08T00:00:00"/>
    <n v="1"/>
    <d v="2025-10-13T00:00:00"/>
    <n v="1"/>
    <x v="0"/>
    <n v="1"/>
    <x v="0"/>
    <d v="2025-10-28T00:00:00"/>
    <n v="2"/>
    <n v="2"/>
    <n v="5"/>
    <n v="9"/>
    <s v="Lead"/>
    <x v="2"/>
  </r>
  <r>
    <s v="L1805"/>
    <x v="2"/>
    <x v="2"/>
    <d v="2025-10-04T00:00:00"/>
    <n v="1"/>
    <m/>
    <n v="0"/>
    <m/>
    <n v="0"/>
    <m/>
    <n v="0"/>
    <x v="1"/>
    <n v="0"/>
    <x v="4"/>
    <m/>
    <m/>
    <m/>
    <m/>
    <m/>
    <s v="Cancelled (Lead Stage)"/>
    <x v="0"/>
  </r>
  <r>
    <s v="L1827"/>
    <x v="3"/>
    <x v="2"/>
    <d v="2025-10-04T00:00:00"/>
    <n v="1"/>
    <m/>
    <n v="0"/>
    <m/>
    <n v="0"/>
    <m/>
    <n v="0"/>
    <x v="1"/>
    <n v="0"/>
    <x v="2"/>
    <m/>
    <m/>
    <m/>
    <m/>
    <m/>
    <s v="Cancelled (Lead Stage)"/>
    <x v="0"/>
  </r>
  <r>
    <s v="L1845"/>
    <x v="1"/>
    <x v="0"/>
    <d v="2025-10-04T00:00:00"/>
    <n v="1"/>
    <d v="2025-10-07T00:00:00"/>
    <n v="1"/>
    <d v="2025-10-10T00:00:00"/>
    <n v="1"/>
    <d v="2025-10-15T00:00:00"/>
    <n v="1"/>
    <x v="0"/>
    <n v="1"/>
    <x v="0"/>
    <d v="2025-11-14T00:00:00"/>
    <n v="3"/>
    <n v="3"/>
    <n v="5"/>
    <n v="7"/>
    <s v="Lead"/>
    <x v="1"/>
  </r>
  <r>
    <s v="L1857"/>
    <x v="1"/>
    <x v="0"/>
    <d v="2025-10-04T00:00:00"/>
    <n v="1"/>
    <d v="2025-10-07T00:00:00"/>
    <n v="1"/>
    <d v="2025-10-11T00:00:00"/>
    <n v="1"/>
    <d v="2025-10-15T00:00:00"/>
    <n v="1"/>
    <x v="0"/>
    <n v="1"/>
    <x v="0"/>
    <d v="2025-10-29T00:00:00"/>
    <n v="3"/>
    <n v="4"/>
    <n v="4"/>
    <n v="3"/>
    <s v="Lead"/>
    <x v="0"/>
  </r>
  <r>
    <s v="L1902"/>
    <x v="2"/>
    <x v="0"/>
    <d v="2025-10-04T00:00:00"/>
    <n v="1"/>
    <d v="2025-10-08T00:00:00"/>
    <n v="1"/>
    <d v="2025-10-09T00:00:00"/>
    <n v="1"/>
    <d v="2025-10-13T00:00:00"/>
    <n v="1"/>
    <x v="0"/>
    <n v="1"/>
    <x v="0"/>
    <d v="2025-10-25T00:00:00"/>
    <n v="4"/>
    <n v="1"/>
    <n v="4"/>
    <n v="5"/>
    <s v="Lead"/>
    <x v="0"/>
  </r>
  <r>
    <s v="L1922"/>
    <x v="0"/>
    <x v="0"/>
    <d v="2025-10-04T00:00:00"/>
    <n v="1"/>
    <d v="2025-10-07T00:00:00"/>
    <n v="1"/>
    <d v="2025-10-09T00:00:00"/>
    <n v="1"/>
    <d v="2025-10-12T00:00:00"/>
    <n v="1"/>
    <x v="0"/>
    <n v="1"/>
    <x v="0"/>
    <d v="2025-11-04T00:00:00"/>
    <n v="3"/>
    <n v="2"/>
    <n v="3"/>
    <n v="6"/>
    <s v="Lead"/>
    <x v="0"/>
  </r>
  <r>
    <s v="L1931"/>
    <x v="2"/>
    <x v="1"/>
    <d v="2025-10-04T00:00:00"/>
    <n v="1"/>
    <d v="2025-10-07T00:00:00"/>
    <n v="1"/>
    <d v="2025-10-08T00:00:00"/>
    <n v="1"/>
    <d v="2025-10-13T00:00:00"/>
    <n v="1"/>
    <x v="0"/>
    <n v="1"/>
    <x v="0"/>
    <d v="2025-11-02T00:00:00"/>
    <n v="3"/>
    <n v="1"/>
    <n v="5"/>
    <n v="9"/>
    <s v="Lead"/>
    <x v="2"/>
  </r>
  <r>
    <s v="L1955"/>
    <x v="1"/>
    <x v="0"/>
    <d v="2025-10-04T00:00:00"/>
    <n v="1"/>
    <d v="2025-10-08T00:00:00"/>
    <n v="1"/>
    <d v="2025-10-12T00:00:00"/>
    <n v="1"/>
    <d v="2025-10-18T00:00:00"/>
    <n v="1"/>
    <x v="0"/>
    <n v="1"/>
    <x v="0"/>
    <d v="2025-11-01T00:00:00"/>
    <n v="4"/>
    <n v="4"/>
    <n v="6"/>
    <n v="2"/>
    <s v="Lead"/>
    <x v="0"/>
  </r>
  <r>
    <s v="L1983"/>
    <x v="1"/>
    <x v="0"/>
    <d v="2025-10-04T00:00:00"/>
    <n v="1"/>
    <d v="2025-10-09T00:00:00"/>
    <n v="1"/>
    <d v="2025-10-10T00:00:00"/>
    <n v="1"/>
    <d v="2025-10-16T00:00:00"/>
    <n v="1"/>
    <x v="0"/>
    <n v="1"/>
    <x v="0"/>
    <d v="2025-10-29T00:00:00"/>
    <n v="5"/>
    <n v="1"/>
    <n v="6"/>
    <n v="2"/>
    <s v="Lead"/>
    <x v="0"/>
  </r>
  <r>
    <s v="L1986"/>
    <x v="1"/>
    <x v="1"/>
    <d v="2025-10-04T00:00:00"/>
    <n v="1"/>
    <d v="2025-10-07T00:00:00"/>
    <n v="1"/>
    <d v="2025-10-08T00:00:00"/>
    <n v="1"/>
    <d v="2025-10-15T00:00:00"/>
    <n v="1"/>
    <x v="0"/>
    <n v="1"/>
    <x v="0"/>
    <d v="2025-10-26T00:00:00"/>
    <n v="3"/>
    <n v="1"/>
    <n v="7"/>
    <n v="8"/>
    <s v="Lead"/>
    <x v="1"/>
  </r>
  <r>
    <s v="L1041"/>
    <x v="0"/>
    <x v="0"/>
    <d v="2025-10-03T00:00:00"/>
    <n v="1"/>
    <d v="2025-10-06T00:00:00"/>
    <n v="1"/>
    <d v="2025-10-08T00:00:00"/>
    <n v="1"/>
    <d v="2025-10-14T00:00:00"/>
    <n v="1"/>
    <x v="0"/>
    <n v="1"/>
    <x v="0"/>
    <d v="2025-11-04T00:00:00"/>
    <n v="3"/>
    <n v="2"/>
    <n v="6"/>
    <n v="6"/>
    <s v="Lead"/>
    <x v="0"/>
  </r>
  <r>
    <s v="L1075"/>
    <x v="1"/>
    <x v="1"/>
    <d v="2025-10-03T00:00:00"/>
    <n v="1"/>
    <d v="2025-10-06T00:00:00"/>
    <n v="1"/>
    <d v="2025-10-11T00:00:00"/>
    <n v="1"/>
    <d v="2025-10-18T00:00:00"/>
    <n v="1"/>
    <x v="0"/>
    <n v="1"/>
    <x v="0"/>
    <d v="2025-11-09T00:00:00"/>
    <n v="3"/>
    <n v="5"/>
    <n v="7"/>
    <n v="1"/>
    <s v="Lead"/>
    <x v="0"/>
  </r>
  <r>
    <s v="L1091"/>
    <x v="3"/>
    <x v="1"/>
    <d v="2025-10-03T00:00:00"/>
    <n v="1"/>
    <d v="2025-10-08T00:00:00"/>
    <n v="1"/>
    <d v="2025-10-13T00:00:00"/>
    <n v="1"/>
    <d v="2025-10-16T00:00:00"/>
    <n v="1"/>
    <x v="0"/>
    <n v="1"/>
    <x v="0"/>
    <d v="2025-11-13T00:00:00"/>
    <n v="5"/>
    <n v="5"/>
    <n v="3"/>
    <n v="9"/>
    <s v="Lead"/>
    <x v="2"/>
  </r>
  <r>
    <s v="L1180"/>
    <x v="0"/>
    <x v="1"/>
    <d v="2025-10-03T00:00:00"/>
    <n v="1"/>
    <d v="2025-10-04T00:00:00"/>
    <n v="1"/>
    <d v="2025-10-05T00:00:00"/>
    <n v="1"/>
    <d v="2025-10-07T00:00:00"/>
    <n v="1"/>
    <x v="0"/>
    <n v="1"/>
    <x v="0"/>
    <d v="2025-11-05T00:00:00"/>
    <n v="1"/>
    <n v="1"/>
    <n v="2"/>
    <n v="1"/>
    <s v="Lead"/>
    <x v="0"/>
  </r>
  <r>
    <s v="L1183"/>
    <x v="2"/>
    <x v="1"/>
    <d v="2025-10-03T00:00:00"/>
    <n v="1"/>
    <d v="2025-10-04T00:00:00"/>
    <n v="1"/>
    <d v="2025-10-07T00:00:00"/>
    <n v="1"/>
    <d v="2025-10-14T00:00:00"/>
    <n v="1"/>
    <x v="0"/>
    <n v="1"/>
    <x v="0"/>
    <d v="2025-10-24T00:00:00"/>
    <n v="1"/>
    <n v="3"/>
    <n v="7"/>
    <n v="6"/>
    <s v="Lead"/>
    <x v="0"/>
  </r>
  <r>
    <s v="L1194"/>
    <x v="2"/>
    <x v="0"/>
    <d v="2025-10-03T00:00:00"/>
    <n v="1"/>
    <d v="2025-10-06T00:00:00"/>
    <n v="1"/>
    <d v="2025-10-10T00:00:00"/>
    <n v="1"/>
    <d v="2025-10-12T00:00:00"/>
    <n v="1"/>
    <x v="0"/>
    <n v="1"/>
    <x v="0"/>
    <d v="2025-10-25T00:00:00"/>
    <n v="3"/>
    <n v="4"/>
    <n v="2"/>
    <n v="3"/>
    <s v="Lead"/>
    <x v="0"/>
  </r>
  <r>
    <s v="L1230"/>
    <x v="3"/>
    <x v="0"/>
    <d v="2025-10-03T00:00:00"/>
    <n v="1"/>
    <d v="2025-10-04T00:00:00"/>
    <n v="1"/>
    <d v="2025-10-08T00:00:00"/>
    <n v="1"/>
    <d v="2025-10-12T00:00:00"/>
    <n v="1"/>
    <x v="0"/>
    <n v="1"/>
    <x v="0"/>
    <d v="2025-10-22T00:00:00"/>
    <n v="1"/>
    <n v="4"/>
    <n v="4"/>
    <n v="2"/>
    <s v="Lead"/>
    <x v="0"/>
  </r>
  <r>
    <s v="L1235"/>
    <x v="2"/>
    <x v="1"/>
    <d v="2025-10-03T00:00:00"/>
    <n v="1"/>
    <d v="2025-10-05T00:00:00"/>
    <n v="1"/>
    <d v="2025-10-08T00:00:00"/>
    <n v="1"/>
    <d v="2025-10-12T00:00:00"/>
    <n v="1"/>
    <x v="0"/>
    <n v="1"/>
    <x v="0"/>
    <d v="2025-11-11T00:00:00"/>
    <n v="2"/>
    <n v="3"/>
    <n v="4"/>
    <n v="7"/>
    <s v="Lead"/>
    <x v="1"/>
  </r>
  <r>
    <s v="L1252"/>
    <x v="0"/>
    <x v="1"/>
    <d v="2025-10-03T00:00:00"/>
    <n v="1"/>
    <d v="2025-10-07T00:00:00"/>
    <n v="1"/>
    <d v="2025-10-09T00:00:00"/>
    <n v="1"/>
    <d v="2025-10-13T00:00:00"/>
    <n v="1"/>
    <x v="0"/>
    <n v="1"/>
    <x v="0"/>
    <d v="2025-11-01T00:00:00"/>
    <n v="4"/>
    <n v="2"/>
    <n v="4"/>
    <n v="10"/>
    <s v="Lead"/>
    <x v="2"/>
  </r>
  <r>
    <s v="L1275"/>
    <x v="2"/>
    <x v="1"/>
    <d v="2025-10-03T00:00:00"/>
    <n v="1"/>
    <d v="2025-10-04T00:00:00"/>
    <n v="1"/>
    <d v="2025-10-09T00:00:00"/>
    <n v="1"/>
    <d v="2025-10-13T00:00:00"/>
    <n v="1"/>
    <x v="0"/>
    <n v="1"/>
    <x v="0"/>
    <d v="2025-11-06T00:00:00"/>
    <n v="1"/>
    <n v="5"/>
    <n v="4"/>
    <n v="10"/>
    <s v="Lead"/>
    <x v="2"/>
  </r>
  <r>
    <s v="L1299"/>
    <x v="0"/>
    <x v="2"/>
    <d v="2025-10-03T00:00:00"/>
    <n v="1"/>
    <m/>
    <n v="0"/>
    <m/>
    <n v="0"/>
    <m/>
    <n v="0"/>
    <x v="1"/>
    <n v="0"/>
    <x v="3"/>
    <m/>
    <m/>
    <m/>
    <m/>
    <m/>
    <s v="Cancelled (Lead Stage)"/>
    <x v="0"/>
  </r>
  <r>
    <s v="L1309"/>
    <x v="3"/>
    <x v="0"/>
    <d v="2025-10-03T00:00:00"/>
    <n v="1"/>
    <d v="2025-10-05T00:00:00"/>
    <n v="1"/>
    <d v="2025-10-08T00:00:00"/>
    <n v="1"/>
    <d v="2025-10-12T00:00:00"/>
    <n v="1"/>
    <x v="0"/>
    <n v="1"/>
    <x v="0"/>
    <d v="2025-11-06T00:00:00"/>
    <n v="2"/>
    <n v="3"/>
    <n v="4"/>
    <n v="5"/>
    <s v="Lead"/>
    <x v="0"/>
  </r>
  <r>
    <s v="L1340"/>
    <x v="3"/>
    <x v="0"/>
    <d v="2025-10-03T00:00:00"/>
    <n v="1"/>
    <d v="2025-10-04T00:00:00"/>
    <n v="1"/>
    <d v="2025-10-05T00:00:00"/>
    <n v="1"/>
    <d v="2025-10-09T00:00:00"/>
    <n v="1"/>
    <x v="0"/>
    <n v="1"/>
    <x v="0"/>
    <d v="2025-10-21T00:00:00"/>
    <n v="1"/>
    <n v="1"/>
    <n v="4"/>
    <n v="10"/>
    <s v="Lead"/>
    <x v="2"/>
  </r>
  <r>
    <s v="L1363"/>
    <x v="0"/>
    <x v="0"/>
    <d v="2025-10-03T00:00:00"/>
    <n v="1"/>
    <d v="2025-10-05T00:00:00"/>
    <n v="1"/>
    <d v="2025-10-10T00:00:00"/>
    <n v="1"/>
    <d v="2025-10-12T00:00:00"/>
    <n v="1"/>
    <x v="0"/>
    <n v="1"/>
    <x v="0"/>
    <d v="2025-11-10T00:00:00"/>
    <n v="2"/>
    <n v="5"/>
    <n v="2"/>
    <n v="4"/>
    <s v="Lead"/>
    <x v="0"/>
  </r>
  <r>
    <s v="L1413"/>
    <x v="3"/>
    <x v="1"/>
    <d v="2025-10-03T00:00:00"/>
    <n v="1"/>
    <d v="2025-10-05T00:00:00"/>
    <n v="1"/>
    <d v="2025-10-07T00:00:00"/>
    <n v="1"/>
    <d v="2025-10-14T00:00:00"/>
    <n v="1"/>
    <x v="0"/>
    <n v="1"/>
    <x v="0"/>
    <d v="2025-11-08T00:00:00"/>
    <n v="2"/>
    <n v="2"/>
    <n v="7"/>
    <n v="3"/>
    <s v="Lead"/>
    <x v="0"/>
  </r>
  <r>
    <s v="L1448"/>
    <x v="0"/>
    <x v="0"/>
    <d v="2025-10-03T00:00:00"/>
    <n v="1"/>
    <d v="2025-10-07T00:00:00"/>
    <n v="1"/>
    <d v="2025-10-12T00:00:00"/>
    <n v="1"/>
    <d v="2025-10-19T00:00:00"/>
    <n v="1"/>
    <x v="0"/>
    <n v="1"/>
    <x v="0"/>
    <d v="2025-10-30T00:00:00"/>
    <n v="4"/>
    <n v="5"/>
    <n v="7"/>
    <n v="3"/>
    <s v="Lead"/>
    <x v="0"/>
  </r>
  <r>
    <s v="L1531"/>
    <x v="3"/>
    <x v="1"/>
    <d v="2025-10-03T00:00:00"/>
    <n v="1"/>
    <d v="2025-10-04T00:00:00"/>
    <n v="1"/>
    <d v="2025-10-07T00:00:00"/>
    <n v="1"/>
    <d v="2025-10-11T00:00:00"/>
    <n v="1"/>
    <x v="0"/>
    <n v="1"/>
    <x v="0"/>
    <d v="2025-11-03T00:00:00"/>
    <n v="1"/>
    <n v="3"/>
    <n v="4"/>
    <n v="2"/>
    <s v="Lead"/>
    <x v="0"/>
  </r>
  <r>
    <s v="L1540"/>
    <x v="1"/>
    <x v="1"/>
    <d v="2025-10-03T00:00:00"/>
    <n v="1"/>
    <d v="2025-10-04T00:00:00"/>
    <n v="1"/>
    <d v="2025-10-05T00:00:00"/>
    <n v="1"/>
    <d v="2025-10-11T00:00:00"/>
    <n v="1"/>
    <x v="0"/>
    <n v="1"/>
    <x v="0"/>
    <d v="2025-10-25T00:00:00"/>
    <n v="1"/>
    <n v="1"/>
    <n v="6"/>
    <n v="9"/>
    <s v="Lead"/>
    <x v="2"/>
  </r>
  <r>
    <s v="L1559"/>
    <x v="2"/>
    <x v="2"/>
    <d v="2025-10-03T00:00:00"/>
    <n v="1"/>
    <m/>
    <n v="0"/>
    <m/>
    <n v="0"/>
    <m/>
    <n v="0"/>
    <x v="1"/>
    <n v="0"/>
    <x v="5"/>
    <m/>
    <m/>
    <m/>
    <m/>
    <m/>
    <s v="Cancelled (Lead Stage)"/>
    <x v="0"/>
  </r>
  <r>
    <s v="L1567"/>
    <x v="2"/>
    <x v="2"/>
    <d v="2025-10-03T00:00:00"/>
    <n v="1"/>
    <m/>
    <n v="0"/>
    <m/>
    <n v="0"/>
    <m/>
    <n v="0"/>
    <x v="1"/>
    <n v="0"/>
    <x v="1"/>
    <m/>
    <m/>
    <m/>
    <m/>
    <m/>
    <s v="Cancelled (Lead Stage)"/>
    <x v="0"/>
  </r>
  <r>
    <s v="L1599"/>
    <x v="1"/>
    <x v="0"/>
    <d v="2025-10-03T00:00:00"/>
    <n v="1"/>
    <d v="2025-10-06T00:00:00"/>
    <n v="1"/>
    <d v="2025-10-08T00:00:00"/>
    <n v="1"/>
    <d v="2025-10-12T00:00:00"/>
    <n v="1"/>
    <x v="0"/>
    <n v="1"/>
    <x v="0"/>
    <d v="2025-10-29T00:00:00"/>
    <n v="3"/>
    <n v="2"/>
    <n v="4"/>
    <n v="4"/>
    <s v="Lead"/>
    <x v="0"/>
  </r>
  <r>
    <s v="L1626"/>
    <x v="1"/>
    <x v="0"/>
    <d v="2025-10-03T00:00:00"/>
    <n v="1"/>
    <d v="2025-10-08T00:00:00"/>
    <n v="1"/>
    <d v="2025-10-10T00:00:00"/>
    <n v="1"/>
    <d v="2025-10-12T00:00:00"/>
    <n v="1"/>
    <x v="0"/>
    <n v="1"/>
    <x v="0"/>
    <d v="2025-11-11T00:00:00"/>
    <n v="5"/>
    <n v="2"/>
    <n v="2"/>
    <n v="1"/>
    <s v="Lead"/>
    <x v="0"/>
  </r>
  <r>
    <s v="L1706"/>
    <x v="0"/>
    <x v="0"/>
    <d v="2025-10-03T00:00:00"/>
    <n v="1"/>
    <d v="2025-10-07T00:00:00"/>
    <n v="1"/>
    <d v="2025-10-11T00:00:00"/>
    <n v="1"/>
    <d v="2025-10-14T00:00:00"/>
    <n v="1"/>
    <x v="0"/>
    <n v="1"/>
    <x v="0"/>
    <d v="2025-11-03T00:00:00"/>
    <n v="4"/>
    <n v="4"/>
    <n v="3"/>
    <n v="6"/>
    <s v="Lead"/>
    <x v="0"/>
  </r>
  <r>
    <s v="L1740"/>
    <x v="3"/>
    <x v="0"/>
    <d v="2025-10-03T00:00:00"/>
    <n v="1"/>
    <d v="2025-10-08T00:00:00"/>
    <n v="1"/>
    <d v="2025-10-13T00:00:00"/>
    <n v="1"/>
    <d v="2025-10-20T00:00:00"/>
    <n v="1"/>
    <x v="0"/>
    <n v="1"/>
    <x v="0"/>
    <d v="2025-11-05T00:00:00"/>
    <n v="5"/>
    <n v="5"/>
    <n v="7"/>
    <n v="1"/>
    <s v="Lead"/>
    <x v="0"/>
  </r>
  <r>
    <s v="L1755"/>
    <x v="2"/>
    <x v="0"/>
    <d v="2025-10-03T00:00:00"/>
    <n v="1"/>
    <d v="2025-10-07T00:00:00"/>
    <n v="1"/>
    <d v="2025-10-08T00:00:00"/>
    <n v="1"/>
    <d v="2025-10-10T00:00:00"/>
    <n v="1"/>
    <x v="0"/>
    <n v="1"/>
    <x v="0"/>
    <d v="2025-10-24T00:00:00"/>
    <n v="4"/>
    <n v="1"/>
    <n v="2"/>
    <n v="5"/>
    <s v="Lead"/>
    <x v="0"/>
  </r>
  <r>
    <s v="L1788"/>
    <x v="1"/>
    <x v="1"/>
    <d v="2025-10-03T00:00:00"/>
    <n v="1"/>
    <d v="2025-10-05T00:00:00"/>
    <n v="1"/>
    <d v="2025-10-10T00:00:00"/>
    <n v="1"/>
    <d v="2025-10-12T00:00:00"/>
    <n v="1"/>
    <x v="0"/>
    <n v="1"/>
    <x v="0"/>
    <d v="2025-10-28T00:00:00"/>
    <n v="2"/>
    <n v="5"/>
    <n v="2"/>
    <n v="3"/>
    <s v="Lead"/>
    <x v="0"/>
  </r>
  <r>
    <s v="L1862"/>
    <x v="2"/>
    <x v="1"/>
    <d v="2025-10-03T00:00:00"/>
    <n v="1"/>
    <d v="2025-10-06T00:00:00"/>
    <n v="1"/>
    <d v="2025-10-09T00:00:00"/>
    <n v="1"/>
    <d v="2025-10-15T00:00:00"/>
    <n v="1"/>
    <x v="1"/>
    <n v="0"/>
    <x v="2"/>
    <m/>
    <n v="3"/>
    <n v="3"/>
    <n v="6"/>
    <m/>
    <s v="Cancelled (Lead Stage)"/>
    <x v="0"/>
  </r>
  <r>
    <s v="L1877"/>
    <x v="0"/>
    <x v="2"/>
    <d v="2025-10-03T00:00:00"/>
    <n v="1"/>
    <m/>
    <n v="0"/>
    <m/>
    <n v="0"/>
    <m/>
    <n v="0"/>
    <x v="1"/>
    <n v="0"/>
    <x v="2"/>
    <m/>
    <m/>
    <m/>
    <m/>
    <m/>
    <s v="Cancelled (Lead Stage)"/>
    <x v="0"/>
  </r>
  <r>
    <s v="L1924"/>
    <x v="3"/>
    <x v="1"/>
    <d v="2025-10-03T00:00:00"/>
    <n v="1"/>
    <d v="2025-10-04T00:00:00"/>
    <n v="1"/>
    <d v="2025-10-05T00:00:00"/>
    <n v="1"/>
    <d v="2025-10-08T00:00:00"/>
    <n v="1"/>
    <x v="0"/>
    <n v="1"/>
    <x v="0"/>
    <d v="2025-10-21T00:00:00"/>
    <n v="1"/>
    <n v="1"/>
    <n v="3"/>
    <n v="6"/>
    <s v="Lead"/>
    <x v="0"/>
  </r>
  <r>
    <s v="L1960"/>
    <x v="1"/>
    <x v="1"/>
    <d v="2025-10-03T00:00:00"/>
    <n v="1"/>
    <d v="2025-10-08T00:00:00"/>
    <n v="1"/>
    <d v="2025-10-10T00:00:00"/>
    <n v="1"/>
    <d v="2025-10-13T00:00:00"/>
    <n v="1"/>
    <x v="0"/>
    <n v="1"/>
    <x v="0"/>
    <d v="2025-10-26T00:00:00"/>
    <n v="5"/>
    <n v="2"/>
    <n v="3"/>
    <n v="8"/>
    <s v="Lead"/>
    <x v="1"/>
  </r>
  <r>
    <s v="L1962"/>
    <x v="3"/>
    <x v="2"/>
    <d v="2025-10-03T00:00:00"/>
    <n v="1"/>
    <m/>
    <n v="0"/>
    <m/>
    <n v="0"/>
    <m/>
    <n v="0"/>
    <x v="1"/>
    <n v="0"/>
    <x v="4"/>
    <m/>
    <m/>
    <m/>
    <m/>
    <m/>
    <s v="Cancelled (Lead Stage)"/>
    <x v="0"/>
  </r>
  <r>
    <s v="L1966"/>
    <x v="0"/>
    <x v="0"/>
    <d v="2025-10-03T00:00:00"/>
    <n v="1"/>
    <d v="2025-10-08T00:00:00"/>
    <n v="1"/>
    <d v="2025-10-10T00:00:00"/>
    <n v="1"/>
    <d v="2025-10-13T00:00:00"/>
    <n v="1"/>
    <x v="0"/>
    <n v="1"/>
    <x v="0"/>
    <d v="2025-11-06T00:00:00"/>
    <n v="5"/>
    <n v="2"/>
    <n v="3"/>
    <n v="4"/>
    <s v="Lead"/>
    <x v="0"/>
  </r>
  <r>
    <s v="L1151"/>
    <x v="2"/>
    <x v="2"/>
    <d v="2025-10-02T00:00:00"/>
    <n v="1"/>
    <m/>
    <n v="0"/>
    <m/>
    <n v="0"/>
    <m/>
    <n v="0"/>
    <x v="1"/>
    <n v="0"/>
    <x v="4"/>
    <m/>
    <m/>
    <m/>
    <m/>
    <m/>
    <s v="Cancelled (Lead Stage)"/>
    <x v="0"/>
  </r>
  <r>
    <s v="L1152"/>
    <x v="2"/>
    <x v="2"/>
    <d v="2025-10-02T00:00:00"/>
    <n v="1"/>
    <m/>
    <n v="0"/>
    <m/>
    <n v="0"/>
    <m/>
    <n v="0"/>
    <x v="1"/>
    <n v="0"/>
    <x v="3"/>
    <m/>
    <m/>
    <m/>
    <m/>
    <m/>
    <s v="Cancelled (Lead Stage)"/>
    <x v="0"/>
  </r>
  <r>
    <s v="L1173"/>
    <x v="3"/>
    <x v="1"/>
    <d v="2025-10-02T00:00:00"/>
    <n v="1"/>
    <d v="2025-10-04T00:00:00"/>
    <n v="1"/>
    <d v="2025-10-06T00:00:00"/>
    <n v="1"/>
    <d v="2025-10-08T00:00:00"/>
    <n v="1"/>
    <x v="0"/>
    <n v="1"/>
    <x v="0"/>
    <d v="2025-10-23T00:00:00"/>
    <n v="2"/>
    <n v="2"/>
    <n v="2"/>
    <n v="6"/>
    <s v="Lead"/>
    <x v="0"/>
  </r>
  <r>
    <s v="L1187"/>
    <x v="0"/>
    <x v="1"/>
    <d v="2025-10-02T00:00:00"/>
    <n v="1"/>
    <d v="2025-10-07T00:00:00"/>
    <n v="1"/>
    <d v="2025-10-10T00:00:00"/>
    <n v="1"/>
    <d v="2025-10-15T00:00:00"/>
    <n v="1"/>
    <x v="0"/>
    <n v="1"/>
    <x v="0"/>
    <d v="2025-11-13T00:00:00"/>
    <n v="5"/>
    <n v="3"/>
    <n v="5"/>
    <n v="7"/>
    <s v="Lead"/>
    <x v="1"/>
  </r>
  <r>
    <s v="L1218"/>
    <x v="0"/>
    <x v="2"/>
    <d v="2025-10-02T00:00:00"/>
    <n v="1"/>
    <m/>
    <n v="0"/>
    <m/>
    <n v="0"/>
    <m/>
    <n v="0"/>
    <x v="1"/>
    <n v="0"/>
    <x v="5"/>
    <m/>
    <m/>
    <m/>
    <m/>
    <m/>
    <s v="Cancelled (Lead Stage)"/>
    <x v="0"/>
  </r>
  <r>
    <s v="L1244"/>
    <x v="2"/>
    <x v="1"/>
    <d v="2025-10-02T00:00:00"/>
    <n v="1"/>
    <d v="2025-10-05T00:00:00"/>
    <n v="1"/>
    <d v="2025-10-08T00:00:00"/>
    <n v="1"/>
    <d v="2025-10-12T00:00:00"/>
    <n v="1"/>
    <x v="0"/>
    <n v="1"/>
    <x v="0"/>
    <d v="2025-10-28T00:00:00"/>
    <n v="3"/>
    <n v="3"/>
    <n v="4"/>
    <n v="6"/>
    <s v="Lead"/>
    <x v="0"/>
  </r>
  <r>
    <s v="L1276"/>
    <x v="2"/>
    <x v="0"/>
    <d v="2025-10-02T00:00:00"/>
    <n v="1"/>
    <d v="2025-10-05T00:00:00"/>
    <n v="1"/>
    <d v="2025-10-08T00:00:00"/>
    <n v="1"/>
    <d v="2025-10-15T00:00:00"/>
    <n v="1"/>
    <x v="0"/>
    <n v="1"/>
    <x v="0"/>
    <d v="2025-11-08T00:00:00"/>
    <n v="3"/>
    <n v="3"/>
    <n v="7"/>
    <n v="8"/>
    <s v="Lead"/>
    <x v="1"/>
  </r>
  <r>
    <s v="L1301"/>
    <x v="1"/>
    <x v="0"/>
    <d v="2025-10-02T00:00:00"/>
    <n v="1"/>
    <d v="2025-10-03T00:00:00"/>
    <n v="1"/>
    <d v="2025-10-04T00:00:00"/>
    <n v="1"/>
    <d v="2025-10-10T00:00:00"/>
    <n v="1"/>
    <x v="0"/>
    <n v="1"/>
    <x v="0"/>
    <d v="2025-11-07T00:00:00"/>
    <n v="1"/>
    <n v="1"/>
    <n v="6"/>
    <n v="8"/>
    <s v="Lead"/>
    <x v="1"/>
  </r>
  <r>
    <s v="L1324"/>
    <x v="2"/>
    <x v="1"/>
    <d v="2025-10-02T00:00:00"/>
    <n v="1"/>
    <d v="2025-10-07T00:00:00"/>
    <n v="1"/>
    <d v="2025-10-11T00:00:00"/>
    <n v="1"/>
    <d v="2025-10-13T00:00:00"/>
    <n v="1"/>
    <x v="1"/>
    <n v="0"/>
    <x v="4"/>
    <m/>
    <n v="5"/>
    <n v="4"/>
    <n v="2"/>
    <m/>
    <s v="Cancelled (Lead Stage)"/>
    <x v="0"/>
  </r>
  <r>
    <s v="L1361"/>
    <x v="3"/>
    <x v="0"/>
    <d v="2025-10-02T00:00:00"/>
    <n v="1"/>
    <d v="2025-10-06T00:00:00"/>
    <n v="1"/>
    <d v="2025-10-10T00:00:00"/>
    <n v="1"/>
    <d v="2025-10-12T00:00:00"/>
    <n v="1"/>
    <x v="0"/>
    <n v="1"/>
    <x v="0"/>
    <d v="2025-11-05T00:00:00"/>
    <n v="4"/>
    <n v="4"/>
    <n v="2"/>
    <n v="0"/>
    <s v="Lead"/>
    <x v="0"/>
  </r>
  <r>
    <s v="L1379"/>
    <x v="2"/>
    <x v="1"/>
    <d v="2025-10-02T00:00:00"/>
    <n v="1"/>
    <d v="2025-10-04T00:00:00"/>
    <n v="1"/>
    <d v="2025-10-08T00:00:00"/>
    <n v="1"/>
    <d v="2025-10-10T00:00:00"/>
    <n v="1"/>
    <x v="0"/>
    <n v="1"/>
    <x v="0"/>
    <d v="2025-11-07T00:00:00"/>
    <n v="2"/>
    <n v="4"/>
    <n v="2"/>
    <n v="10"/>
    <s v="Lead"/>
    <x v="2"/>
  </r>
  <r>
    <s v="L1389"/>
    <x v="0"/>
    <x v="0"/>
    <d v="2025-10-02T00:00:00"/>
    <n v="1"/>
    <d v="2025-10-05T00:00:00"/>
    <n v="1"/>
    <d v="2025-10-07T00:00:00"/>
    <n v="1"/>
    <d v="2025-10-14T00:00:00"/>
    <n v="1"/>
    <x v="0"/>
    <n v="1"/>
    <x v="0"/>
    <d v="2025-11-05T00:00:00"/>
    <n v="3"/>
    <n v="2"/>
    <n v="7"/>
    <n v="6"/>
    <s v="Lead"/>
    <x v="0"/>
  </r>
  <r>
    <s v="L1493"/>
    <x v="0"/>
    <x v="0"/>
    <d v="2025-10-02T00:00:00"/>
    <n v="1"/>
    <d v="2025-10-04T00:00:00"/>
    <n v="1"/>
    <d v="2025-10-09T00:00:00"/>
    <n v="1"/>
    <d v="2025-10-16T00:00:00"/>
    <n v="1"/>
    <x v="0"/>
    <n v="1"/>
    <x v="0"/>
    <d v="2025-11-02T00:00:00"/>
    <n v="2"/>
    <n v="5"/>
    <n v="7"/>
    <n v="1"/>
    <s v="Lead"/>
    <x v="0"/>
  </r>
  <r>
    <s v="L1509"/>
    <x v="2"/>
    <x v="0"/>
    <d v="2025-10-02T00:00:00"/>
    <n v="1"/>
    <d v="2025-10-03T00:00:00"/>
    <n v="1"/>
    <d v="2025-10-06T00:00:00"/>
    <n v="1"/>
    <d v="2025-10-08T00:00:00"/>
    <n v="1"/>
    <x v="0"/>
    <n v="1"/>
    <x v="0"/>
    <d v="2025-10-23T00:00:00"/>
    <n v="1"/>
    <n v="3"/>
    <n v="2"/>
    <n v="7"/>
    <s v="Lead"/>
    <x v="1"/>
  </r>
  <r>
    <s v="L1557"/>
    <x v="0"/>
    <x v="0"/>
    <d v="2025-10-02T00:00:00"/>
    <n v="1"/>
    <d v="2025-10-05T00:00:00"/>
    <n v="1"/>
    <d v="2025-10-10T00:00:00"/>
    <n v="1"/>
    <d v="2025-10-13T00:00:00"/>
    <n v="1"/>
    <x v="0"/>
    <n v="1"/>
    <x v="0"/>
    <d v="2025-10-31T00:00:00"/>
    <n v="3"/>
    <n v="5"/>
    <n v="3"/>
    <n v="2"/>
    <s v="Lead"/>
    <x v="0"/>
  </r>
  <r>
    <s v="L1581"/>
    <x v="3"/>
    <x v="0"/>
    <d v="2025-10-02T00:00:00"/>
    <n v="1"/>
    <d v="2025-10-03T00:00:00"/>
    <n v="1"/>
    <d v="2025-10-08T00:00:00"/>
    <n v="1"/>
    <d v="2025-10-13T00:00:00"/>
    <n v="1"/>
    <x v="0"/>
    <n v="1"/>
    <x v="0"/>
    <d v="2025-11-02T00:00:00"/>
    <n v="1"/>
    <n v="5"/>
    <n v="5"/>
    <n v="3"/>
    <s v="Lead"/>
    <x v="0"/>
  </r>
  <r>
    <s v="L1584"/>
    <x v="3"/>
    <x v="0"/>
    <d v="2025-10-02T00:00:00"/>
    <n v="1"/>
    <d v="2025-10-03T00:00:00"/>
    <n v="1"/>
    <d v="2025-10-08T00:00:00"/>
    <n v="1"/>
    <d v="2025-10-14T00:00:00"/>
    <n v="1"/>
    <x v="1"/>
    <n v="0"/>
    <x v="3"/>
    <m/>
    <n v="1"/>
    <n v="5"/>
    <n v="6"/>
    <m/>
    <s v="Cancelled (Lead Stage)"/>
    <x v="0"/>
  </r>
  <r>
    <s v="L1664"/>
    <x v="1"/>
    <x v="0"/>
    <d v="2025-10-02T00:00:00"/>
    <n v="1"/>
    <d v="2025-10-03T00:00:00"/>
    <n v="1"/>
    <d v="2025-10-04T00:00:00"/>
    <n v="1"/>
    <d v="2025-10-11T00:00:00"/>
    <n v="1"/>
    <x v="0"/>
    <n v="1"/>
    <x v="0"/>
    <d v="2025-10-29T00:00:00"/>
    <n v="1"/>
    <n v="1"/>
    <n v="7"/>
    <n v="9"/>
    <s v="Lead"/>
    <x v="2"/>
  </r>
  <r>
    <s v="L1697"/>
    <x v="3"/>
    <x v="2"/>
    <d v="2025-10-02T00:00:00"/>
    <n v="1"/>
    <m/>
    <n v="0"/>
    <m/>
    <n v="0"/>
    <m/>
    <n v="0"/>
    <x v="1"/>
    <n v="0"/>
    <x v="1"/>
    <m/>
    <m/>
    <m/>
    <m/>
    <m/>
    <s v="Cancelled (Lead Stage)"/>
    <x v="0"/>
  </r>
  <r>
    <s v="L1701"/>
    <x v="1"/>
    <x v="1"/>
    <d v="2025-10-02T00:00:00"/>
    <n v="1"/>
    <d v="2025-10-06T00:00:00"/>
    <n v="1"/>
    <d v="2025-10-09T00:00:00"/>
    <n v="1"/>
    <d v="2025-10-14T00:00:00"/>
    <n v="1"/>
    <x v="0"/>
    <n v="1"/>
    <x v="0"/>
    <d v="2025-11-06T00:00:00"/>
    <n v="4"/>
    <n v="3"/>
    <n v="5"/>
    <n v="9"/>
    <s v="Lead"/>
    <x v="2"/>
  </r>
  <r>
    <s v="L1799"/>
    <x v="2"/>
    <x v="2"/>
    <d v="2025-10-02T00:00:00"/>
    <n v="1"/>
    <m/>
    <n v="0"/>
    <m/>
    <n v="0"/>
    <m/>
    <n v="0"/>
    <x v="1"/>
    <n v="0"/>
    <x v="2"/>
    <m/>
    <m/>
    <m/>
    <m/>
    <m/>
    <s v="Cancelled (Lead Stage)"/>
    <x v="0"/>
  </r>
  <r>
    <s v="L1801"/>
    <x v="0"/>
    <x v="0"/>
    <d v="2025-10-02T00:00:00"/>
    <n v="1"/>
    <d v="2025-10-04T00:00:00"/>
    <n v="1"/>
    <d v="2025-10-06T00:00:00"/>
    <n v="1"/>
    <d v="2025-10-09T00:00:00"/>
    <n v="1"/>
    <x v="1"/>
    <n v="0"/>
    <x v="1"/>
    <m/>
    <n v="2"/>
    <n v="2"/>
    <n v="3"/>
    <m/>
    <s v="Cancelled (Lead Stage)"/>
    <x v="0"/>
  </r>
  <r>
    <s v="L1835"/>
    <x v="3"/>
    <x v="0"/>
    <d v="2025-10-02T00:00:00"/>
    <n v="1"/>
    <d v="2025-10-03T00:00:00"/>
    <n v="1"/>
    <d v="2025-10-04T00:00:00"/>
    <n v="1"/>
    <d v="2025-10-06T00:00:00"/>
    <n v="1"/>
    <x v="1"/>
    <n v="0"/>
    <x v="3"/>
    <m/>
    <n v="1"/>
    <n v="1"/>
    <n v="2"/>
    <m/>
    <s v="Cancelled (Lead Stage)"/>
    <x v="0"/>
  </r>
  <r>
    <s v="L1852"/>
    <x v="2"/>
    <x v="2"/>
    <d v="2025-10-02T00:00:00"/>
    <n v="1"/>
    <m/>
    <n v="0"/>
    <m/>
    <n v="0"/>
    <m/>
    <n v="0"/>
    <x v="1"/>
    <n v="0"/>
    <x v="1"/>
    <m/>
    <m/>
    <m/>
    <m/>
    <m/>
    <s v="Cancelled (Lead Stage)"/>
    <x v="0"/>
  </r>
  <r>
    <s v="L1869"/>
    <x v="2"/>
    <x v="0"/>
    <d v="2025-10-02T00:00:00"/>
    <n v="1"/>
    <d v="2025-10-03T00:00:00"/>
    <n v="1"/>
    <d v="2025-10-06T00:00:00"/>
    <n v="1"/>
    <d v="2025-10-09T00:00:00"/>
    <n v="1"/>
    <x v="0"/>
    <n v="1"/>
    <x v="0"/>
    <d v="2025-10-25T00:00:00"/>
    <n v="1"/>
    <n v="3"/>
    <n v="3"/>
    <n v="1"/>
    <s v="Lead"/>
    <x v="0"/>
  </r>
  <r>
    <s v="L1917"/>
    <x v="3"/>
    <x v="1"/>
    <d v="2025-10-02T00:00:00"/>
    <n v="1"/>
    <d v="2025-10-05T00:00:00"/>
    <n v="1"/>
    <d v="2025-10-06T00:00:00"/>
    <n v="1"/>
    <d v="2025-10-08T00:00:00"/>
    <n v="1"/>
    <x v="0"/>
    <n v="1"/>
    <x v="0"/>
    <d v="2025-10-19T00:00:00"/>
    <n v="3"/>
    <n v="1"/>
    <n v="2"/>
    <n v="8"/>
    <s v="Lead"/>
    <x v="1"/>
  </r>
  <r>
    <s v="L1937"/>
    <x v="3"/>
    <x v="2"/>
    <d v="2025-10-02T00:00:00"/>
    <n v="1"/>
    <m/>
    <n v="0"/>
    <m/>
    <n v="0"/>
    <m/>
    <n v="0"/>
    <x v="1"/>
    <n v="0"/>
    <x v="1"/>
    <m/>
    <m/>
    <m/>
    <m/>
    <m/>
    <s v="Cancelled (Lead Stage)"/>
    <x v="0"/>
  </r>
  <r>
    <s v="L1949"/>
    <x v="2"/>
    <x v="0"/>
    <d v="2025-10-02T00:00:00"/>
    <n v="1"/>
    <d v="2025-10-05T00:00:00"/>
    <n v="1"/>
    <d v="2025-10-07T00:00:00"/>
    <n v="1"/>
    <d v="2025-10-13T00:00:00"/>
    <n v="1"/>
    <x v="0"/>
    <n v="1"/>
    <x v="0"/>
    <d v="2025-11-04T00:00:00"/>
    <n v="3"/>
    <n v="2"/>
    <n v="6"/>
    <n v="2"/>
    <s v="Lead"/>
    <x v="0"/>
  </r>
  <r>
    <s v="L1002"/>
    <x v="0"/>
    <x v="2"/>
    <d v="2025-10-01T00:00:00"/>
    <n v="1"/>
    <m/>
    <n v="0"/>
    <m/>
    <n v="0"/>
    <m/>
    <n v="0"/>
    <x v="1"/>
    <n v="0"/>
    <x v="4"/>
    <m/>
    <m/>
    <m/>
    <m/>
    <m/>
    <s v="Cancelled (Lead Stage)"/>
    <x v="0"/>
  </r>
  <r>
    <s v="L1053"/>
    <x v="2"/>
    <x v="0"/>
    <d v="2025-10-01T00:00:00"/>
    <n v="1"/>
    <d v="2025-10-06T00:00:00"/>
    <n v="1"/>
    <d v="2025-10-08T00:00:00"/>
    <n v="1"/>
    <d v="2025-10-12T00:00:00"/>
    <n v="1"/>
    <x v="0"/>
    <n v="1"/>
    <x v="0"/>
    <d v="2025-11-11T00:00:00"/>
    <n v="5"/>
    <n v="2"/>
    <n v="4"/>
    <n v="4"/>
    <s v="Lead"/>
    <x v="0"/>
  </r>
  <r>
    <s v="L1071"/>
    <x v="1"/>
    <x v="0"/>
    <d v="2025-10-01T00:00:00"/>
    <n v="1"/>
    <d v="2025-10-04T00:00:00"/>
    <n v="1"/>
    <d v="2025-10-06T00:00:00"/>
    <n v="1"/>
    <d v="2025-10-08T00:00:00"/>
    <n v="1"/>
    <x v="0"/>
    <n v="1"/>
    <x v="0"/>
    <d v="2025-10-23T00:00:00"/>
    <n v="3"/>
    <n v="2"/>
    <n v="2"/>
    <n v="7"/>
    <s v="Lead"/>
    <x v="1"/>
  </r>
  <r>
    <s v="L1090"/>
    <x v="2"/>
    <x v="0"/>
    <d v="2025-10-01T00:00:00"/>
    <n v="1"/>
    <d v="2025-10-02T00:00:00"/>
    <n v="1"/>
    <d v="2025-10-05T00:00:00"/>
    <n v="1"/>
    <d v="2025-10-10T00:00:00"/>
    <n v="1"/>
    <x v="0"/>
    <n v="1"/>
    <x v="0"/>
    <d v="2025-11-09T00:00:00"/>
    <n v="1"/>
    <n v="3"/>
    <n v="5"/>
    <n v="0"/>
    <s v="Lead"/>
    <x v="0"/>
  </r>
  <r>
    <s v="L1146"/>
    <x v="1"/>
    <x v="1"/>
    <d v="2025-10-01T00:00:00"/>
    <n v="1"/>
    <d v="2025-10-03T00:00:00"/>
    <n v="1"/>
    <d v="2025-10-04T00:00:00"/>
    <n v="1"/>
    <d v="2025-10-08T00:00:00"/>
    <n v="1"/>
    <x v="0"/>
    <n v="1"/>
    <x v="0"/>
    <d v="2025-10-21T00:00:00"/>
    <n v="2"/>
    <n v="1"/>
    <n v="4"/>
    <n v="6"/>
    <s v="Lead"/>
    <x v="0"/>
  </r>
  <r>
    <s v="L1164"/>
    <x v="0"/>
    <x v="1"/>
    <d v="2025-10-01T00:00:00"/>
    <n v="1"/>
    <d v="2025-10-02T00:00:00"/>
    <n v="1"/>
    <d v="2025-10-03T00:00:00"/>
    <n v="1"/>
    <d v="2025-10-09T00:00:00"/>
    <n v="1"/>
    <x v="0"/>
    <n v="1"/>
    <x v="0"/>
    <d v="2025-10-27T00:00:00"/>
    <n v="1"/>
    <n v="1"/>
    <n v="6"/>
    <n v="6"/>
    <s v="Lead"/>
    <x v="0"/>
  </r>
  <r>
    <s v="L1237"/>
    <x v="2"/>
    <x v="0"/>
    <d v="2025-10-01T00:00:00"/>
    <n v="1"/>
    <d v="2025-10-04T00:00:00"/>
    <n v="1"/>
    <d v="2025-10-05T00:00:00"/>
    <n v="1"/>
    <d v="2025-10-12T00:00:00"/>
    <n v="1"/>
    <x v="0"/>
    <n v="1"/>
    <x v="0"/>
    <d v="2025-11-06T00:00:00"/>
    <n v="3"/>
    <n v="1"/>
    <n v="7"/>
    <n v="0"/>
    <s v="Lead"/>
    <x v="0"/>
  </r>
  <r>
    <s v="L1308"/>
    <x v="0"/>
    <x v="0"/>
    <d v="2025-10-01T00:00:00"/>
    <n v="1"/>
    <d v="2025-10-06T00:00:00"/>
    <n v="1"/>
    <d v="2025-10-08T00:00:00"/>
    <n v="1"/>
    <d v="2025-10-12T00:00:00"/>
    <n v="1"/>
    <x v="0"/>
    <n v="1"/>
    <x v="0"/>
    <d v="2025-11-08T00:00:00"/>
    <n v="5"/>
    <n v="2"/>
    <n v="4"/>
    <n v="6"/>
    <s v="Lead"/>
    <x v="0"/>
  </r>
  <r>
    <s v="L1318"/>
    <x v="1"/>
    <x v="0"/>
    <d v="2025-10-01T00:00:00"/>
    <n v="1"/>
    <d v="2025-10-03T00:00:00"/>
    <n v="1"/>
    <d v="2025-10-07T00:00:00"/>
    <n v="1"/>
    <d v="2025-10-09T00:00:00"/>
    <n v="1"/>
    <x v="0"/>
    <n v="1"/>
    <x v="0"/>
    <d v="2025-11-04T00:00:00"/>
    <n v="2"/>
    <n v="4"/>
    <n v="2"/>
    <n v="6"/>
    <s v="Lead"/>
    <x v="0"/>
  </r>
  <r>
    <s v="L1373"/>
    <x v="1"/>
    <x v="0"/>
    <d v="2025-10-01T00:00:00"/>
    <n v="1"/>
    <d v="2025-10-03T00:00:00"/>
    <n v="1"/>
    <d v="2025-10-04T00:00:00"/>
    <n v="1"/>
    <d v="2025-10-09T00:00:00"/>
    <n v="1"/>
    <x v="0"/>
    <n v="1"/>
    <x v="0"/>
    <d v="2025-11-06T00:00:00"/>
    <n v="2"/>
    <n v="1"/>
    <n v="5"/>
    <n v="2"/>
    <s v="Lead"/>
    <x v="0"/>
  </r>
  <r>
    <s v="L1401"/>
    <x v="1"/>
    <x v="0"/>
    <d v="2025-10-01T00:00:00"/>
    <n v="1"/>
    <d v="2025-10-02T00:00:00"/>
    <n v="1"/>
    <d v="2025-10-03T00:00:00"/>
    <n v="1"/>
    <d v="2025-10-06T00:00:00"/>
    <n v="1"/>
    <x v="0"/>
    <n v="1"/>
    <x v="0"/>
    <d v="2025-11-04T00:00:00"/>
    <n v="1"/>
    <n v="1"/>
    <n v="3"/>
    <n v="8"/>
    <s v="Lead"/>
    <x v="1"/>
  </r>
  <r>
    <s v="L1410"/>
    <x v="1"/>
    <x v="1"/>
    <d v="2025-10-01T00:00:00"/>
    <n v="1"/>
    <d v="2025-10-05T00:00:00"/>
    <n v="1"/>
    <d v="2025-10-09T00:00:00"/>
    <n v="1"/>
    <d v="2025-10-12T00:00:00"/>
    <n v="1"/>
    <x v="0"/>
    <n v="1"/>
    <x v="0"/>
    <d v="2025-11-01T00:00:00"/>
    <n v="4"/>
    <n v="4"/>
    <n v="3"/>
    <n v="1"/>
    <s v="Lead"/>
    <x v="0"/>
  </r>
  <r>
    <s v="L1460"/>
    <x v="2"/>
    <x v="0"/>
    <d v="2025-10-01T00:00:00"/>
    <n v="1"/>
    <d v="2025-10-05T00:00:00"/>
    <n v="1"/>
    <d v="2025-10-09T00:00:00"/>
    <n v="1"/>
    <d v="2025-10-15T00:00:00"/>
    <n v="1"/>
    <x v="1"/>
    <n v="0"/>
    <x v="2"/>
    <m/>
    <n v="4"/>
    <n v="4"/>
    <n v="6"/>
    <m/>
    <s v="Cancelled (Lead Stage)"/>
    <x v="0"/>
  </r>
  <r>
    <s v="L1524"/>
    <x v="2"/>
    <x v="0"/>
    <d v="2025-10-01T00:00:00"/>
    <n v="1"/>
    <d v="2025-10-06T00:00:00"/>
    <n v="1"/>
    <d v="2025-10-09T00:00:00"/>
    <n v="1"/>
    <d v="2025-10-16T00:00:00"/>
    <n v="1"/>
    <x v="0"/>
    <n v="1"/>
    <x v="0"/>
    <d v="2025-11-15T00:00:00"/>
    <n v="5"/>
    <n v="3"/>
    <n v="7"/>
    <n v="8"/>
    <s v="Lead"/>
    <x v="1"/>
  </r>
  <r>
    <s v="L1580"/>
    <x v="0"/>
    <x v="0"/>
    <d v="2025-10-01T00:00:00"/>
    <n v="1"/>
    <d v="2025-10-05T00:00:00"/>
    <n v="1"/>
    <d v="2025-10-07T00:00:00"/>
    <n v="1"/>
    <d v="2025-10-10T00:00:00"/>
    <n v="1"/>
    <x v="0"/>
    <n v="1"/>
    <x v="0"/>
    <d v="2025-10-22T00:00:00"/>
    <n v="4"/>
    <n v="2"/>
    <n v="3"/>
    <n v="6"/>
    <s v="Lead"/>
    <x v="0"/>
  </r>
  <r>
    <s v="L1617"/>
    <x v="0"/>
    <x v="1"/>
    <d v="2025-10-01T00:00:00"/>
    <n v="1"/>
    <d v="2025-10-04T00:00:00"/>
    <n v="1"/>
    <d v="2025-10-09T00:00:00"/>
    <n v="1"/>
    <d v="2025-10-13T00:00:00"/>
    <n v="1"/>
    <x v="0"/>
    <n v="1"/>
    <x v="0"/>
    <d v="2025-11-10T00:00:00"/>
    <n v="3"/>
    <n v="5"/>
    <n v="4"/>
    <n v="4"/>
    <s v="Lead"/>
    <x v="0"/>
  </r>
  <r>
    <s v="L1653"/>
    <x v="0"/>
    <x v="1"/>
    <d v="2025-10-01T00:00:00"/>
    <n v="1"/>
    <d v="2025-10-04T00:00:00"/>
    <n v="1"/>
    <d v="2025-10-05T00:00:00"/>
    <n v="1"/>
    <d v="2025-10-10T00:00:00"/>
    <n v="1"/>
    <x v="0"/>
    <n v="1"/>
    <x v="0"/>
    <d v="2025-10-27T00:00:00"/>
    <n v="3"/>
    <n v="1"/>
    <n v="5"/>
    <n v="3"/>
    <s v="Lead"/>
    <x v="0"/>
  </r>
  <r>
    <s v="L1658"/>
    <x v="3"/>
    <x v="0"/>
    <d v="2025-10-01T00:00:00"/>
    <n v="1"/>
    <d v="2025-10-02T00:00:00"/>
    <n v="1"/>
    <d v="2025-10-06T00:00:00"/>
    <n v="1"/>
    <d v="2025-10-10T00:00:00"/>
    <n v="1"/>
    <x v="1"/>
    <n v="0"/>
    <x v="1"/>
    <m/>
    <n v="1"/>
    <n v="4"/>
    <n v="4"/>
    <m/>
    <s v="Cancelled (Lead Stage)"/>
    <x v="0"/>
  </r>
  <r>
    <s v="L1758"/>
    <x v="1"/>
    <x v="1"/>
    <d v="2025-10-01T00:00:00"/>
    <n v="1"/>
    <d v="2025-10-03T00:00:00"/>
    <n v="1"/>
    <d v="2025-10-06T00:00:00"/>
    <n v="1"/>
    <d v="2025-10-09T00:00:00"/>
    <n v="1"/>
    <x v="0"/>
    <n v="1"/>
    <x v="0"/>
    <d v="2025-11-04T00:00:00"/>
    <n v="2"/>
    <n v="3"/>
    <n v="3"/>
    <n v="6"/>
    <s v="Lead"/>
    <x v="0"/>
  </r>
  <r>
    <s v="L1778"/>
    <x v="2"/>
    <x v="0"/>
    <d v="2025-10-01T00:00:00"/>
    <n v="1"/>
    <d v="2025-10-05T00:00:00"/>
    <n v="1"/>
    <d v="2025-10-06T00:00:00"/>
    <n v="1"/>
    <d v="2025-10-09T00:00:00"/>
    <n v="1"/>
    <x v="0"/>
    <n v="1"/>
    <x v="0"/>
    <d v="2025-11-04T00:00:00"/>
    <n v="4"/>
    <n v="1"/>
    <n v="3"/>
    <n v="3"/>
    <s v="Lead"/>
    <x v="0"/>
  </r>
  <r>
    <s v="L1868"/>
    <x v="1"/>
    <x v="0"/>
    <d v="2025-10-01T00:00:00"/>
    <n v="1"/>
    <d v="2025-10-06T00:00:00"/>
    <n v="1"/>
    <d v="2025-10-10T00:00:00"/>
    <n v="1"/>
    <d v="2025-10-12T00:00:00"/>
    <n v="1"/>
    <x v="0"/>
    <n v="1"/>
    <x v="0"/>
    <d v="2025-11-06T00:00:00"/>
    <n v="5"/>
    <n v="4"/>
    <n v="2"/>
    <n v="5"/>
    <s v="Lead"/>
    <x v="0"/>
  </r>
  <r>
    <s v="L1893"/>
    <x v="0"/>
    <x v="0"/>
    <d v="2025-10-01T00:00:00"/>
    <n v="1"/>
    <d v="2025-10-04T00:00:00"/>
    <n v="1"/>
    <d v="2025-10-07T00:00:00"/>
    <n v="1"/>
    <d v="2025-10-12T00:00:00"/>
    <n v="1"/>
    <x v="0"/>
    <n v="1"/>
    <x v="0"/>
    <d v="2025-10-24T00:00:00"/>
    <n v="3"/>
    <n v="3"/>
    <n v="5"/>
    <n v="7"/>
    <s v="Lead"/>
    <x v="1"/>
  </r>
  <r>
    <s v="L1905"/>
    <x v="3"/>
    <x v="0"/>
    <d v="2025-10-01T00:00:00"/>
    <n v="1"/>
    <d v="2025-10-05T00:00:00"/>
    <n v="1"/>
    <d v="2025-10-10T00:00:00"/>
    <n v="1"/>
    <d v="2025-10-13T00:00:00"/>
    <n v="1"/>
    <x v="0"/>
    <n v="1"/>
    <x v="0"/>
    <d v="2025-10-25T00:00:00"/>
    <n v="4"/>
    <n v="5"/>
    <n v="3"/>
    <n v="7"/>
    <s v="Lead"/>
    <x v="1"/>
  </r>
  <r>
    <s v="L1907"/>
    <x v="0"/>
    <x v="1"/>
    <d v="2025-10-01T00:00:00"/>
    <n v="1"/>
    <d v="2025-10-02T00:00:00"/>
    <n v="1"/>
    <d v="2025-10-07T00:00:00"/>
    <n v="1"/>
    <d v="2025-10-13T00:00:00"/>
    <n v="1"/>
    <x v="0"/>
    <n v="1"/>
    <x v="0"/>
    <d v="2025-10-31T00:00:00"/>
    <n v="1"/>
    <n v="5"/>
    <n v="6"/>
    <n v="2"/>
    <s v="Lead"/>
    <x v="0"/>
  </r>
  <r>
    <s v="L1914"/>
    <x v="1"/>
    <x v="1"/>
    <d v="2025-10-01T00:00:00"/>
    <n v="1"/>
    <d v="2025-10-04T00:00:00"/>
    <n v="1"/>
    <d v="2025-10-07T00:00:00"/>
    <n v="1"/>
    <d v="2025-10-12T00:00:00"/>
    <n v="1"/>
    <x v="0"/>
    <n v="1"/>
    <x v="0"/>
    <d v="2025-10-23T00:00:00"/>
    <n v="3"/>
    <n v="3"/>
    <n v="5"/>
    <n v="4"/>
    <s v="Lead"/>
    <x v="0"/>
  </r>
  <r>
    <s v="L1948"/>
    <x v="0"/>
    <x v="0"/>
    <d v="2025-10-01T00:00:00"/>
    <n v="1"/>
    <d v="2025-10-06T00:00:00"/>
    <n v="1"/>
    <d v="2025-10-11T00:00:00"/>
    <n v="1"/>
    <d v="2025-10-15T00:00:00"/>
    <n v="1"/>
    <x v="0"/>
    <n v="1"/>
    <x v="0"/>
    <d v="2025-11-02T00:00:00"/>
    <n v="5"/>
    <n v="5"/>
    <n v="4"/>
    <n v="8"/>
    <s v="Lea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D23D1E-3265-400A-B9B6-7B9533D42CF9}" name="PivotTable1" cacheId="0" applyNumberFormats="0" applyBorderFormats="0" applyFontFormats="0" applyPatternFormats="0" applyAlignmentFormats="0" applyWidthHeightFormats="1" dataCaption="Values" updatedVersion="8" minRefreshableVersion="3" useAutoFormatting="1" itemPrintTitles="1" createdVersion="4" indent="0" compact="0" compactData="0" multipleFieldFilters="0">
  <location ref="A3:B6" firstHeaderRow="1" firstDataRow="1" firstDataCol="1"/>
  <pivotFields count="21">
    <pivotField dataField="1" compact="0" outline="0" showAll="0"/>
    <pivotField compact="0" outline="0" showAll="0"/>
    <pivotField compact="0" outline="0" showAll="0"/>
    <pivotField compact="0" numFmtId="165" outline="0" showAll="0"/>
    <pivotField compact="0" numFmtId="1" outline="0" showAll="0"/>
    <pivotField compact="0" outline="0" showAll="0"/>
    <pivotField compact="0" numFmtId="1" outline="0" showAll="0"/>
    <pivotField compact="0" outline="0" showAll="0"/>
    <pivotField compact="0" numFmtId="1" outline="0" showAll="0"/>
    <pivotField compact="0" outline="0" showAll="0"/>
    <pivotField compact="0" numFmtId="1" outline="0" showAll="0"/>
    <pivotField axis="axisRow" compact="0" outline="0" showAll="0">
      <items count="3">
        <item x="0"/>
        <item x="1"/>
        <item t="default"/>
      </items>
    </pivotField>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3">
    <i>
      <x/>
    </i>
    <i>
      <x v="1"/>
    </i>
    <i t="grand">
      <x/>
    </i>
  </rowItems>
  <colItems count="1">
    <i/>
  </colItems>
  <dataFields count="1">
    <dataField name="Count of Lead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Funnel Pivot"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Store Name">
  <location ref="A1:F6" firstHeaderRow="0" firstDataRow="1" firstDataCol="1"/>
  <pivotFields count="21">
    <pivotField showAll="0"/>
    <pivotField axis="axisRow" showAll="0">
      <items count="5">
        <item x="1"/>
        <item x="3"/>
        <item x="2"/>
        <item x="0"/>
        <item t="default"/>
      </items>
    </pivotField>
    <pivotField showAll="0"/>
    <pivotField numFmtId="164" showAll="0"/>
    <pivotField dataField="1" numFmtId="1" showAll="0"/>
    <pivotField showAll="0"/>
    <pivotField dataField="1" numFmtId="1" showAll="0"/>
    <pivotField showAll="0"/>
    <pivotField dataField="1" numFmtId="1" showAll="0"/>
    <pivotField showAll="0"/>
    <pivotField dataField="1" numFmtId="1" showAll="0"/>
    <pivotField showAll="0"/>
    <pivotField dataField="1" numFmtId="1"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5">
    <i>
      <x/>
    </i>
    <i i="1">
      <x v="1"/>
    </i>
    <i i="2">
      <x v="2"/>
    </i>
    <i i="3">
      <x v="3"/>
    </i>
    <i i="4">
      <x v="4"/>
    </i>
  </colItems>
  <dataFields count="5">
    <dataField name="Total Leads" fld="4" baseField="1" baseItem="0" numFmtId="1"/>
    <dataField name="Total Pre-Booked" fld="6" baseField="1" baseItem="0" numFmtId="1"/>
    <dataField name="Total Booked" fld="8" baseField="0" baseItem="0" numFmtId="1"/>
    <dataField name="Total Deliveries Confirmed" fld="10" baseField="0" baseItem="0" numFmtId="1"/>
    <dataField name="Total Delivered" fld="12" baseField="0" baseItem="0" numFmtId="1"/>
  </dataFields>
  <formats count="1">
    <format dxfId="64">
      <pivotArea dataOnly="0" labelOnly="1" grandCol="1" outline="0" fieldPosition="0"/>
    </format>
  </formats>
  <pivotTableStyleInfo name="Table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TAT Pivot"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rowHeaderCaption="Store Name">
  <location ref="A1:D6" firstHeaderRow="0" firstDataRow="1" firstDataCol="1"/>
  <pivotFields count="21">
    <pivotField showAll="0"/>
    <pivotField axis="axisRow" showAll="0">
      <items count="5">
        <item x="1"/>
        <item x="3"/>
        <item x="2"/>
        <item x="0"/>
        <item t="default"/>
      </items>
    </pivotField>
    <pivotField showAll="0"/>
    <pivotField numFmtId="164" showAll="0"/>
    <pivotField numFmtId="1" showAll="0"/>
    <pivotField showAll="0"/>
    <pivotField numFmtId="1" showAll="0"/>
    <pivotField showAll="0"/>
    <pivotField numFmtId="1" showAll="0"/>
    <pivotField showAll="0"/>
    <pivotField numFmtId="1" showAll="0"/>
    <pivotField showAll="0"/>
    <pivotField numFmtId="1" showAll="0"/>
    <pivotField showAll="0"/>
    <pivotField showAll="0"/>
    <pivotField dataField="1" showAll="0"/>
    <pivotField dataField="1" showAll="0"/>
    <pivotField dataField="1" showAll="0"/>
    <pivotField showAll="0"/>
    <pivotField showAll="0"/>
    <pivotField showAll="0"/>
  </pivotFields>
  <rowFields count="1">
    <field x="1"/>
  </rowFields>
  <rowItems count="5">
    <i>
      <x/>
    </i>
    <i>
      <x v="1"/>
    </i>
    <i>
      <x v="2"/>
    </i>
    <i>
      <x v="3"/>
    </i>
    <i t="grand">
      <x/>
    </i>
  </rowItems>
  <colFields count="1">
    <field x="-2"/>
  </colFields>
  <colItems count="3">
    <i>
      <x/>
    </i>
    <i i="1">
      <x v="1"/>
    </i>
    <i i="2">
      <x v="2"/>
    </i>
  </colItems>
  <dataFields count="3">
    <dataField name="Pre-Booking (Avg Days)" fld="15" subtotal="average" baseField="1" baseItem="0" numFmtId="2"/>
    <dataField name="Booking (Avg Days)" fld="16" subtotal="average" baseField="1" baseItem="0" numFmtId="2"/>
    <dataField name="Delivery (Avg Days)" fld="17" subtotal="average" baseField="1" baseItem="0" numFmtId="2"/>
  </dataField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Lead Type Pivot"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8">
  <location ref="A1:F6" firstHeaderRow="1" firstDataRow="2" firstDataCol="1"/>
  <pivotFields count="21">
    <pivotField dataField="1" showAll="0"/>
    <pivotField axis="axisCol" showAll="0">
      <items count="5">
        <item x="1"/>
        <item x="3"/>
        <item x="2"/>
        <item x="0"/>
        <item t="default"/>
      </items>
    </pivotField>
    <pivotField axis="axisRow" showAll="0">
      <items count="4">
        <item x="2"/>
        <item x="1"/>
        <item x="0"/>
        <item t="default"/>
      </items>
    </pivotField>
    <pivotField numFmtId="164" showAll="0"/>
    <pivotField numFmtId="1" showAll="0"/>
    <pivotField showAll="0"/>
    <pivotField numFmtId="1" showAll="0"/>
    <pivotField showAll="0"/>
    <pivotField numFmtId="1" showAll="0"/>
    <pivotField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5">
    <i>
      <x/>
    </i>
    <i>
      <x v="1"/>
    </i>
    <i>
      <x v="2"/>
    </i>
    <i>
      <x v="3"/>
    </i>
    <i t="grand">
      <x/>
    </i>
  </colItems>
  <dataFields count="1">
    <dataField name="Count of Lead ID" fld="0" subtotal="count" baseField="0" baseItem="0"/>
  </dataField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6FBDA6-9665-4AC2-841E-3F1C1708A630}" name="Lead Type Pivot 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8">
  <location ref="H100:M105" firstHeaderRow="1" firstDataRow="2" firstDataCol="1"/>
  <pivotFields count="21">
    <pivotField dataField="1" showAll="0"/>
    <pivotField axis="axisCol" showAll="0">
      <items count="5">
        <item x="1"/>
        <item x="3"/>
        <item x="2"/>
        <item x="0"/>
        <item t="default"/>
      </items>
    </pivotField>
    <pivotField axis="axisRow" showAll="0">
      <items count="4">
        <item x="2"/>
        <item x="1"/>
        <item x="0"/>
        <item t="default"/>
      </items>
    </pivotField>
    <pivotField numFmtId="164" showAll="0"/>
    <pivotField numFmtId="1" showAll="0"/>
    <pivotField showAll="0"/>
    <pivotField numFmtId="1" showAll="0"/>
    <pivotField showAll="0"/>
    <pivotField numFmtId="1" showAll="0"/>
    <pivotField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5">
    <i>
      <x/>
    </i>
    <i>
      <x v="1"/>
    </i>
    <i>
      <x v="2"/>
    </i>
    <i>
      <x v="3"/>
    </i>
    <i t="grand">
      <x/>
    </i>
  </colItems>
  <dataFields count="1">
    <dataField name="Count of Lead ID" fld="0" subtotal="count" baseField="0" baseItem="0"/>
  </dataField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Cancellation Pivot"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0">
  <location ref="A1:F9" firstHeaderRow="1" firstDataRow="2" firstDataCol="1"/>
  <pivotFields count="21">
    <pivotField dataField="1" showAll="0"/>
    <pivotField axis="axisCol" showAll="0">
      <items count="5">
        <item x="1"/>
        <item x="3"/>
        <item x="2"/>
        <item x="0"/>
        <item t="default"/>
      </items>
    </pivotField>
    <pivotField showAll="0"/>
    <pivotField numFmtId="164" showAll="0"/>
    <pivotField numFmtId="1" showAll="0"/>
    <pivotField showAll="0"/>
    <pivotField numFmtId="1" showAll="0"/>
    <pivotField showAll="0"/>
    <pivotField numFmtId="1" showAll="0"/>
    <pivotField showAll="0"/>
    <pivotField numFmtId="1" showAll="0"/>
    <pivotField showAll="0"/>
    <pivotField numFmtId="1" showAll="0"/>
    <pivotField name="Delivered" axis="axisRow" showAll="0">
      <items count="7">
        <item x="3"/>
        <item x="2"/>
        <item x="5"/>
        <item x="4"/>
        <item x="1"/>
        <item n="Delivered" x="0"/>
        <item t="default"/>
      </items>
    </pivotField>
    <pivotField showAll="0"/>
    <pivotField showAll="0"/>
    <pivotField showAll="0"/>
    <pivotField showAll="0"/>
    <pivotField showAll="0"/>
    <pivotField showAll="0"/>
    <pivotField showAll="0"/>
  </pivotFields>
  <rowFields count="1">
    <field x="13"/>
  </rowFields>
  <rowItems count="7">
    <i>
      <x/>
    </i>
    <i>
      <x v="1"/>
    </i>
    <i>
      <x v="2"/>
    </i>
    <i>
      <x v="3"/>
    </i>
    <i>
      <x v="4"/>
    </i>
    <i>
      <x v="5"/>
    </i>
    <i t="grand">
      <x/>
    </i>
  </rowItems>
  <colFields count="1">
    <field x="1"/>
  </colFields>
  <colItems count="5">
    <i>
      <x/>
    </i>
    <i>
      <x v="1"/>
    </i>
    <i>
      <x v="2"/>
    </i>
    <i>
      <x v="3"/>
    </i>
    <i t="grand">
      <x/>
    </i>
  </colItems>
  <dataFields count="1">
    <dataField name="Count of Lead ID" fld="0" subtotal="count" baseField="0" baseItem="0"/>
  </dataFields>
  <chartFormats count="19">
    <chartFormat chart="1" format="6" series="1">
      <pivotArea type="data" outline="0" fieldPosition="0">
        <references count="2">
          <reference field="4294967294" count="1" selected="0">
            <x v="0"/>
          </reference>
          <reference field="1" count="1" selected="0">
            <x v="0"/>
          </reference>
        </references>
      </pivotArea>
    </chartFormat>
    <chartFormat chart="1" format="7" series="1">
      <pivotArea type="data" outline="0" fieldPosition="0">
        <references count="2">
          <reference field="4294967294" count="1" selected="0">
            <x v="0"/>
          </reference>
          <reference field="1" count="1" selected="0">
            <x v="1"/>
          </reference>
        </references>
      </pivotArea>
    </chartFormat>
    <chartFormat chart="1" format="8" series="1">
      <pivotArea type="data" outline="0" fieldPosition="0">
        <references count="2">
          <reference field="4294967294" count="1" selected="0">
            <x v="0"/>
          </reference>
          <reference field="1" count="1" selected="0">
            <x v="2"/>
          </reference>
        </references>
      </pivotArea>
    </chartFormat>
    <chartFormat chart="1" format="9" series="1">
      <pivotArea type="data" outline="0" fieldPosition="0">
        <references count="2">
          <reference field="4294967294" count="1" selected="0">
            <x v="0"/>
          </reference>
          <reference field="1" count="1" selected="0">
            <x v="3"/>
          </reference>
        </references>
      </pivotArea>
    </chartFormat>
    <chartFormat chart="5" format="22" series="1">
      <pivotArea type="data" outline="0" fieldPosition="0">
        <references count="2">
          <reference field="4294967294" count="1" selected="0">
            <x v="0"/>
          </reference>
          <reference field="1" count="1" selected="0">
            <x v="0"/>
          </reference>
        </references>
      </pivotArea>
    </chartFormat>
    <chartFormat chart="5" format="23" series="1">
      <pivotArea type="data" outline="0" fieldPosition="0">
        <references count="2">
          <reference field="4294967294" count="1" selected="0">
            <x v="0"/>
          </reference>
          <reference field="1" count="1" selected="0">
            <x v="1"/>
          </reference>
        </references>
      </pivotArea>
    </chartFormat>
    <chartFormat chart="5" format="24" series="1">
      <pivotArea type="data" outline="0" fieldPosition="0">
        <references count="2">
          <reference field="4294967294" count="1" selected="0">
            <x v="0"/>
          </reference>
          <reference field="1" count="1" selected="0">
            <x v="2"/>
          </reference>
        </references>
      </pivotArea>
    </chartFormat>
    <chartFormat chart="5" format="25" series="1">
      <pivotArea type="data" outline="0" fieldPosition="0">
        <references count="2">
          <reference field="4294967294" count="1" selected="0">
            <x v="0"/>
          </reference>
          <reference field="1" count="1" selected="0">
            <x v="3"/>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6" format="3" series="1">
      <pivotArea type="data" outline="0" fieldPosition="0">
        <references count="2">
          <reference field="4294967294" count="1" selected="0">
            <x v="0"/>
          </reference>
          <reference field="1" count="1" selected="0">
            <x v="3"/>
          </reference>
        </references>
      </pivotArea>
    </chartFormat>
    <chartFormat chart="6" format="4" series="1">
      <pivotArea type="data" outline="0" fieldPosition="0">
        <references count="1">
          <reference field="4294967294" count="1" selected="0">
            <x v="0"/>
          </reference>
        </references>
      </pivotArea>
    </chartFormat>
    <chartFormat chart="5" format="26"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093348-3118-4C0F-A3B2-7E85E79C90EA}" name="Cancellation Pivot 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0">
  <location ref="H100:M108" firstHeaderRow="1" firstDataRow="2" firstDataCol="1"/>
  <pivotFields count="21">
    <pivotField dataField="1" showAll="0"/>
    <pivotField axis="axisCol" showAll="0">
      <items count="5">
        <item x="1"/>
        <item x="3"/>
        <item x="2"/>
        <item x="0"/>
        <item t="default"/>
      </items>
    </pivotField>
    <pivotField showAll="0"/>
    <pivotField numFmtId="164" showAll="0"/>
    <pivotField numFmtId="1" showAll="0"/>
    <pivotField showAll="0"/>
    <pivotField numFmtId="1" showAll="0"/>
    <pivotField showAll="0"/>
    <pivotField numFmtId="1" showAll="0"/>
    <pivotField showAll="0"/>
    <pivotField numFmtId="1" showAll="0"/>
    <pivotField showAll="0"/>
    <pivotField numFmtId="1" showAll="0"/>
    <pivotField name="Delivered" axis="axisRow" showAll="0">
      <items count="7">
        <item x="3"/>
        <item x="2"/>
        <item x="5"/>
        <item x="4"/>
        <item x="1"/>
        <item n="Delivered" x="0"/>
        <item t="default"/>
      </items>
    </pivotField>
    <pivotField showAll="0"/>
    <pivotField showAll="0"/>
    <pivotField showAll="0"/>
    <pivotField showAll="0"/>
    <pivotField showAll="0"/>
    <pivotField showAll="0"/>
    <pivotField showAll="0"/>
  </pivotFields>
  <rowFields count="1">
    <field x="13"/>
  </rowFields>
  <rowItems count="7">
    <i>
      <x/>
    </i>
    <i>
      <x v="1"/>
    </i>
    <i>
      <x v="2"/>
    </i>
    <i>
      <x v="3"/>
    </i>
    <i>
      <x v="4"/>
    </i>
    <i>
      <x v="5"/>
    </i>
    <i t="grand">
      <x/>
    </i>
  </rowItems>
  <colFields count="1">
    <field x="1"/>
  </colFields>
  <colItems count="5">
    <i>
      <x/>
    </i>
    <i>
      <x v="1"/>
    </i>
    <i>
      <x v="2"/>
    </i>
    <i>
      <x v="3"/>
    </i>
    <i t="grand">
      <x/>
    </i>
  </colItems>
  <dataFields count="1">
    <dataField name="Count of Lead ID" fld="0" subtotal="count" baseField="0" baseItem="0"/>
  </dataFields>
  <chartFormats count="3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2">
          <reference field="4294967294" count="1" selected="0">
            <x v="0"/>
          </reference>
          <reference field="13" count="1" selected="0">
            <x v="4"/>
          </reference>
        </references>
      </pivotArea>
    </chartFormat>
    <chartFormat chart="1" format="5" series="1">
      <pivotArea type="data" outline="0" fieldPosition="0">
        <references count="2">
          <reference field="4294967294" count="1" selected="0">
            <x v="0"/>
          </reference>
          <reference field="13" count="1" selected="0">
            <x v="5"/>
          </reference>
        </references>
      </pivotArea>
    </chartFormat>
    <chartFormat chart="1" format="6" series="1">
      <pivotArea type="data" outline="0" fieldPosition="0">
        <references count="2">
          <reference field="4294967294" count="1" selected="0">
            <x v="0"/>
          </reference>
          <reference field="1" count="1" selected="0">
            <x v="0"/>
          </reference>
        </references>
      </pivotArea>
    </chartFormat>
    <chartFormat chart="1" format="7" series="1">
      <pivotArea type="data" outline="0" fieldPosition="0">
        <references count="2">
          <reference field="4294967294" count="1" selected="0">
            <x v="0"/>
          </reference>
          <reference field="1" count="1" selected="0">
            <x v="1"/>
          </reference>
        </references>
      </pivotArea>
    </chartFormat>
    <chartFormat chart="1" format="8" series="1">
      <pivotArea type="data" outline="0" fieldPosition="0">
        <references count="2">
          <reference field="4294967294" count="1" selected="0">
            <x v="0"/>
          </reference>
          <reference field="1" count="1" selected="0">
            <x v="2"/>
          </reference>
        </references>
      </pivotArea>
    </chartFormat>
    <chartFormat chart="1" format="9"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0"/>
          </reference>
        </references>
      </pivotArea>
    </chartFormat>
    <chartFormat chart="3" format="15" series="1">
      <pivotArea type="data" outline="0" fieldPosition="0">
        <references count="2">
          <reference field="4294967294" count="1" selected="0">
            <x v="0"/>
          </reference>
          <reference field="1" count="1" selected="0">
            <x v="1"/>
          </reference>
        </references>
      </pivotArea>
    </chartFormat>
    <chartFormat chart="3" format="16" series="1">
      <pivotArea type="data" outline="0" fieldPosition="0">
        <references count="2">
          <reference field="4294967294" count="1" selected="0">
            <x v="0"/>
          </reference>
          <reference field="1" count="1" selected="0">
            <x v="2"/>
          </reference>
        </references>
      </pivotArea>
    </chartFormat>
    <chartFormat chart="3" format="17" series="1">
      <pivotArea type="data" outline="0" fieldPosition="0">
        <references count="2">
          <reference field="4294967294" count="1" selected="0">
            <x v="0"/>
          </reference>
          <reference field="1" count="1" selected="0">
            <x v="3"/>
          </reference>
        </references>
      </pivotArea>
    </chartFormat>
    <chartFormat chart="5" format="22" series="1">
      <pivotArea type="data" outline="0" fieldPosition="0">
        <references count="2">
          <reference field="4294967294" count="1" selected="0">
            <x v="0"/>
          </reference>
          <reference field="1" count="1" selected="0">
            <x v="0"/>
          </reference>
        </references>
      </pivotArea>
    </chartFormat>
    <chartFormat chart="5" format="23" series="1">
      <pivotArea type="data" outline="0" fieldPosition="0">
        <references count="2">
          <reference field="4294967294" count="1" selected="0">
            <x v="0"/>
          </reference>
          <reference field="1" count="1" selected="0">
            <x v="1"/>
          </reference>
        </references>
      </pivotArea>
    </chartFormat>
    <chartFormat chart="5" format="24" series="1">
      <pivotArea type="data" outline="0" fieldPosition="0">
        <references count="2">
          <reference field="4294967294" count="1" selected="0">
            <x v="0"/>
          </reference>
          <reference field="1" count="1" selected="0">
            <x v="2"/>
          </reference>
        </references>
      </pivotArea>
    </chartFormat>
    <chartFormat chart="5" format="25" series="1">
      <pivotArea type="data" outline="0" fieldPosition="0">
        <references count="2">
          <reference field="4294967294" count="1" selected="0">
            <x v="0"/>
          </reference>
          <reference field="1" count="1" selected="0">
            <x v="3"/>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6" format="3" series="1">
      <pivotArea type="data" outline="0" fieldPosition="0">
        <references count="2">
          <reference field="4294967294" count="1" selected="0">
            <x v="0"/>
          </reference>
          <reference field="1" count="1" selected="0">
            <x v="3"/>
          </reference>
        </references>
      </pivotArea>
    </chartFormat>
    <chartFormat chart="6" format="4" series="1">
      <pivotArea type="data" outline="0" fieldPosition="0">
        <references count="1">
          <reference field="4294967294" count="1" selected="0">
            <x v="0"/>
          </reference>
        </references>
      </pivotArea>
    </chartFormat>
    <chartFormat chart="5" format="26" series="1">
      <pivotArea type="data" outline="0" fieldPosition="0">
        <references count="1">
          <reference field="4294967294" count="1" selected="0">
            <x v="0"/>
          </reference>
        </references>
      </pivotArea>
    </chartFormat>
    <chartFormat chart="3" format="18"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0"/>
          </reference>
        </references>
      </pivotArea>
    </chartFormat>
    <chartFormat chart="6" format="5" series="1">
      <pivotArea type="data" outline="0" fieldPosition="0">
        <references count="2">
          <reference field="4294967294" count="1" selected="0">
            <x v="0"/>
          </reference>
          <reference field="13" count="1" selected="0">
            <x v="4"/>
          </reference>
        </references>
      </pivotArea>
    </chartFormat>
    <chartFormat chart="6" format="6" series="1">
      <pivotArea type="data" outline="0" fieldPosition="0">
        <references count="2">
          <reference field="4294967294" count="1" selected="0">
            <x v="0"/>
          </reference>
          <reference field="13" count="1" selected="0">
            <x v="5"/>
          </reference>
        </references>
      </pivotArea>
    </chartFormat>
    <chartFormat chart="5" format="27" series="1">
      <pivotArea type="data" outline="0" fieldPosition="0">
        <references count="2">
          <reference field="4294967294" count="1" selected="0">
            <x v="0"/>
          </reference>
          <reference field="13" count="1" selected="0">
            <x v="4"/>
          </reference>
        </references>
      </pivotArea>
    </chartFormat>
    <chartFormat chart="5" format="28" series="1">
      <pivotArea type="data" outline="0" fieldPosition="0">
        <references count="2">
          <reference field="4294967294" count="1" selected="0">
            <x v="0"/>
          </reference>
          <reference field="13" count="1" selected="0">
            <x v="5"/>
          </reference>
        </references>
      </pivotArea>
    </chartFormat>
    <chartFormat chart="3" format="19" series="1">
      <pivotArea type="data" outline="0" fieldPosition="0">
        <references count="2">
          <reference field="4294967294" count="1" selected="0">
            <x v="0"/>
          </reference>
          <reference field="13" count="1" selected="0">
            <x v="4"/>
          </reference>
        </references>
      </pivotArea>
    </chartFormat>
    <chartFormat chart="3" format="20" series="1">
      <pivotArea type="data" outline="0" fieldPosition="0">
        <references count="2">
          <reference field="4294967294" count="1" selected="0">
            <x v="0"/>
          </reference>
          <reference field="13" count="1" selected="0">
            <x v="5"/>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NPS"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22">
  <location ref="A1:E7" firstHeaderRow="1" firstDataRow="2" firstDataCol="1"/>
  <pivotFields count="21">
    <pivotField showAll="0"/>
    <pivotField axis="axisRow" showAll="0">
      <items count="5">
        <item x="1"/>
        <item x="3"/>
        <item x="2"/>
        <item x="0"/>
        <item t="default"/>
      </items>
    </pivotField>
    <pivotField showAll="0"/>
    <pivotField numFmtId="164" showAll="0"/>
    <pivotField numFmtId="1" showAll="0"/>
    <pivotField showAll="0"/>
    <pivotField numFmtId="1" showAll="0"/>
    <pivotField showAll="0"/>
    <pivotField numFmtId="1" showAll="0"/>
    <pivotField showAll="0"/>
    <pivotField numFmtId="1" showAll="0"/>
    <pivotField showAll="0"/>
    <pivotField numFmtId="1" showAll="0"/>
    <pivotField showAll="0"/>
    <pivotField showAll="0"/>
    <pivotField showAll="0"/>
    <pivotField showAll="0"/>
    <pivotField showAll="0"/>
    <pivotField dataField="1" showAll="0"/>
    <pivotField showAll="0"/>
    <pivotField axis="axisCol" showAll="0">
      <items count="4">
        <item x="0"/>
        <item x="1"/>
        <item x="2"/>
        <item t="default"/>
      </items>
    </pivotField>
  </pivotFields>
  <rowFields count="1">
    <field x="1"/>
  </rowFields>
  <rowItems count="5">
    <i>
      <x/>
    </i>
    <i>
      <x v="1"/>
    </i>
    <i>
      <x v="2"/>
    </i>
    <i>
      <x v="3"/>
    </i>
    <i t="grand">
      <x/>
    </i>
  </rowItems>
  <colFields count="1">
    <field x="20"/>
  </colFields>
  <colItems count="4">
    <i>
      <x/>
    </i>
    <i>
      <x v="1"/>
    </i>
    <i>
      <x v="2"/>
    </i>
    <i t="grand">
      <x/>
    </i>
  </colItems>
  <dataFields count="1">
    <dataField name="Count of Customer Rating" fld="18" subtotal="count" baseField="0" baseItem="0"/>
  </dataFields>
  <formats count="2">
    <format dxfId="58">
      <pivotArea dataOnly="0" labelOnly="1" grandCol="1" outline="0" fieldPosition="0"/>
    </format>
    <format dxfId="57">
      <pivotArea collapsedLevelsAreSubtotals="1" fieldPosition="0">
        <references count="2">
          <reference field="1" count="1">
            <x v="3"/>
          </reference>
          <reference field="20" count="1" selected="0">
            <x v="2"/>
          </reference>
        </references>
      </pivotArea>
    </format>
  </formats>
  <chartFormats count="27">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4" format="28" series="1">
      <pivotArea type="data" outline="0" fieldPosition="0">
        <references count="2">
          <reference field="4294967294" count="1" selected="0">
            <x v="0"/>
          </reference>
          <reference field="20" count="1" selected="0">
            <x v="0"/>
          </reference>
        </references>
      </pivotArea>
    </chartFormat>
    <chartFormat chart="4" format="29" series="1">
      <pivotArea type="data" outline="0" fieldPosition="0">
        <references count="2">
          <reference field="4294967294" count="1" selected="0">
            <x v="0"/>
          </reference>
          <reference field="20" count="1" selected="0">
            <x v="1"/>
          </reference>
        </references>
      </pivotArea>
    </chartFormat>
    <chartFormat chart="4" format="30">
      <pivotArea type="data" outline="0" fieldPosition="0">
        <references count="3">
          <reference field="4294967294" count="1" selected="0">
            <x v="0"/>
          </reference>
          <reference field="1" count="1" selected="0">
            <x v="0"/>
          </reference>
          <reference field="20" count="1" selected="0">
            <x v="1"/>
          </reference>
        </references>
      </pivotArea>
    </chartFormat>
    <chartFormat chart="4" format="31">
      <pivotArea type="data" outline="0" fieldPosition="0">
        <references count="3">
          <reference field="4294967294" count="1" selected="0">
            <x v="0"/>
          </reference>
          <reference field="1" count="1" selected="0">
            <x v="1"/>
          </reference>
          <reference field="20" count="1" selected="0">
            <x v="1"/>
          </reference>
        </references>
      </pivotArea>
    </chartFormat>
    <chartFormat chart="4" format="32">
      <pivotArea type="data" outline="0" fieldPosition="0">
        <references count="3">
          <reference field="4294967294" count="1" selected="0">
            <x v="0"/>
          </reference>
          <reference field="1" count="1" selected="0">
            <x v="2"/>
          </reference>
          <reference field="20" count="1" selected="0">
            <x v="1"/>
          </reference>
        </references>
      </pivotArea>
    </chartFormat>
    <chartFormat chart="4" format="33">
      <pivotArea type="data" outline="0" fieldPosition="0">
        <references count="3">
          <reference field="4294967294" count="1" selected="0">
            <x v="0"/>
          </reference>
          <reference field="1" count="1" selected="0">
            <x v="3"/>
          </reference>
          <reference field="20" count="1" selected="0">
            <x v="1"/>
          </reference>
        </references>
      </pivotArea>
    </chartFormat>
    <chartFormat chart="4" format="34" series="1">
      <pivotArea type="data" outline="0" fieldPosition="0">
        <references count="2">
          <reference field="4294967294" count="1" selected="0">
            <x v="0"/>
          </reference>
          <reference field="20" count="1" selected="0">
            <x v="2"/>
          </reference>
        </references>
      </pivotArea>
    </chartFormat>
    <chartFormat chart="4" format="35">
      <pivotArea type="data" outline="0" fieldPosition="0">
        <references count="3">
          <reference field="4294967294" count="1" selected="0">
            <x v="0"/>
          </reference>
          <reference field="1" count="1" selected="0">
            <x v="0"/>
          </reference>
          <reference field="20" count="1" selected="0">
            <x v="2"/>
          </reference>
        </references>
      </pivotArea>
    </chartFormat>
    <chartFormat chart="4" format="36">
      <pivotArea type="data" outline="0" fieldPosition="0">
        <references count="3">
          <reference field="4294967294" count="1" selected="0">
            <x v="0"/>
          </reference>
          <reference field="1" count="1" selected="0">
            <x v="1"/>
          </reference>
          <reference field="20" count="1" selected="0">
            <x v="2"/>
          </reference>
        </references>
      </pivotArea>
    </chartFormat>
    <chartFormat chart="4" format="37">
      <pivotArea type="data" outline="0" fieldPosition="0">
        <references count="3">
          <reference field="4294967294" count="1" selected="0">
            <x v="0"/>
          </reference>
          <reference field="1" count="1" selected="0">
            <x v="2"/>
          </reference>
          <reference field="20" count="1" selected="0">
            <x v="2"/>
          </reference>
        </references>
      </pivotArea>
    </chartFormat>
    <chartFormat chart="4" format="38">
      <pivotArea type="data" outline="0" fieldPosition="0">
        <references count="3">
          <reference field="4294967294" count="1" selected="0">
            <x v="0"/>
          </reference>
          <reference field="1" count="1" selected="0">
            <x v="3"/>
          </reference>
          <reference field="20" count="1" selected="0">
            <x v="2"/>
          </reference>
        </references>
      </pivotArea>
    </chartFormat>
    <chartFormat chart="4" format="39">
      <pivotArea type="data" outline="0" fieldPosition="0">
        <references count="3">
          <reference field="4294967294" count="1" selected="0">
            <x v="0"/>
          </reference>
          <reference field="1" count="1" selected="0">
            <x v="3"/>
          </reference>
          <reference field="20" count="1" selected="0">
            <x v="0"/>
          </reference>
        </references>
      </pivotArea>
    </chartFormat>
    <chartFormat chart="18" format="52" series="1">
      <pivotArea type="data" outline="0" fieldPosition="0">
        <references count="2">
          <reference field="4294967294" count="1" selected="0">
            <x v="0"/>
          </reference>
          <reference field="20" count="1" selected="0">
            <x v="0"/>
          </reference>
        </references>
      </pivotArea>
    </chartFormat>
    <chartFormat chart="18" format="53">
      <pivotArea type="data" outline="0" fieldPosition="0">
        <references count="3">
          <reference field="4294967294" count="1" selected="0">
            <x v="0"/>
          </reference>
          <reference field="1" count="1" selected="0">
            <x v="3"/>
          </reference>
          <reference field="20" count="1" selected="0">
            <x v="0"/>
          </reference>
        </references>
      </pivotArea>
    </chartFormat>
    <chartFormat chart="18" format="54" series="1">
      <pivotArea type="data" outline="0" fieldPosition="0">
        <references count="2">
          <reference field="4294967294" count="1" selected="0">
            <x v="0"/>
          </reference>
          <reference field="20" count="1" selected="0">
            <x v="1"/>
          </reference>
        </references>
      </pivotArea>
    </chartFormat>
    <chartFormat chart="18" format="55">
      <pivotArea type="data" outline="0" fieldPosition="0">
        <references count="3">
          <reference field="4294967294" count="1" selected="0">
            <x v="0"/>
          </reference>
          <reference field="1" count="1" selected="0">
            <x v="0"/>
          </reference>
          <reference field="20" count="1" selected="0">
            <x v="1"/>
          </reference>
        </references>
      </pivotArea>
    </chartFormat>
    <chartFormat chart="18" format="56">
      <pivotArea type="data" outline="0" fieldPosition="0">
        <references count="3">
          <reference field="4294967294" count="1" selected="0">
            <x v="0"/>
          </reference>
          <reference field="1" count="1" selected="0">
            <x v="1"/>
          </reference>
          <reference field="20" count="1" selected="0">
            <x v="1"/>
          </reference>
        </references>
      </pivotArea>
    </chartFormat>
    <chartFormat chart="18" format="57">
      <pivotArea type="data" outline="0" fieldPosition="0">
        <references count="3">
          <reference field="4294967294" count="1" selected="0">
            <x v="0"/>
          </reference>
          <reference field="1" count="1" selected="0">
            <x v="2"/>
          </reference>
          <reference field="20" count="1" selected="0">
            <x v="1"/>
          </reference>
        </references>
      </pivotArea>
    </chartFormat>
    <chartFormat chart="18" format="58">
      <pivotArea type="data" outline="0" fieldPosition="0">
        <references count="3">
          <reference field="4294967294" count="1" selected="0">
            <x v="0"/>
          </reference>
          <reference field="1" count="1" selected="0">
            <x v="3"/>
          </reference>
          <reference field="20" count="1" selected="0">
            <x v="1"/>
          </reference>
        </references>
      </pivotArea>
    </chartFormat>
    <chartFormat chart="18" format="59" series="1">
      <pivotArea type="data" outline="0" fieldPosition="0">
        <references count="2">
          <reference field="4294967294" count="1" selected="0">
            <x v="0"/>
          </reference>
          <reference field="20" count="1" selected="0">
            <x v="2"/>
          </reference>
        </references>
      </pivotArea>
    </chartFormat>
    <chartFormat chart="18" format="60">
      <pivotArea type="data" outline="0" fieldPosition="0">
        <references count="3">
          <reference field="4294967294" count="1" selected="0">
            <x v="0"/>
          </reference>
          <reference field="1" count="1" selected="0">
            <x v="0"/>
          </reference>
          <reference field="20" count="1" selected="0">
            <x v="2"/>
          </reference>
        </references>
      </pivotArea>
    </chartFormat>
    <chartFormat chart="18" format="61">
      <pivotArea type="data" outline="0" fieldPosition="0">
        <references count="3">
          <reference field="4294967294" count="1" selected="0">
            <x v="0"/>
          </reference>
          <reference field="1" count="1" selected="0">
            <x v="1"/>
          </reference>
          <reference field="20" count="1" selected="0">
            <x v="2"/>
          </reference>
        </references>
      </pivotArea>
    </chartFormat>
    <chartFormat chart="18" format="62">
      <pivotArea type="data" outline="0" fieldPosition="0">
        <references count="3">
          <reference field="4294967294" count="1" selected="0">
            <x v="0"/>
          </reference>
          <reference field="1" count="1" selected="0">
            <x v="2"/>
          </reference>
          <reference field="20" count="1" selected="0">
            <x v="2"/>
          </reference>
        </references>
      </pivotArea>
    </chartFormat>
    <chartFormat chart="18" format="63">
      <pivotArea type="data" outline="0" fieldPosition="0">
        <references count="3">
          <reference field="4294967294" count="1" selected="0">
            <x v="0"/>
          </reference>
          <reference field="1" count="1" selected="0">
            <x v="3"/>
          </reference>
          <reference field="20" count="1" selected="0">
            <x v="2"/>
          </reference>
        </references>
      </pivotArea>
    </chartFormat>
  </chartFormats>
  <pivotTableStyleInfo name="TableStyleLight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1" xr10:uid="{5DCBC86F-1A69-4607-B979-6FAAC6AF53BA}" sourceName="Store Name">
  <pivotTables>
    <pivotTable tabId="4" name="Cancellation Pivot 2"/>
    <pivotTable tabId="2" name="Funnel Pivot"/>
    <pivotTable tabId="5" name="Lead Type Pivot 2"/>
    <pivotTable tabId="6" name="NPS"/>
    <pivotTable tabId="3" name="TAT Pivot"/>
  </pivotTables>
  <data>
    <tabular pivotCacheId="1">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58B9E92F-1F50-4878-A2D9-360E2D89D4B5}" cache="Slicer_Store_Name1" caption="Store Name" rowHeight="234950"/>
  <slicer name="Store Name 4" xr10:uid="{D2C2FE54-C51F-4373-B2A3-FF348D50C4E5}" cache="Slicer_Store_Name1" caption="Store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1" xr10:uid="{70B2F049-F8C7-470F-9C6B-8DC2D96AB1E0}" cache="Slicer_Store_Name1" caption="Store Na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2" xr10:uid="{BDEBDDBF-58E4-4E9A-AA66-E12DBBD5C84B}" cache="Slicer_Store_Name1" caption="Store Nam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3" xr10:uid="{6D167C05-E74A-4E0F-8CFE-DD7C0AE8C0C0}" cache="Slicer_Store_Name1" caption="Store Name" style="Slicer Style 4" rowHeight="14630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1001" totalsRowShown="0" headerRowDxfId="84" dataDxfId="83">
  <autoFilter ref="A1:U1001" xr:uid="{00000000-0009-0000-0100-000001000000}"/>
  <sortState xmlns:xlrd2="http://schemas.microsoft.com/office/spreadsheetml/2017/richdata2" ref="A2:U1001">
    <sortCondition descending="1" ref="D2:D1001"/>
  </sortState>
  <tableColumns count="21">
    <tableColumn id="1" xr3:uid="{00000000-0010-0000-0000-000001000000}" name="Lead ID" dataDxfId="82"/>
    <tableColumn id="2" xr3:uid="{00000000-0010-0000-0000-000002000000}" name="Store Name" dataDxfId="81"/>
    <tableColumn id="3" xr3:uid="{00000000-0010-0000-0000-000003000000}" name="Lead Type" dataDxfId="80"/>
    <tableColumn id="4" xr3:uid="{00000000-0010-0000-0000-000004000000}" name="Lead Date" dataDxfId="79"/>
    <tableColumn id="20" xr3:uid="{00000000-0010-0000-0000-000014000000}" name="Is Lead" dataDxfId="78">
      <calculatedColumnFormula>1</calculatedColumnFormula>
    </tableColumn>
    <tableColumn id="5" xr3:uid="{00000000-0010-0000-0000-000005000000}" name="Pre-Booking Date" dataDxfId="77"/>
    <tableColumn id="21" xr3:uid="{00000000-0010-0000-0000-000015000000}" name="Is Pre-Booked" dataDxfId="76">
      <calculatedColumnFormula>IF(Table1[[#This Row],[Pre-Booking Date]]&lt;&gt;"",1,0)</calculatedColumnFormula>
    </tableColumn>
    <tableColumn id="6" xr3:uid="{00000000-0010-0000-0000-000006000000}" name="Booking Date" dataDxfId="75"/>
    <tableColumn id="22" xr3:uid="{00000000-0010-0000-0000-000016000000}" name="Is Booked" dataDxfId="74">
      <calculatedColumnFormula>IF(Table1[[#This Row],[Booking Date]]&lt;&gt;"",1,0)</calculatedColumnFormula>
    </tableColumn>
    <tableColumn id="7" xr3:uid="{00000000-0010-0000-0000-000007000000}" name="Delivery Date" dataDxfId="1"/>
    <tableColumn id="15" xr3:uid="{283DDBD7-1F08-4118-A916-809CBD4DB7D9}" name="Delivery Confirmed" dataDxfId="73">
      <calculatedColumnFormula>IF(Table1[[#This Row],[Delivery Date]]&lt;&gt;"",1,0)</calculatedColumnFormula>
    </tableColumn>
    <tableColumn id="8" xr3:uid="{00000000-0010-0000-0000-000008000000}" name="Cancellation Status" dataDxfId="72"/>
    <tableColumn id="18" xr3:uid="{AEA6BC10-BAE2-4656-9A42-B932E524EE53}" name="Is Delivered" dataDxfId="71">
      <calculatedColumnFormula>IF(Table1[[#This Row],[Cancellation Status]]&lt;&gt;"Yes",1,0)</calculatedColumnFormula>
    </tableColumn>
    <tableColumn id="9" xr3:uid="{00000000-0010-0000-0000-000009000000}" name="Cancellation Reason"/>
    <tableColumn id="10" xr3:uid="{00000000-0010-0000-0000-00000A000000}" name="Service Follow-up Date" dataDxfId="0"/>
    <tableColumn id="11" xr3:uid="{00000000-0010-0000-0000-00000B000000}" name="TAT Pre-Booking (Days)" dataDxfId="70"/>
    <tableColumn id="12" xr3:uid="{00000000-0010-0000-0000-00000C000000}" name="TAT Booking (Days)" dataDxfId="69"/>
    <tableColumn id="13" xr3:uid="{00000000-0010-0000-0000-00000D000000}" name="TAT Delivery (Days)" dataDxfId="68"/>
    <tableColumn id="14" xr3:uid="{00000000-0010-0000-0000-00000E000000}" name="Customer Rating" dataDxfId="67"/>
    <tableColumn id="16" xr3:uid="{00000000-0010-0000-0000-000010000000}" name="Current Stage" dataDxfId="66">
      <calculatedColumnFormula>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calculatedColumnFormula>
    </tableColumn>
    <tableColumn id="17" xr3:uid="{00000000-0010-0000-0000-000011000000}" name="NPS Category" dataDxfId="65">
      <calculatedColumnFormula>IF(Table1[[#This Row],[Customer Rating]]&gt;=9,"Promoter",IF(Table1[[#This Row],[Customer Rating]]&gt;=7,"Passive","Detractor"))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920CCC-AC90-4A77-9453-85D9B490AA61}" name="Table2" displayName="Table2" ref="I1:M6" totalsRowShown="0">
  <autoFilter ref="I1:M6" xr:uid="{FC920CCC-AC90-4A77-9453-85D9B490AA61}"/>
  <tableColumns count="5">
    <tableColumn id="1" xr3:uid="{59C3B9E2-35B2-4E6D-95D7-D0582B8A4348}" name="Pre-Booking Rate" dataDxfId="63">
      <calculatedColumnFormula>C2/B2</calculatedColumnFormula>
    </tableColumn>
    <tableColumn id="2" xr3:uid="{F4035E06-3F42-4E78-AC20-FBBA62001D90}" name="Booking Rate" dataDxfId="62">
      <calculatedColumnFormula>D2/C2</calculatedColumnFormula>
    </tableColumn>
    <tableColumn id="3" xr3:uid="{35BA271C-8A44-409C-A610-87401E93E5B9}" name="Delivery Confirmation Rate" dataDxfId="61">
      <calculatedColumnFormula>E2/D2</calculatedColumnFormula>
    </tableColumn>
    <tableColumn id="5" xr3:uid="{72231C4F-3064-4AE6-BC3A-9BA72C714B46}" name="Delivery Rate" dataDxfId="60">
      <calculatedColumnFormula>F2/E2</calculatedColumnFormula>
    </tableColumn>
    <tableColumn id="4" xr3:uid="{9180DEB8-2E70-4A23-B813-879A427C1AA6}" name="Overall Conversion" dataDxfId="59">
      <calculatedColumnFormula>F2/B2</calculatedColumnFormula>
    </tableColumn>
  </tableColumns>
  <tableStyleInfo name="TableStyleMedium4"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B62AC8-8DEB-4726-A365-DF52A61659DC}" name="Table4" displayName="Table4" ref="H1:H6" totalsRowShown="0" headerRowDxfId="51" dataDxfId="52">
  <autoFilter ref="H1:H6" xr:uid="{57B62AC8-8DEB-4726-A365-DF52A61659DC}"/>
  <tableColumns count="1">
    <tableColumn id="1" xr3:uid="{D2CA1049-9951-4B0F-8465-621FD5D2297D}" name="Store Name" dataDxfId="53"/>
  </tableColumns>
  <tableStyleInfo name="TableStyleMedium4"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0D47E0-AA9F-42E1-B78F-D282358A6634}" name="Table6" displayName="Table6" ref="A100:F103" totalsRowShown="0">
  <autoFilter ref="A100:F103" xr:uid="{F50D47E0-AA9F-42E1-B78F-D282358A6634}"/>
  <tableColumns count="6">
    <tableColumn id="1" xr3:uid="{0AB6410B-EA70-4D1A-A3D0-A085218EED4F}" name="Row Labels">
      <calculatedColumnFormula>A3</calculatedColumnFormula>
    </tableColumn>
    <tableColumn id="2" xr3:uid="{5B381034-6118-4B6C-BF48-03B60D41B66C}" name="Bangalore MBC">
      <calculatedColumnFormula>B3</calculatedColumnFormula>
    </tableColumn>
    <tableColumn id="3" xr3:uid="{44E3CDCF-C4F9-4255-8324-A97FF159FE1D}" name="Chennai MBC">
      <calculatedColumnFormula>C3</calculatedColumnFormula>
    </tableColumn>
    <tableColumn id="4" xr3:uid="{58868D25-1E81-4C52-8865-D49678F19C54}" name="Delhi MBC">
      <calculatedColumnFormula>D3</calculatedColumnFormula>
    </tableColumn>
    <tableColumn id="5" xr3:uid="{A106F0A7-63D9-4D98-878D-08394BF7F644}" name="Mumbai MBC">
      <calculatedColumnFormula>E3</calculatedColumnFormula>
    </tableColumn>
    <tableColumn id="6" xr3:uid="{B17A05BE-8D90-4016-8BDE-479951839774}" name="Grand Total">
      <calculatedColumnFormula>F3</calculatedColumnFormula>
    </tableColumn>
  </tableColumns>
  <tableStyleInfo name="TableStyleMedium4"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F2:F7" totalsRowShown="0" headerRowDxfId="56" dataDxfId="55">
  <autoFilter ref="F2:F7" xr:uid="{00000000-0009-0000-0100-000003000000}"/>
  <tableColumns count="1">
    <tableColumn id="1" xr3:uid="{00000000-0010-0000-0200-000001000000}" name="NPS" dataDxfId="54">
      <calculatedColumnFormula>((D3-B3)/E3)</calculatedColumnFormula>
    </tableColumn>
  </tableColumns>
  <tableStyleInfo name="TableStyleLight11"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8.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C29E0-1D31-4AB6-AABB-3DCD10D37160}">
  <dimension ref="A3:B6"/>
  <sheetViews>
    <sheetView workbookViewId="0">
      <selection activeCell="B4" sqref="B4"/>
    </sheetView>
  </sheetViews>
  <sheetFormatPr defaultRowHeight="14.4" x14ac:dyDescent="0.3"/>
  <cols>
    <col min="1" max="1" width="21" bestFit="1" customWidth="1"/>
    <col min="2" max="3" width="15.5546875" bestFit="1" customWidth="1"/>
    <col min="4" max="4" width="10.109375" bestFit="1" customWidth="1"/>
    <col min="5" max="5" width="13" bestFit="1" customWidth="1"/>
    <col min="6" max="6" width="11.44140625" bestFit="1" customWidth="1"/>
  </cols>
  <sheetData>
    <row r="3" spans="1:2" x14ac:dyDescent="0.3">
      <c r="A3" s="6" t="s">
        <v>0</v>
      </c>
      <c r="B3" t="s">
        <v>1</v>
      </c>
    </row>
    <row r="4" spans="1:2" x14ac:dyDescent="0.3">
      <c r="A4" t="s">
        <v>2</v>
      </c>
      <c r="B4">
        <v>729</v>
      </c>
    </row>
    <row r="5" spans="1:2" x14ac:dyDescent="0.3">
      <c r="A5" t="s">
        <v>3</v>
      </c>
      <c r="B5">
        <v>271</v>
      </c>
    </row>
    <row r="6" spans="1:2" x14ac:dyDescent="0.3">
      <c r="A6" t="s">
        <v>4</v>
      </c>
      <c r="B6">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zoomScale="85" zoomScaleNormal="85" workbookViewId="0">
      <selection activeCell="O1" sqref="O1:O1048576"/>
    </sheetView>
  </sheetViews>
  <sheetFormatPr defaultColWidth="14.44140625" defaultRowHeight="15" customHeight="1" x14ac:dyDescent="0.3"/>
  <cols>
    <col min="1" max="1" width="12" bestFit="1" customWidth="1"/>
    <col min="2" max="2" width="16" bestFit="1" customWidth="1"/>
    <col min="3" max="3" width="14.44140625" bestFit="1" customWidth="1"/>
    <col min="4" max="4" width="14.33203125" style="15" bestFit="1" customWidth="1"/>
    <col min="5" max="5" width="14.33203125" style="12" customWidth="1"/>
    <col min="6" max="6" width="27.6640625" style="15" bestFit="1" customWidth="1"/>
    <col min="7" max="7" width="21.109375" style="12" customWidth="1"/>
    <col min="8" max="8" width="17.33203125" bestFit="1" customWidth="1"/>
    <col min="9" max="9" width="17.33203125" style="12" customWidth="1"/>
    <col min="10" max="10" width="17.6640625" style="31" bestFit="1" customWidth="1"/>
    <col min="11" max="11" width="17.6640625" style="12" customWidth="1"/>
    <col min="12" max="12" width="22.6640625" bestFit="1" customWidth="1"/>
    <col min="13" max="13" width="22.6640625" customWidth="1"/>
    <col min="14" max="14" width="23.6640625" bestFit="1" customWidth="1"/>
    <col min="15" max="15" width="26.44140625" style="31" bestFit="1" customWidth="1"/>
    <col min="16" max="16" width="26.5546875" bestFit="1" customWidth="1"/>
    <col min="17" max="17" width="22.6640625" bestFit="1" customWidth="1"/>
    <col min="18" max="18" width="23" bestFit="1" customWidth="1"/>
    <col min="19" max="19" width="18" bestFit="1" customWidth="1"/>
    <col min="20" max="20" width="25.33203125" customWidth="1"/>
    <col min="21" max="21" width="18" customWidth="1"/>
    <col min="22" max="33" width="8.6640625" customWidth="1"/>
  </cols>
  <sheetData>
    <row r="1" spans="1:21" ht="14.25" customHeight="1" x14ac:dyDescent="0.3">
      <c r="A1" s="1" t="s">
        <v>5</v>
      </c>
      <c r="B1" s="1" t="s">
        <v>6</v>
      </c>
      <c r="C1" s="1" t="s">
        <v>7</v>
      </c>
      <c r="D1" s="13" t="s">
        <v>8</v>
      </c>
      <c r="E1" s="10" t="s">
        <v>9</v>
      </c>
      <c r="F1" s="13" t="s">
        <v>10</v>
      </c>
      <c r="G1" s="10" t="s">
        <v>11</v>
      </c>
      <c r="H1" s="28" t="s">
        <v>12</v>
      </c>
      <c r="I1" s="10" t="s">
        <v>13</v>
      </c>
      <c r="J1" s="29" t="s">
        <v>14</v>
      </c>
      <c r="K1" s="22" t="s">
        <v>15</v>
      </c>
      <c r="L1" s="1" t="s">
        <v>0</v>
      </c>
      <c r="M1" s="20" t="s">
        <v>16</v>
      </c>
      <c r="N1" s="1" t="s">
        <v>17</v>
      </c>
      <c r="O1" s="29" t="s">
        <v>18</v>
      </c>
      <c r="P1" s="1" t="s">
        <v>19</v>
      </c>
      <c r="Q1" s="1" t="s">
        <v>20</v>
      </c>
      <c r="R1" s="1" t="s">
        <v>21</v>
      </c>
      <c r="S1" s="2" t="s">
        <v>22</v>
      </c>
      <c r="T1" s="5" t="s">
        <v>23</v>
      </c>
      <c r="U1" s="5" t="s">
        <v>24</v>
      </c>
    </row>
    <row r="2" spans="1:21" ht="14.25" customHeight="1" x14ac:dyDescent="0.3">
      <c r="A2" s="3" t="s">
        <v>25</v>
      </c>
      <c r="B2" s="3" t="s">
        <v>26</v>
      </c>
      <c r="C2" s="3" t="s">
        <v>27</v>
      </c>
      <c r="D2" s="14">
        <v>45961</v>
      </c>
      <c r="E2" s="11">
        <f>1</f>
        <v>1</v>
      </c>
      <c r="F2" s="14">
        <v>45965</v>
      </c>
      <c r="G2" s="11">
        <f>IF(Table1[[#This Row],[Pre-Booking Date]]&lt;&gt;"",1,0)</f>
        <v>1</v>
      </c>
      <c r="H2" s="4">
        <v>45966</v>
      </c>
      <c r="I2" s="11">
        <f>IF(Table1[[#This Row],[Booking Date]]&lt;&gt;"",1,0)</f>
        <v>1</v>
      </c>
      <c r="J2" s="30">
        <v>45971</v>
      </c>
      <c r="K2" s="11">
        <f>IF(Table1[[#This Row],[Delivery Date]]&lt;&gt;"",1,0)</f>
        <v>1</v>
      </c>
      <c r="L2" s="3" t="s">
        <v>2</v>
      </c>
      <c r="M2" s="19">
        <f>IF(Table1[[#This Row],[Cancellation Status]]&lt;&gt;"Yes",1,0)</f>
        <v>1</v>
      </c>
      <c r="O2" s="30">
        <v>45983</v>
      </c>
      <c r="P2" s="3">
        <v>4</v>
      </c>
      <c r="Q2" s="3">
        <v>1</v>
      </c>
      <c r="R2" s="3">
        <v>5</v>
      </c>
      <c r="S2" s="3">
        <v>6</v>
      </c>
      <c r="T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 t="str">
        <f>IF(Table1[[#This Row],[Customer Rating]]&gt;=9,"Promoter",IF(Table1[[#This Row],[Customer Rating]]&gt;=7,"Passive","Detractor"))</f>
        <v>Detractor</v>
      </c>
    </row>
    <row r="3" spans="1:21" ht="14.25" customHeight="1" x14ac:dyDescent="0.3">
      <c r="A3" s="3" t="s">
        <v>28</v>
      </c>
      <c r="B3" s="3" t="s">
        <v>29</v>
      </c>
      <c r="C3" s="3" t="s">
        <v>30</v>
      </c>
      <c r="D3" s="14">
        <v>45961</v>
      </c>
      <c r="E3" s="11">
        <f>1</f>
        <v>1</v>
      </c>
      <c r="F3" s="14">
        <v>45962</v>
      </c>
      <c r="G3" s="11">
        <f>IF(Table1[[#This Row],[Pre-Booking Date]]&lt;&gt;"",1,0)</f>
        <v>1</v>
      </c>
      <c r="H3" s="4">
        <v>45963</v>
      </c>
      <c r="I3" s="11">
        <f>IF(Table1[[#This Row],[Booking Date]]&lt;&gt;"",1,0)</f>
        <v>1</v>
      </c>
      <c r="J3" s="30">
        <v>45966</v>
      </c>
      <c r="K3" s="11">
        <f>IF(Table1[[#This Row],[Delivery Date]]&lt;&gt;"",1,0)</f>
        <v>1</v>
      </c>
      <c r="L3" s="3" t="s">
        <v>2</v>
      </c>
      <c r="M3" s="3">
        <f>IF(Table1[[#This Row],[Cancellation Status]]&lt;&gt;"Yes",1,0)</f>
        <v>1</v>
      </c>
      <c r="O3" s="30">
        <v>45995</v>
      </c>
      <c r="P3" s="3">
        <v>1</v>
      </c>
      <c r="Q3" s="3">
        <v>1</v>
      </c>
      <c r="R3" s="3">
        <v>3</v>
      </c>
      <c r="S3" s="3">
        <v>3</v>
      </c>
      <c r="T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 t="str">
        <f>IF(Table1[[#This Row],[Customer Rating]]&gt;=9,"Promoter",IF(Table1[[#This Row],[Customer Rating]]&gt;=7,"Passive","Detractor"))</f>
        <v>Detractor</v>
      </c>
    </row>
    <row r="4" spans="1:21" ht="14.25" customHeight="1" x14ac:dyDescent="0.3">
      <c r="A4" s="3" t="s">
        <v>31</v>
      </c>
      <c r="B4" s="3" t="s">
        <v>32</v>
      </c>
      <c r="C4" s="3" t="s">
        <v>33</v>
      </c>
      <c r="D4" s="14">
        <v>45961</v>
      </c>
      <c r="E4" s="11">
        <f>1</f>
        <v>1</v>
      </c>
      <c r="G4" s="12">
        <f>IF(Table1[[#This Row],[Pre-Booking Date]]&lt;&gt;"",1,0)</f>
        <v>0</v>
      </c>
      <c r="I4" s="12">
        <f>IF(Table1[[#This Row],[Booking Date]]&lt;&gt;"",1,0)</f>
        <v>0</v>
      </c>
      <c r="K4" s="12">
        <f>IF(Table1[[#This Row],[Delivery Date]]&lt;&gt;"",1,0)</f>
        <v>0</v>
      </c>
      <c r="L4" s="3" t="s">
        <v>3</v>
      </c>
      <c r="M4" s="3">
        <f>IF(Table1[[#This Row],[Cancellation Status]]&lt;&gt;"Yes",1,0)</f>
        <v>0</v>
      </c>
      <c r="N4" s="3" t="s">
        <v>34</v>
      </c>
      <c r="T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 t="str">
        <f>IF(Table1[[#This Row],[Customer Rating]]&gt;=9,"Promoter",IF(Table1[[#This Row],[Customer Rating]]&gt;=7,"Passive","Detractor"))</f>
        <v>Detractor</v>
      </c>
    </row>
    <row r="5" spans="1:21" ht="14.25" customHeight="1" x14ac:dyDescent="0.3">
      <c r="A5" s="3" t="s">
        <v>35</v>
      </c>
      <c r="B5" s="3" t="s">
        <v>26</v>
      </c>
      <c r="C5" s="3" t="s">
        <v>30</v>
      </c>
      <c r="D5" s="14">
        <v>45961</v>
      </c>
      <c r="E5" s="11">
        <f>1</f>
        <v>1</v>
      </c>
      <c r="F5" s="14">
        <v>45966</v>
      </c>
      <c r="G5" s="11">
        <f>IF(Table1[[#This Row],[Pre-Booking Date]]&lt;&gt;"",1,0)</f>
        <v>1</v>
      </c>
      <c r="H5" s="4">
        <v>45969</v>
      </c>
      <c r="I5" s="11">
        <f>IF(Table1[[#This Row],[Booking Date]]&lt;&gt;"",1,0)</f>
        <v>1</v>
      </c>
      <c r="J5" s="30">
        <v>45975</v>
      </c>
      <c r="K5" s="11">
        <f>IF(Table1[[#This Row],[Delivery Date]]&lt;&gt;"",1,0)</f>
        <v>1</v>
      </c>
      <c r="L5" s="3" t="s">
        <v>2</v>
      </c>
      <c r="M5" s="3">
        <f>IF(Table1[[#This Row],[Cancellation Status]]&lt;&gt;"Yes",1,0)</f>
        <v>1</v>
      </c>
      <c r="O5" s="30">
        <v>45996</v>
      </c>
      <c r="P5" s="3">
        <v>5</v>
      </c>
      <c r="Q5" s="3">
        <v>3</v>
      </c>
      <c r="R5" s="3">
        <v>6</v>
      </c>
      <c r="S5" s="3">
        <v>5</v>
      </c>
      <c r="T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 t="str">
        <f>IF(Table1[[#This Row],[Customer Rating]]&gt;=9,"Promoter",IF(Table1[[#This Row],[Customer Rating]]&gt;=7,"Passive","Detractor"))</f>
        <v>Detractor</v>
      </c>
    </row>
    <row r="6" spans="1:21" ht="14.25" customHeight="1" x14ac:dyDescent="0.3">
      <c r="A6" s="3" t="s">
        <v>36</v>
      </c>
      <c r="B6" s="3" t="s">
        <v>32</v>
      </c>
      <c r="C6" s="3" t="s">
        <v>33</v>
      </c>
      <c r="D6" s="14">
        <v>45961</v>
      </c>
      <c r="E6" s="11">
        <f>1</f>
        <v>1</v>
      </c>
      <c r="G6" s="12">
        <f>IF(Table1[[#This Row],[Pre-Booking Date]]&lt;&gt;"",1,0)</f>
        <v>0</v>
      </c>
      <c r="I6" s="12">
        <f>IF(Table1[[#This Row],[Booking Date]]&lt;&gt;"",1,0)</f>
        <v>0</v>
      </c>
      <c r="K6" s="12">
        <f>IF(Table1[[#This Row],[Delivery Date]]&lt;&gt;"",1,0)</f>
        <v>0</v>
      </c>
      <c r="L6" s="3" t="s">
        <v>3</v>
      </c>
      <c r="M6" s="3">
        <f>IF(Table1[[#This Row],[Cancellation Status]]&lt;&gt;"Yes",1,0)</f>
        <v>0</v>
      </c>
      <c r="N6" s="3" t="s">
        <v>37</v>
      </c>
      <c r="T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 t="str">
        <f>IF(Table1[[#This Row],[Customer Rating]]&gt;=9,"Promoter",IF(Table1[[#This Row],[Customer Rating]]&gt;=7,"Passive","Detractor"))</f>
        <v>Detractor</v>
      </c>
    </row>
    <row r="7" spans="1:21" ht="14.25" customHeight="1" x14ac:dyDescent="0.3">
      <c r="A7" s="3" t="s">
        <v>38</v>
      </c>
      <c r="B7" s="3" t="s">
        <v>39</v>
      </c>
      <c r="C7" s="3" t="s">
        <v>30</v>
      </c>
      <c r="D7" s="14">
        <v>45961</v>
      </c>
      <c r="E7" s="11">
        <f>1</f>
        <v>1</v>
      </c>
      <c r="F7" s="14">
        <v>45966</v>
      </c>
      <c r="G7" s="11">
        <f>IF(Table1[[#This Row],[Pre-Booking Date]]&lt;&gt;"",1,0)</f>
        <v>1</v>
      </c>
      <c r="H7" s="4">
        <v>45970</v>
      </c>
      <c r="I7" s="11">
        <f>IF(Table1[[#This Row],[Booking Date]]&lt;&gt;"",1,0)</f>
        <v>1</v>
      </c>
      <c r="J7" s="30">
        <v>45976</v>
      </c>
      <c r="K7" s="11">
        <f>IF(Table1[[#This Row],[Delivery Date]]&lt;&gt;"",1,0)</f>
        <v>1</v>
      </c>
      <c r="L7" s="3" t="s">
        <v>2</v>
      </c>
      <c r="M7" s="3">
        <f>IF(Table1[[#This Row],[Cancellation Status]]&lt;&gt;"Yes",1,0)</f>
        <v>1</v>
      </c>
      <c r="O7" s="30">
        <v>45998</v>
      </c>
      <c r="P7" s="3">
        <v>5</v>
      </c>
      <c r="Q7" s="3">
        <v>4</v>
      </c>
      <c r="R7" s="3">
        <v>6</v>
      </c>
      <c r="S7" s="3">
        <v>8</v>
      </c>
      <c r="T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 t="str">
        <f>IF(Table1[[#This Row],[Customer Rating]]&gt;=9,"Promoter",IF(Table1[[#This Row],[Customer Rating]]&gt;=7,"Passive","Detractor"))</f>
        <v>Passive</v>
      </c>
    </row>
    <row r="8" spans="1:21" ht="14.25" customHeight="1" x14ac:dyDescent="0.3">
      <c r="A8" s="3" t="s">
        <v>40</v>
      </c>
      <c r="B8" s="3" t="s">
        <v>39</v>
      </c>
      <c r="C8" s="3" t="s">
        <v>33</v>
      </c>
      <c r="D8" s="14">
        <v>45961</v>
      </c>
      <c r="E8" s="11">
        <f>1</f>
        <v>1</v>
      </c>
      <c r="G8" s="12">
        <f>IF(Table1[[#This Row],[Pre-Booking Date]]&lt;&gt;"",1,0)</f>
        <v>0</v>
      </c>
      <c r="I8" s="12">
        <f>IF(Table1[[#This Row],[Booking Date]]&lt;&gt;"",1,0)</f>
        <v>0</v>
      </c>
      <c r="K8" s="12">
        <f>IF(Table1[[#This Row],[Delivery Date]]&lt;&gt;"",1,0)</f>
        <v>0</v>
      </c>
      <c r="L8" s="3" t="s">
        <v>3</v>
      </c>
      <c r="M8" s="3">
        <f>IF(Table1[[#This Row],[Cancellation Status]]&lt;&gt;"Yes",1,0)</f>
        <v>0</v>
      </c>
      <c r="N8" s="3" t="s">
        <v>34</v>
      </c>
      <c r="T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 t="str">
        <f>IF(Table1[[#This Row],[Customer Rating]]&gt;=9,"Promoter",IF(Table1[[#This Row],[Customer Rating]]&gt;=7,"Passive","Detractor"))</f>
        <v>Detractor</v>
      </c>
    </row>
    <row r="9" spans="1:21" ht="14.25" customHeight="1" x14ac:dyDescent="0.3">
      <c r="A9" s="3" t="s">
        <v>41</v>
      </c>
      <c r="B9" s="3" t="s">
        <v>32</v>
      </c>
      <c r="C9" s="3" t="s">
        <v>27</v>
      </c>
      <c r="D9" s="14">
        <v>45961</v>
      </c>
      <c r="E9" s="11">
        <f>1</f>
        <v>1</v>
      </c>
      <c r="F9" s="14">
        <v>45965</v>
      </c>
      <c r="G9" s="11">
        <f>IF(Table1[[#This Row],[Pre-Booking Date]]&lt;&gt;"",1,0)</f>
        <v>1</v>
      </c>
      <c r="H9" s="4">
        <v>45970</v>
      </c>
      <c r="I9" s="11">
        <f>IF(Table1[[#This Row],[Booking Date]]&lt;&gt;"",1,0)</f>
        <v>1</v>
      </c>
      <c r="J9" s="30">
        <v>45972</v>
      </c>
      <c r="K9" s="11">
        <f>IF(Table1[[#This Row],[Delivery Date]]&lt;&gt;"",1,0)</f>
        <v>1</v>
      </c>
      <c r="L9" s="3" t="s">
        <v>3</v>
      </c>
      <c r="M9" s="3">
        <f>IF(Table1[[#This Row],[Cancellation Status]]&lt;&gt;"Yes",1,0)</f>
        <v>0</v>
      </c>
      <c r="N9" s="3" t="s">
        <v>42</v>
      </c>
      <c r="P9" s="3">
        <v>4</v>
      </c>
      <c r="Q9" s="3">
        <v>5</v>
      </c>
      <c r="R9" s="3">
        <v>2</v>
      </c>
      <c r="T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 t="str">
        <f>IF(Table1[[#This Row],[Customer Rating]]&gt;=9,"Promoter",IF(Table1[[#This Row],[Customer Rating]]&gt;=7,"Passive","Detractor"))</f>
        <v>Detractor</v>
      </c>
    </row>
    <row r="10" spans="1:21" ht="14.25" customHeight="1" x14ac:dyDescent="0.3">
      <c r="A10" s="3" t="s">
        <v>43</v>
      </c>
      <c r="B10" s="3" t="s">
        <v>39</v>
      </c>
      <c r="C10" s="3" t="s">
        <v>33</v>
      </c>
      <c r="D10" s="14">
        <v>45961</v>
      </c>
      <c r="E10" s="11">
        <f>1</f>
        <v>1</v>
      </c>
      <c r="G10" s="12">
        <f>IF(Table1[[#This Row],[Pre-Booking Date]]&lt;&gt;"",1,0)</f>
        <v>0</v>
      </c>
      <c r="I10" s="12">
        <f>IF(Table1[[#This Row],[Booking Date]]&lt;&gt;"",1,0)</f>
        <v>0</v>
      </c>
      <c r="K10" s="12">
        <f>IF(Table1[[#This Row],[Delivery Date]]&lt;&gt;"",1,0)</f>
        <v>0</v>
      </c>
      <c r="L10" s="3" t="s">
        <v>3</v>
      </c>
      <c r="M10" s="3">
        <f>IF(Table1[[#This Row],[Cancellation Status]]&lt;&gt;"Yes",1,0)</f>
        <v>0</v>
      </c>
      <c r="N10" s="3" t="s">
        <v>34</v>
      </c>
      <c r="T1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0" t="str">
        <f>IF(Table1[[#This Row],[Customer Rating]]&gt;=9,"Promoter",IF(Table1[[#This Row],[Customer Rating]]&gt;=7,"Passive","Detractor"))</f>
        <v>Detractor</v>
      </c>
    </row>
    <row r="11" spans="1:21" ht="14.25" customHeight="1" x14ac:dyDescent="0.3">
      <c r="A11" s="3" t="s">
        <v>44</v>
      </c>
      <c r="B11" s="3" t="s">
        <v>32</v>
      </c>
      <c r="C11" s="3" t="s">
        <v>27</v>
      </c>
      <c r="D11" s="14">
        <v>45961</v>
      </c>
      <c r="E11" s="11">
        <f>1</f>
        <v>1</v>
      </c>
      <c r="F11" s="14">
        <v>45965</v>
      </c>
      <c r="G11" s="11">
        <f>IF(Table1[[#This Row],[Pre-Booking Date]]&lt;&gt;"",1,0)</f>
        <v>1</v>
      </c>
      <c r="H11" s="4">
        <v>45970</v>
      </c>
      <c r="I11" s="11">
        <f>IF(Table1[[#This Row],[Booking Date]]&lt;&gt;"",1,0)</f>
        <v>1</v>
      </c>
      <c r="J11" s="30">
        <v>45974</v>
      </c>
      <c r="K11" s="11">
        <f>IF(Table1[[#This Row],[Delivery Date]]&lt;&gt;"",1,0)</f>
        <v>1</v>
      </c>
      <c r="L11" s="3" t="s">
        <v>2</v>
      </c>
      <c r="M11" s="3">
        <f>IF(Table1[[#This Row],[Cancellation Status]]&lt;&gt;"Yes",1,0)</f>
        <v>1</v>
      </c>
      <c r="O11" s="30">
        <v>45999</v>
      </c>
      <c r="P11" s="3">
        <v>4</v>
      </c>
      <c r="Q11" s="3">
        <v>5</v>
      </c>
      <c r="R11" s="3">
        <v>4</v>
      </c>
      <c r="S11" s="3">
        <v>7</v>
      </c>
      <c r="T1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1" t="str">
        <f>IF(Table1[[#This Row],[Customer Rating]]&gt;=9,"Promoter",IF(Table1[[#This Row],[Customer Rating]]&gt;=7,"Passive","Detractor"))</f>
        <v>Passive</v>
      </c>
    </row>
    <row r="12" spans="1:21" ht="14.25" customHeight="1" x14ac:dyDescent="0.3">
      <c r="A12" s="3" t="s">
        <v>45</v>
      </c>
      <c r="B12" s="3" t="s">
        <v>32</v>
      </c>
      <c r="C12" s="3" t="s">
        <v>30</v>
      </c>
      <c r="D12" s="14">
        <v>45961</v>
      </c>
      <c r="E12" s="11">
        <f>1</f>
        <v>1</v>
      </c>
      <c r="F12" s="14">
        <v>45966</v>
      </c>
      <c r="G12" s="11">
        <f>IF(Table1[[#This Row],[Pre-Booking Date]]&lt;&gt;"",1,0)</f>
        <v>1</v>
      </c>
      <c r="H12" s="4">
        <v>45971</v>
      </c>
      <c r="I12" s="11">
        <f>IF(Table1[[#This Row],[Booking Date]]&lt;&gt;"",1,0)</f>
        <v>1</v>
      </c>
      <c r="J12" s="30">
        <v>45978</v>
      </c>
      <c r="K12" s="11">
        <f>IF(Table1[[#This Row],[Delivery Date]]&lt;&gt;"",1,0)</f>
        <v>1</v>
      </c>
      <c r="L12" s="3" t="s">
        <v>2</v>
      </c>
      <c r="M12" s="3">
        <f>IF(Table1[[#This Row],[Cancellation Status]]&lt;&gt;"Yes",1,0)</f>
        <v>1</v>
      </c>
      <c r="O12" s="30">
        <v>45990</v>
      </c>
      <c r="P12" s="3">
        <v>5</v>
      </c>
      <c r="Q12" s="3">
        <v>5</v>
      </c>
      <c r="R12" s="3">
        <v>7</v>
      </c>
      <c r="S12" s="3">
        <v>6</v>
      </c>
      <c r="T1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2" t="str">
        <f>IF(Table1[[#This Row],[Customer Rating]]&gt;=9,"Promoter",IF(Table1[[#This Row],[Customer Rating]]&gt;=7,"Passive","Detractor"))</f>
        <v>Detractor</v>
      </c>
    </row>
    <row r="13" spans="1:21" ht="14.25" customHeight="1" x14ac:dyDescent="0.3">
      <c r="A13" s="3" t="s">
        <v>46</v>
      </c>
      <c r="B13" s="3" t="s">
        <v>29</v>
      </c>
      <c r="C13" s="3" t="s">
        <v>30</v>
      </c>
      <c r="D13" s="14">
        <v>45961</v>
      </c>
      <c r="E13" s="11">
        <f>1</f>
        <v>1</v>
      </c>
      <c r="F13" s="14">
        <v>45965</v>
      </c>
      <c r="G13" s="11">
        <f>IF(Table1[[#This Row],[Pre-Booking Date]]&lt;&gt;"",1,0)</f>
        <v>1</v>
      </c>
      <c r="H13" s="4">
        <v>45969</v>
      </c>
      <c r="I13" s="11">
        <f>IF(Table1[[#This Row],[Booking Date]]&lt;&gt;"",1,0)</f>
        <v>1</v>
      </c>
      <c r="J13" s="30">
        <v>45975</v>
      </c>
      <c r="K13" s="11">
        <f>IF(Table1[[#This Row],[Delivery Date]]&lt;&gt;"",1,0)</f>
        <v>1</v>
      </c>
      <c r="L13" s="3" t="s">
        <v>2</v>
      </c>
      <c r="M13" s="3">
        <f>IF(Table1[[#This Row],[Cancellation Status]]&lt;&gt;"Yes",1,0)</f>
        <v>1</v>
      </c>
      <c r="O13" s="30">
        <v>45992</v>
      </c>
      <c r="P13" s="3">
        <v>4</v>
      </c>
      <c r="Q13" s="3">
        <v>4</v>
      </c>
      <c r="R13" s="3">
        <v>6</v>
      </c>
      <c r="S13" s="3">
        <v>6</v>
      </c>
      <c r="T1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3" t="str">
        <f>IF(Table1[[#This Row],[Customer Rating]]&gt;=9,"Promoter",IF(Table1[[#This Row],[Customer Rating]]&gt;=7,"Passive","Detractor"))</f>
        <v>Detractor</v>
      </c>
    </row>
    <row r="14" spans="1:21" ht="14.25" customHeight="1" x14ac:dyDescent="0.3">
      <c r="A14" s="3" t="s">
        <v>47</v>
      </c>
      <c r="B14" s="3" t="s">
        <v>32</v>
      </c>
      <c r="C14" s="3" t="s">
        <v>27</v>
      </c>
      <c r="D14" s="14">
        <v>45961</v>
      </c>
      <c r="E14" s="11">
        <f>1</f>
        <v>1</v>
      </c>
      <c r="F14" s="14">
        <v>45962</v>
      </c>
      <c r="G14" s="11">
        <f>IF(Table1[[#This Row],[Pre-Booking Date]]&lt;&gt;"",1,0)</f>
        <v>1</v>
      </c>
      <c r="H14" s="4">
        <v>45967</v>
      </c>
      <c r="I14" s="11">
        <f>IF(Table1[[#This Row],[Booking Date]]&lt;&gt;"",1,0)</f>
        <v>1</v>
      </c>
      <c r="J14" s="30">
        <v>45974</v>
      </c>
      <c r="K14" s="11">
        <f>IF(Table1[[#This Row],[Delivery Date]]&lt;&gt;"",1,0)</f>
        <v>1</v>
      </c>
      <c r="L14" s="3" t="s">
        <v>3</v>
      </c>
      <c r="M14" s="3">
        <f>IF(Table1[[#This Row],[Cancellation Status]]&lt;&gt;"Yes",1,0)</f>
        <v>0</v>
      </c>
      <c r="N14" s="3" t="s">
        <v>37</v>
      </c>
      <c r="P14" s="3">
        <v>1</v>
      </c>
      <c r="Q14" s="3">
        <v>5</v>
      </c>
      <c r="R14" s="3">
        <v>7</v>
      </c>
      <c r="T1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4" t="str">
        <f>IF(Table1[[#This Row],[Customer Rating]]&gt;=9,"Promoter",IF(Table1[[#This Row],[Customer Rating]]&gt;=7,"Passive","Detractor"))</f>
        <v>Detractor</v>
      </c>
    </row>
    <row r="15" spans="1:21" ht="14.25" customHeight="1" x14ac:dyDescent="0.3">
      <c r="A15" s="3" t="s">
        <v>48</v>
      </c>
      <c r="B15" s="3" t="s">
        <v>32</v>
      </c>
      <c r="C15" s="3" t="s">
        <v>27</v>
      </c>
      <c r="D15" s="14">
        <v>45961</v>
      </c>
      <c r="E15" s="11">
        <f>1</f>
        <v>1</v>
      </c>
      <c r="F15" s="14">
        <v>45966</v>
      </c>
      <c r="G15" s="11">
        <f>IF(Table1[[#This Row],[Pre-Booking Date]]&lt;&gt;"",1,0)</f>
        <v>1</v>
      </c>
      <c r="H15" s="4">
        <v>45969</v>
      </c>
      <c r="I15" s="11">
        <f>IF(Table1[[#This Row],[Booking Date]]&lt;&gt;"",1,0)</f>
        <v>1</v>
      </c>
      <c r="J15" s="30">
        <v>45976</v>
      </c>
      <c r="K15" s="11">
        <f>IF(Table1[[#This Row],[Delivery Date]]&lt;&gt;"",1,0)</f>
        <v>1</v>
      </c>
      <c r="L15" s="3" t="s">
        <v>2</v>
      </c>
      <c r="M15" s="3">
        <f>IF(Table1[[#This Row],[Cancellation Status]]&lt;&gt;"Yes",1,0)</f>
        <v>1</v>
      </c>
      <c r="O15" s="30">
        <v>46003</v>
      </c>
      <c r="P15" s="3">
        <v>5</v>
      </c>
      <c r="Q15" s="3">
        <v>3</v>
      </c>
      <c r="R15" s="3">
        <v>7</v>
      </c>
      <c r="S15" s="3">
        <v>10</v>
      </c>
      <c r="T1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5" t="str">
        <f>IF(Table1[[#This Row],[Customer Rating]]&gt;=9,"Promoter",IF(Table1[[#This Row],[Customer Rating]]&gt;=7,"Passive","Detractor"))</f>
        <v>Promoter</v>
      </c>
    </row>
    <row r="16" spans="1:21" ht="14.25" customHeight="1" x14ac:dyDescent="0.3">
      <c r="A16" s="3" t="s">
        <v>49</v>
      </c>
      <c r="B16" s="3" t="s">
        <v>29</v>
      </c>
      <c r="C16" s="3" t="s">
        <v>27</v>
      </c>
      <c r="D16" s="14">
        <v>45961</v>
      </c>
      <c r="E16" s="11">
        <f>1</f>
        <v>1</v>
      </c>
      <c r="F16" s="14">
        <v>45965</v>
      </c>
      <c r="G16" s="11">
        <f>IF(Table1[[#This Row],[Pre-Booking Date]]&lt;&gt;"",1,0)</f>
        <v>1</v>
      </c>
      <c r="H16" s="4">
        <v>45970</v>
      </c>
      <c r="I16" s="11">
        <f>IF(Table1[[#This Row],[Booking Date]]&lt;&gt;"",1,0)</f>
        <v>1</v>
      </c>
      <c r="J16" s="30">
        <v>45976</v>
      </c>
      <c r="K16" s="11">
        <f>IF(Table1[[#This Row],[Delivery Date]]&lt;&gt;"",1,0)</f>
        <v>1</v>
      </c>
      <c r="L16" s="3" t="s">
        <v>2</v>
      </c>
      <c r="M16" s="3">
        <f>IF(Table1[[#This Row],[Cancellation Status]]&lt;&gt;"Yes",1,0)</f>
        <v>1</v>
      </c>
      <c r="O16" s="30">
        <v>45995</v>
      </c>
      <c r="P16" s="3">
        <v>4</v>
      </c>
      <c r="Q16" s="3">
        <v>5</v>
      </c>
      <c r="R16" s="3">
        <v>6</v>
      </c>
      <c r="S16" s="3">
        <v>5</v>
      </c>
      <c r="T1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6" t="str">
        <f>IF(Table1[[#This Row],[Customer Rating]]&gt;=9,"Promoter",IF(Table1[[#This Row],[Customer Rating]]&gt;=7,"Passive","Detractor"))</f>
        <v>Detractor</v>
      </c>
    </row>
    <row r="17" spans="1:21" ht="14.25" customHeight="1" x14ac:dyDescent="0.3">
      <c r="A17" s="3" t="s">
        <v>50</v>
      </c>
      <c r="B17" s="3" t="s">
        <v>29</v>
      </c>
      <c r="C17" s="3" t="s">
        <v>33</v>
      </c>
      <c r="D17" s="14">
        <v>45961</v>
      </c>
      <c r="E17" s="11">
        <f>1</f>
        <v>1</v>
      </c>
      <c r="G17" s="12">
        <f>IF(Table1[[#This Row],[Pre-Booking Date]]&lt;&gt;"",1,0)</f>
        <v>0</v>
      </c>
      <c r="I17" s="12">
        <f>IF(Table1[[#This Row],[Booking Date]]&lt;&gt;"",1,0)</f>
        <v>0</v>
      </c>
      <c r="K17" s="12">
        <f>IF(Table1[[#This Row],[Delivery Date]]&lt;&gt;"",1,0)</f>
        <v>0</v>
      </c>
      <c r="L17" s="3" t="s">
        <v>3</v>
      </c>
      <c r="M17" s="3">
        <f>IF(Table1[[#This Row],[Cancellation Status]]&lt;&gt;"Yes",1,0)</f>
        <v>0</v>
      </c>
      <c r="N17" s="3" t="s">
        <v>37</v>
      </c>
      <c r="T1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7" t="str">
        <f>IF(Table1[[#This Row],[Customer Rating]]&gt;=9,"Promoter",IF(Table1[[#This Row],[Customer Rating]]&gt;=7,"Passive","Detractor"))</f>
        <v>Detractor</v>
      </c>
    </row>
    <row r="18" spans="1:21" ht="14.25" customHeight="1" x14ac:dyDescent="0.3">
      <c r="A18" s="3" t="s">
        <v>51</v>
      </c>
      <c r="B18" s="3" t="s">
        <v>29</v>
      </c>
      <c r="C18" s="3" t="s">
        <v>33</v>
      </c>
      <c r="D18" s="14">
        <v>45961</v>
      </c>
      <c r="E18" s="11">
        <f>1</f>
        <v>1</v>
      </c>
      <c r="G18" s="12">
        <f>IF(Table1[[#This Row],[Pre-Booking Date]]&lt;&gt;"",1,0)</f>
        <v>0</v>
      </c>
      <c r="I18" s="12">
        <f>IF(Table1[[#This Row],[Booking Date]]&lt;&gt;"",1,0)</f>
        <v>0</v>
      </c>
      <c r="K18" s="12">
        <f>IF(Table1[[#This Row],[Delivery Date]]&lt;&gt;"",1,0)</f>
        <v>0</v>
      </c>
      <c r="L18" s="3" t="s">
        <v>3</v>
      </c>
      <c r="M18" s="3">
        <f>IF(Table1[[#This Row],[Cancellation Status]]&lt;&gt;"Yes",1,0)</f>
        <v>0</v>
      </c>
      <c r="N18" s="3" t="s">
        <v>52</v>
      </c>
      <c r="T1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8" t="str">
        <f>IF(Table1[[#This Row],[Customer Rating]]&gt;=9,"Promoter",IF(Table1[[#This Row],[Customer Rating]]&gt;=7,"Passive","Detractor"))</f>
        <v>Detractor</v>
      </c>
    </row>
    <row r="19" spans="1:21" ht="14.25" customHeight="1" x14ac:dyDescent="0.3">
      <c r="A19" s="3" t="s">
        <v>53</v>
      </c>
      <c r="B19" s="3" t="s">
        <v>26</v>
      </c>
      <c r="C19" s="3" t="s">
        <v>27</v>
      </c>
      <c r="D19" s="14">
        <v>45961</v>
      </c>
      <c r="E19" s="11">
        <f>1</f>
        <v>1</v>
      </c>
      <c r="F19" s="14">
        <v>45966</v>
      </c>
      <c r="G19" s="11">
        <f>IF(Table1[[#This Row],[Pre-Booking Date]]&lt;&gt;"",1,0)</f>
        <v>1</v>
      </c>
      <c r="H19" s="4">
        <v>45967</v>
      </c>
      <c r="I19" s="11">
        <f>IF(Table1[[#This Row],[Booking Date]]&lt;&gt;"",1,0)</f>
        <v>1</v>
      </c>
      <c r="J19" s="30">
        <v>45974</v>
      </c>
      <c r="K19" s="11">
        <f>IF(Table1[[#This Row],[Delivery Date]]&lt;&gt;"",1,0)</f>
        <v>1</v>
      </c>
      <c r="L19" s="3" t="s">
        <v>2</v>
      </c>
      <c r="M19" s="3">
        <f>IF(Table1[[#This Row],[Cancellation Status]]&lt;&gt;"Yes",1,0)</f>
        <v>1</v>
      </c>
      <c r="O19" s="30">
        <v>46003</v>
      </c>
      <c r="P19" s="3">
        <v>5</v>
      </c>
      <c r="Q19" s="3">
        <v>1</v>
      </c>
      <c r="R19" s="3">
        <v>7</v>
      </c>
      <c r="S19" s="3">
        <v>6</v>
      </c>
      <c r="T1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9" t="str">
        <f>IF(Table1[[#This Row],[Customer Rating]]&gt;=9,"Promoter",IF(Table1[[#This Row],[Customer Rating]]&gt;=7,"Passive","Detractor"))</f>
        <v>Detractor</v>
      </c>
    </row>
    <row r="20" spans="1:21" ht="14.25" customHeight="1" x14ac:dyDescent="0.3">
      <c r="A20" s="3" t="s">
        <v>54</v>
      </c>
      <c r="B20" s="3" t="s">
        <v>32</v>
      </c>
      <c r="C20" s="3" t="s">
        <v>27</v>
      </c>
      <c r="D20" s="14">
        <v>45961</v>
      </c>
      <c r="E20" s="11">
        <f>1</f>
        <v>1</v>
      </c>
      <c r="F20" s="14">
        <v>45964</v>
      </c>
      <c r="G20" s="11">
        <f>IF(Table1[[#This Row],[Pre-Booking Date]]&lt;&gt;"",1,0)</f>
        <v>1</v>
      </c>
      <c r="H20" s="4">
        <v>45965</v>
      </c>
      <c r="I20" s="11">
        <f>IF(Table1[[#This Row],[Booking Date]]&lt;&gt;"",1,0)</f>
        <v>1</v>
      </c>
      <c r="J20" s="30">
        <v>45968</v>
      </c>
      <c r="K20" s="11">
        <f>IF(Table1[[#This Row],[Delivery Date]]&lt;&gt;"",1,0)</f>
        <v>1</v>
      </c>
      <c r="L20" s="3" t="s">
        <v>3</v>
      </c>
      <c r="M20" s="3">
        <f>IF(Table1[[#This Row],[Cancellation Status]]&lt;&gt;"Yes",1,0)</f>
        <v>0</v>
      </c>
      <c r="N20" s="3" t="s">
        <v>55</v>
      </c>
      <c r="P20" s="3">
        <v>3</v>
      </c>
      <c r="Q20" s="3">
        <v>1</v>
      </c>
      <c r="R20" s="3">
        <v>3</v>
      </c>
      <c r="T2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0" t="str">
        <f>IF(Table1[[#This Row],[Customer Rating]]&gt;=9,"Promoter",IF(Table1[[#This Row],[Customer Rating]]&gt;=7,"Passive","Detractor"))</f>
        <v>Detractor</v>
      </c>
    </row>
    <row r="21" spans="1:21" ht="14.25" customHeight="1" x14ac:dyDescent="0.3">
      <c r="A21" s="3" t="s">
        <v>56</v>
      </c>
      <c r="B21" s="3" t="s">
        <v>29</v>
      </c>
      <c r="C21" s="3" t="s">
        <v>27</v>
      </c>
      <c r="D21" s="14">
        <v>45961</v>
      </c>
      <c r="E21" s="11">
        <f>1</f>
        <v>1</v>
      </c>
      <c r="F21" s="14">
        <v>45964</v>
      </c>
      <c r="G21" s="11">
        <f>IF(Table1[[#This Row],[Pre-Booking Date]]&lt;&gt;"",1,0)</f>
        <v>1</v>
      </c>
      <c r="H21" s="4">
        <v>45966</v>
      </c>
      <c r="I21" s="11">
        <f>IF(Table1[[#This Row],[Booking Date]]&lt;&gt;"",1,0)</f>
        <v>1</v>
      </c>
      <c r="J21" s="30">
        <v>45968</v>
      </c>
      <c r="K21" s="11">
        <f>IF(Table1[[#This Row],[Delivery Date]]&lt;&gt;"",1,0)</f>
        <v>1</v>
      </c>
      <c r="L21" s="3" t="s">
        <v>2</v>
      </c>
      <c r="M21" s="3">
        <f>IF(Table1[[#This Row],[Cancellation Status]]&lt;&gt;"Yes",1,0)</f>
        <v>1</v>
      </c>
      <c r="O21" s="30">
        <v>45987</v>
      </c>
      <c r="P21" s="3">
        <v>3</v>
      </c>
      <c r="Q21" s="3">
        <v>2</v>
      </c>
      <c r="R21" s="3">
        <v>2</v>
      </c>
      <c r="S21" s="3">
        <v>3</v>
      </c>
      <c r="T2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1" t="str">
        <f>IF(Table1[[#This Row],[Customer Rating]]&gt;=9,"Promoter",IF(Table1[[#This Row],[Customer Rating]]&gt;=7,"Passive","Detractor"))</f>
        <v>Detractor</v>
      </c>
    </row>
    <row r="22" spans="1:21" ht="14.25" customHeight="1" x14ac:dyDescent="0.3">
      <c r="A22" s="3" t="s">
        <v>57</v>
      </c>
      <c r="B22" s="3" t="s">
        <v>26</v>
      </c>
      <c r="C22" s="3" t="s">
        <v>27</v>
      </c>
      <c r="D22" s="14">
        <v>45961</v>
      </c>
      <c r="E22" s="11">
        <f>1</f>
        <v>1</v>
      </c>
      <c r="F22" s="14">
        <v>45963</v>
      </c>
      <c r="G22" s="11">
        <f>IF(Table1[[#This Row],[Pre-Booking Date]]&lt;&gt;"",1,0)</f>
        <v>1</v>
      </c>
      <c r="H22" s="4">
        <v>45967</v>
      </c>
      <c r="I22" s="11">
        <f>IF(Table1[[#This Row],[Booking Date]]&lt;&gt;"",1,0)</f>
        <v>1</v>
      </c>
      <c r="J22" s="30">
        <v>45972</v>
      </c>
      <c r="K22" s="11">
        <f>IF(Table1[[#This Row],[Delivery Date]]&lt;&gt;"",1,0)</f>
        <v>1</v>
      </c>
      <c r="L22" s="3" t="s">
        <v>2</v>
      </c>
      <c r="M22" s="3">
        <f>IF(Table1[[#This Row],[Cancellation Status]]&lt;&gt;"Yes",1,0)</f>
        <v>1</v>
      </c>
      <c r="O22" s="30">
        <v>46001</v>
      </c>
      <c r="P22" s="3">
        <v>2</v>
      </c>
      <c r="Q22" s="3">
        <v>4</v>
      </c>
      <c r="R22" s="3">
        <v>5</v>
      </c>
      <c r="S22" s="3">
        <v>3</v>
      </c>
      <c r="T2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2" t="str">
        <f>IF(Table1[[#This Row],[Customer Rating]]&gt;=9,"Promoter",IF(Table1[[#This Row],[Customer Rating]]&gt;=7,"Passive","Detractor"))</f>
        <v>Detractor</v>
      </c>
    </row>
    <row r="23" spans="1:21" ht="14.25" customHeight="1" x14ac:dyDescent="0.3">
      <c r="A23" s="3" t="s">
        <v>58</v>
      </c>
      <c r="B23" s="3" t="s">
        <v>32</v>
      </c>
      <c r="C23" s="3" t="s">
        <v>27</v>
      </c>
      <c r="D23" s="14">
        <v>45961</v>
      </c>
      <c r="E23" s="11">
        <f>1</f>
        <v>1</v>
      </c>
      <c r="F23" s="14">
        <v>45966</v>
      </c>
      <c r="G23" s="11">
        <f>IF(Table1[[#This Row],[Pre-Booking Date]]&lt;&gt;"",1,0)</f>
        <v>1</v>
      </c>
      <c r="H23" s="4">
        <v>45968</v>
      </c>
      <c r="I23" s="11">
        <f>IF(Table1[[#This Row],[Booking Date]]&lt;&gt;"",1,0)</f>
        <v>1</v>
      </c>
      <c r="J23" s="30">
        <v>45970</v>
      </c>
      <c r="K23" s="11">
        <f>IF(Table1[[#This Row],[Delivery Date]]&lt;&gt;"",1,0)</f>
        <v>1</v>
      </c>
      <c r="L23" s="3" t="s">
        <v>2</v>
      </c>
      <c r="M23" s="3">
        <f>IF(Table1[[#This Row],[Cancellation Status]]&lt;&gt;"Yes",1,0)</f>
        <v>1</v>
      </c>
      <c r="O23" s="30">
        <v>46000</v>
      </c>
      <c r="P23" s="3">
        <v>5</v>
      </c>
      <c r="Q23" s="3">
        <v>2</v>
      </c>
      <c r="R23" s="3">
        <v>2</v>
      </c>
      <c r="S23" s="3">
        <v>1</v>
      </c>
      <c r="T2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3" t="str">
        <f>IF(Table1[[#This Row],[Customer Rating]]&gt;=9,"Promoter",IF(Table1[[#This Row],[Customer Rating]]&gt;=7,"Passive","Detractor"))</f>
        <v>Detractor</v>
      </c>
    </row>
    <row r="24" spans="1:21" ht="14.25" customHeight="1" x14ac:dyDescent="0.3">
      <c r="A24" s="3" t="s">
        <v>59</v>
      </c>
      <c r="B24" s="3" t="s">
        <v>39</v>
      </c>
      <c r="C24" s="3" t="s">
        <v>30</v>
      </c>
      <c r="D24" s="14">
        <v>45961</v>
      </c>
      <c r="E24" s="11">
        <f>1</f>
        <v>1</v>
      </c>
      <c r="F24" s="14">
        <v>45964</v>
      </c>
      <c r="G24" s="11">
        <f>IF(Table1[[#This Row],[Pre-Booking Date]]&lt;&gt;"",1,0)</f>
        <v>1</v>
      </c>
      <c r="H24" s="4">
        <v>45965</v>
      </c>
      <c r="I24" s="11">
        <f>IF(Table1[[#This Row],[Booking Date]]&lt;&gt;"",1,0)</f>
        <v>1</v>
      </c>
      <c r="J24" s="30">
        <v>45970</v>
      </c>
      <c r="K24" s="11">
        <f>IF(Table1[[#This Row],[Delivery Date]]&lt;&gt;"",1,0)</f>
        <v>1</v>
      </c>
      <c r="L24" s="3" t="s">
        <v>2</v>
      </c>
      <c r="M24" s="3">
        <f>IF(Table1[[#This Row],[Cancellation Status]]&lt;&gt;"Yes",1,0)</f>
        <v>1</v>
      </c>
      <c r="O24" s="30">
        <v>45997</v>
      </c>
      <c r="P24" s="3">
        <v>3</v>
      </c>
      <c r="Q24" s="3">
        <v>1</v>
      </c>
      <c r="R24" s="3">
        <v>5</v>
      </c>
      <c r="S24" s="3">
        <v>7</v>
      </c>
      <c r="T2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4" t="str">
        <f>IF(Table1[[#This Row],[Customer Rating]]&gt;=9,"Promoter",IF(Table1[[#This Row],[Customer Rating]]&gt;=7,"Passive","Detractor"))</f>
        <v>Passive</v>
      </c>
    </row>
    <row r="25" spans="1:21" ht="14.25" customHeight="1" x14ac:dyDescent="0.3">
      <c r="A25" s="3" t="s">
        <v>60</v>
      </c>
      <c r="B25" s="3" t="s">
        <v>29</v>
      </c>
      <c r="C25" s="3" t="s">
        <v>27</v>
      </c>
      <c r="D25" s="14">
        <v>45961</v>
      </c>
      <c r="E25" s="11">
        <f>1</f>
        <v>1</v>
      </c>
      <c r="F25" s="14">
        <v>45965</v>
      </c>
      <c r="G25" s="11">
        <f>IF(Table1[[#This Row],[Pre-Booking Date]]&lt;&gt;"",1,0)</f>
        <v>1</v>
      </c>
      <c r="H25" s="4">
        <v>45966</v>
      </c>
      <c r="I25" s="11">
        <f>IF(Table1[[#This Row],[Booking Date]]&lt;&gt;"",1,0)</f>
        <v>1</v>
      </c>
      <c r="J25" s="30">
        <v>45973</v>
      </c>
      <c r="K25" s="11">
        <f>IF(Table1[[#This Row],[Delivery Date]]&lt;&gt;"",1,0)</f>
        <v>1</v>
      </c>
      <c r="L25" s="3" t="s">
        <v>2</v>
      </c>
      <c r="M25" s="3">
        <f>IF(Table1[[#This Row],[Cancellation Status]]&lt;&gt;"Yes",1,0)</f>
        <v>1</v>
      </c>
      <c r="O25" s="30">
        <v>45993</v>
      </c>
      <c r="P25" s="3">
        <v>4</v>
      </c>
      <c r="Q25" s="3">
        <v>1</v>
      </c>
      <c r="R25" s="3">
        <v>7</v>
      </c>
      <c r="S25" s="3">
        <v>1</v>
      </c>
      <c r="T2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5" t="str">
        <f>IF(Table1[[#This Row],[Customer Rating]]&gt;=9,"Promoter",IF(Table1[[#This Row],[Customer Rating]]&gt;=7,"Passive","Detractor"))</f>
        <v>Detractor</v>
      </c>
    </row>
    <row r="26" spans="1:21" ht="14.25" customHeight="1" x14ac:dyDescent="0.3">
      <c r="A26" s="3" t="s">
        <v>61</v>
      </c>
      <c r="B26" s="3" t="s">
        <v>26</v>
      </c>
      <c r="C26" s="3" t="s">
        <v>30</v>
      </c>
      <c r="D26" s="14">
        <v>45961</v>
      </c>
      <c r="E26" s="11">
        <f>1</f>
        <v>1</v>
      </c>
      <c r="F26" s="14">
        <v>45964</v>
      </c>
      <c r="G26" s="11">
        <f>IF(Table1[[#This Row],[Pre-Booking Date]]&lt;&gt;"",1,0)</f>
        <v>1</v>
      </c>
      <c r="H26" s="4">
        <v>45968</v>
      </c>
      <c r="I26" s="11">
        <f>IF(Table1[[#This Row],[Booking Date]]&lt;&gt;"",1,0)</f>
        <v>1</v>
      </c>
      <c r="J26" s="30">
        <v>45975</v>
      </c>
      <c r="K26" s="11">
        <f>IF(Table1[[#This Row],[Delivery Date]]&lt;&gt;"",1,0)</f>
        <v>1</v>
      </c>
      <c r="L26" s="3" t="s">
        <v>2</v>
      </c>
      <c r="M26" s="3">
        <f>IF(Table1[[#This Row],[Cancellation Status]]&lt;&gt;"Yes",1,0)</f>
        <v>1</v>
      </c>
      <c r="O26" s="30">
        <v>46005</v>
      </c>
      <c r="P26" s="3">
        <v>3</v>
      </c>
      <c r="Q26" s="3">
        <v>4</v>
      </c>
      <c r="R26" s="3">
        <v>7</v>
      </c>
      <c r="S26" s="3">
        <v>7</v>
      </c>
      <c r="T2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6" t="str">
        <f>IF(Table1[[#This Row],[Customer Rating]]&gt;=9,"Promoter",IF(Table1[[#This Row],[Customer Rating]]&gt;=7,"Passive","Detractor"))</f>
        <v>Passive</v>
      </c>
    </row>
    <row r="27" spans="1:21" ht="14.25" customHeight="1" x14ac:dyDescent="0.3">
      <c r="A27" s="3" t="s">
        <v>62</v>
      </c>
      <c r="B27" s="3" t="s">
        <v>32</v>
      </c>
      <c r="C27" s="3" t="s">
        <v>30</v>
      </c>
      <c r="D27" s="14">
        <v>45961</v>
      </c>
      <c r="E27" s="11">
        <f>1</f>
        <v>1</v>
      </c>
      <c r="F27" s="14">
        <v>45966</v>
      </c>
      <c r="G27" s="11">
        <f>IF(Table1[[#This Row],[Pre-Booking Date]]&lt;&gt;"",1,0)</f>
        <v>1</v>
      </c>
      <c r="H27" s="4">
        <v>45971</v>
      </c>
      <c r="I27" s="11">
        <f>IF(Table1[[#This Row],[Booking Date]]&lt;&gt;"",1,0)</f>
        <v>1</v>
      </c>
      <c r="J27" s="30">
        <v>45975</v>
      </c>
      <c r="K27" s="11">
        <f>IF(Table1[[#This Row],[Delivery Date]]&lt;&gt;"",1,0)</f>
        <v>1</v>
      </c>
      <c r="L27" s="3" t="s">
        <v>2</v>
      </c>
      <c r="M27" s="3">
        <f>IF(Table1[[#This Row],[Cancellation Status]]&lt;&gt;"Yes",1,0)</f>
        <v>1</v>
      </c>
      <c r="O27" s="30">
        <v>45994</v>
      </c>
      <c r="P27" s="3">
        <v>5</v>
      </c>
      <c r="Q27" s="3">
        <v>5</v>
      </c>
      <c r="R27" s="3">
        <v>4</v>
      </c>
      <c r="S27" s="3">
        <v>4</v>
      </c>
      <c r="T2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7" t="str">
        <f>IF(Table1[[#This Row],[Customer Rating]]&gt;=9,"Promoter",IF(Table1[[#This Row],[Customer Rating]]&gt;=7,"Passive","Detractor"))</f>
        <v>Detractor</v>
      </c>
    </row>
    <row r="28" spans="1:21" ht="14.25" customHeight="1" x14ac:dyDescent="0.3">
      <c r="A28" s="3" t="s">
        <v>63</v>
      </c>
      <c r="B28" s="3" t="s">
        <v>26</v>
      </c>
      <c r="C28" s="3" t="s">
        <v>30</v>
      </c>
      <c r="D28" s="14">
        <v>45961</v>
      </c>
      <c r="E28" s="11">
        <f>1</f>
        <v>1</v>
      </c>
      <c r="F28" s="14">
        <v>45962</v>
      </c>
      <c r="G28" s="11">
        <f>IF(Table1[[#This Row],[Pre-Booking Date]]&lt;&gt;"",1,0)</f>
        <v>1</v>
      </c>
      <c r="H28" s="4">
        <v>45965</v>
      </c>
      <c r="I28" s="11">
        <f>IF(Table1[[#This Row],[Booking Date]]&lt;&gt;"",1,0)</f>
        <v>1</v>
      </c>
      <c r="J28" s="30">
        <v>45968</v>
      </c>
      <c r="K28" s="11">
        <f>IF(Table1[[#This Row],[Delivery Date]]&lt;&gt;"",1,0)</f>
        <v>1</v>
      </c>
      <c r="L28" s="3" t="s">
        <v>2</v>
      </c>
      <c r="M28" s="3">
        <f>IF(Table1[[#This Row],[Cancellation Status]]&lt;&gt;"Yes",1,0)</f>
        <v>1</v>
      </c>
      <c r="O28" s="30">
        <v>45982</v>
      </c>
      <c r="P28" s="3">
        <v>1</v>
      </c>
      <c r="Q28" s="3">
        <v>3</v>
      </c>
      <c r="R28" s="3">
        <v>3</v>
      </c>
      <c r="S28" s="3">
        <v>4</v>
      </c>
      <c r="T2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8" t="str">
        <f>IF(Table1[[#This Row],[Customer Rating]]&gt;=9,"Promoter",IF(Table1[[#This Row],[Customer Rating]]&gt;=7,"Passive","Detractor"))</f>
        <v>Detractor</v>
      </c>
    </row>
    <row r="29" spans="1:21" ht="14.25" customHeight="1" x14ac:dyDescent="0.3">
      <c r="A29" s="3" t="s">
        <v>64</v>
      </c>
      <c r="B29" s="3" t="s">
        <v>29</v>
      </c>
      <c r="C29" s="3" t="s">
        <v>33</v>
      </c>
      <c r="D29" s="14">
        <v>45961</v>
      </c>
      <c r="E29" s="11">
        <f>1</f>
        <v>1</v>
      </c>
      <c r="G29" s="12">
        <f>IF(Table1[[#This Row],[Pre-Booking Date]]&lt;&gt;"",1,0)</f>
        <v>0</v>
      </c>
      <c r="I29" s="12">
        <f>IF(Table1[[#This Row],[Booking Date]]&lt;&gt;"",1,0)</f>
        <v>0</v>
      </c>
      <c r="K29" s="12">
        <f>IF(Table1[[#This Row],[Delivery Date]]&lt;&gt;"",1,0)</f>
        <v>0</v>
      </c>
      <c r="L29" s="3" t="s">
        <v>3</v>
      </c>
      <c r="M29" s="3">
        <f>IF(Table1[[#This Row],[Cancellation Status]]&lt;&gt;"Yes",1,0)</f>
        <v>0</v>
      </c>
      <c r="N29" s="3" t="s">
        <v>52</v>
      </c>
      <c r="T2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9" t="str">
        <f>IF(Table1[[#This Row],[Customer Rating]]&gt;=9,"Promoter",IF(Table1[[#This Row],[Customer Rating]]&gt;=7,"Passive","Detractor"))</f>
        <v>Detractor</v>
      </c>
    </row>
    <row r="30" spans="1:21" ht="14.25" customHeight="1" x14ac:dyDescent="0.3">
      <c r="A30" s="3" t="s">
        <v>65</v>
      </c>
      <c r="B30" s="3" t="s">
        <v>29</v>
      </c>
      <c r="C30" s="3" t="s">
        <v>27</v>
      </c>
      <c r="D30" s="14">
        <v>45961</v>
      </c>
      <c r="E30" s="11">
        <f>1</f>
        <v>1</v>
      </c>
      <c r="F30" s="14">
        <v>45966</v>
      </c>
      <c r="G30" s="11">
        <f>IF(Table1[[#This Row],[Pre-Booking Date]]&lt;&gt;"",1,0)</f>
        <v>1</v>
      </c>
      <c r="H30" s="4">
        <v>45970</v>
      </c>
      <c r="I30" s="11">
        <f>IF(Table1[[#This Row],[Booking Date]]&lt;&gt;"",1,0)</f>
        <v>1</v>
      </c>
      <c r="J30" s="30">
        <v>45977</v>
      </c>
      <c r="K30" s="11">
        <f>IF(Table1[[#This Row],[Delivery Date]]&lt;&gt;"",1,0)</f>
        <v>1</v>
      </c>
      <c r="L30" s="3" t="s">
        <v>2</v>
      </c>
      <c r="M30" s="3">
        <f>IF(Table1[[#This Row],[Cancellation Status]]&lt;&gt;"Yes",1,0)</f>
        <v>1</v>
      </c>
      <c r="O30" s="30">
        <v>45995</v>
      </c>
      <c r="P30" s="3">
        <v>5</v>
      </c>
      <c r="Q30" s="3">
        <v>4</v>
      </c>
      <c r="R30" s="3">
        <v>7</v>
      </c>
      <c r="S30" s="3">
        <v>2</v>
      </c>
      <c r="T3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0" t="str">
        <f>IF(Table1[[#This Row],[Customer Rating]]&gt;=9,"Promoter",IF(Table1[[#This Row],[Customer Rating]]&gt;=7,"Passive","Detractor"))</f>
        <v>Detractor</v>
      </c>
    </row>
    <row r="31" spans="1:21" ht="14.25" customHeight="1" x14ac:dyDescent="0.3">
      <c r="A31" s="3" t="s">
        <v>66</v>
      </c>
      <c r="B31" s="3" t="s">
        <v>32</v>
      </c>
      <c r="C31" s="3" t="s">
        <v>30</v>
      </c>
      <c r="D31" s="14">
        <v>45961</v>
      </c>
      <c r="E31" s="11">
        <f>1</f>
        <v>1</v>
      </c>
      <c r="F31" s="14">
        <v>45963</v>
      </c>
      <c r="G31" s="11">
        <f>IF(Table1[[#This Row],[Pre-Booking Date]]&lt;&gt;"",1,0)</f>
        <v>1</v>
      </c>
      <c r="H31" s="4">
        <v>45965</v>
      </c>
      <c r="I31" s="11">
        <f>IF(Table1[[#This Row],[Booking Date]]&lt;&gt;"",1,0)</f>
        <v>1</v>
      </c>
      <c r="J31" s="30">
        <v>45967</v>
      </c>
      <c r="K31" s="11">
        <f>IF(Table1[[#This Row],[Delivery Date]]&lt;&gt;"",1,0)</f>
        <v>1</v>
      </c>
      <c r="L31" s="3" t="s">
        <v>2</v>
      </c>
      <c r="M31" s="3">
        <f>IF(Table1[[#This Row],[Cancellation Status]]&lt;&gt;"Yes",1,0)</f>
        <v>1</v>
      </c>
      <c r="O31" s="30">
        <v>45996</v>
      </c>
      <c r="P31" s="3">
        <v>2</v>
      </c>
      <c r="Q31" s="3">
        <v>2</v>
      </c>
      <c r="R31" s="3">
        <v>2</v>
      </c>
      <c r="S31" s="3">
        <v>8</v>
      </c>
      <c r="T3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1" t="str">
        <f>IF(Table1[[#This Row],[Customer Rating]]&gt;=9,"Promoter",IF(Table1[[#This Row],[Customer Rating]]&gt;=7,"Passive","Detractor"))</f>
        <v>Passive</v>
      </c>
    </row>
    <row r="32" spans="1:21" ht="14.25" customHeight="1" x14ac:dyDescent="0.3">
      <c r="A32" s="3" t="s">
        <v>67</v>
      </c>
      <c r="B32" s="3" t="s">
        <v>26</v>
      </c>
      <c r="C32" s="3" t="s">
        <v>30</v>
      </c>
      <c r="D32" s="14">
        <v>45961</v>
      </c>
      <c r="E32" s="11">
        <f>1</f>
        <v>1</v>
      </c>
      <c r="F32" s="14">
        <v>45966</v>
      </c>
      <c r="G32" s="11">
        <f>IF(Table1[[#This Row],[Pre-Booking Date]]&lt;&gt;"",1,0)</f>
        <v>1</v>
      </c>
      <c r="H32" s="4">
        <v>45971</v>
      </c>
      <c r="I32" s="11">
        <f>IF(Table1[[#This Row],[Booking Date]]&lt;&gt;"",1,0)</f>
        <v>1</v>
      </c>
      <c r="J32" s="30">
        <v>45975</v>
      </c>
      <c r="K32" s="11">
        <f>IF(Table1[[#This Row],[Delivery Date]]&lt;&gt;"",1,0)</f>
        <v>1</v>
      </c>
      <c r="L32" s="3" t="s">
        <v>2</v>
      </c>
      <c r="M32" s="3">
        <f>IF(Table1[[#This Row],[Cancellation Status]]&lt;&gt;"Yes",1,0)</f>
        <v>1</v>
      </c>
      <c r="O32" s="30">
        <v>45998</v>
      </c>
      <c r="P32" s="3">
        <v>5</v>
      </c>
      <c r="Q32" s="3">
        <v>5</v>
      </c>
      <c r="R32" s="3">
        <v>4</v>
      </c>
      <c r="S32" s="3">
        <v>9</v>
      </c>
      <c r="T3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2" t="str">
        <f>IF(Table1[[#This Row],[Customer Rating]]&gt;=9,"Promoter",IF(Table1[[#This Row],[Customer Rating]]&gt;=7,"Passive","Detractor"))</f>
        <v>Promoter</v>
      </c>
    </row>
    <row r="33" spans="1:21" ht="14.25" customHeight="1" x14ac:dyDescent="0.3">
      <c r="A33" s="3" t="s">
        <v>68</v>
      </c>
      <c r="B33" s="3" t="s">
        <v>32</v>
      </c>
      <c r="C33" s="3" t="s">
        <v>27</v>
      </c>
      <c r="D33" s="14">
        <v>45961</v>
      </c>
      <c r="E33" s="11">
        <f>1</f>
        <v>1</v>
      </c>
      <c r="F33" s="14">
        <v>45965</v>
      </c>
      <c r="G33" s="11">
        <f>IF(Table1[[#This Row],[Pre-Booking Date]]&lt;&gt;"",1,0)</f>
        <v>1</v>
      </c>
      <c r="H33" s="4">
        <v>45967</v>
      </c>
      <c r="I33" s="11">
        <f>IF(Table1[[#This Row],[Booking Date]]&lt;&gt;"",1,0)</f>
        <v>1</v>
      </c>
      <c r="J33" s="30">
        <v>45971</v>
      </c>
      <c r="K33" s="11">
        <f>IF(Table1[[#This Row],[Delivery Date]]&lt;&gt;"",1,0)</f>
        <v>1</v>
      </c>
      <c r="L33" s="3" t="s">
        <v>2</v>
      </c>
      <c r="M33" s="3">
        <f>IF(Table1[[#This Row],[Cancellation Status]]&lt;&gt;"Yes",1,0)</f>
        <v>1</v>
      </c>
      <c r="O33" s="30">
        <v>45995</v>
      </c>
      <c r="P33" s="3">
        <v>4</v>
      </c>
      <c r="Q33" s="3">
        <v>2</v>
      </c>
      <c r="R33" s="3">
        <v>4</v>
      </c>
      <c r="S33" s="3">
        <v>6</v>
      </c>
      <c r="T3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3" t="str">
        <f>IF(Table1[[#This Row],[Customer Rating]]&gt;=9,"Promoter",IF(Table1[[#This Row],[Customer Rating]]&gt;=7,"Passive","Detractor"))</f>
        <v>Detractor</v>
      </c>
    </row>
    <row r="34" spans="1:21" ht="14.25" customHeight="1" x14ac:dyDescent="0.3">
      <c r="A34" s="3" t="s">
        <v>69</v>
      </c>
      <c r="B34" s="3" t="s">
        <v>32</v>
      </c>
      <c r="C34" s="3" t="s">
        <v>27</v>
      </c>
      <c r="D34" s="14">
        <v>45961</v>
      </c>
      <c r="E34" s="11">
        <f>1</f>
        <v>1</v>
      </c>
      <c r="F34" s="14">
        <v>45965</v>
      </c>
      <c r="G34" s="11">
        <f>IF(Table1[[#This Row],[Pre-Booking Date]]&lt;&gt;"",1,0)</f>
        <v>1</v>
      </c>
      <c r="H34" s="4">
        <v>45968</v>
      </c>
      <c r="I34" s="11">
        <f>IF(Table1[[#This Row],[Booking Date]]&lt;&gt;"",1,0)</f>
        <v>1</v>
      </c>
      <c r="J34" s="30">
        <v>45974</v>
      </c>
      <c r="K34" s="11">
        <f>IF(Table1[[#This Row],[Delivery Date]]&lt;&gt;"",1,0)</f>
        <v>1</v>
      </c>
      <c r="L34" s="3" t="s">
        <v>2</v>
      </c>
      <c r="M34" s="3">
        <f>IF(Table1[[#This Row],[Cancellation Status]]&lt;&gt;"Yes",1,0)</f>
        <v>1</v>
      </c>
      <c r="O34" s="30">
        <v>45988</v>
      </c>
      <c r="P34" s="3">
        <v>4</v>
      </c>
      <c r="Q34" s="3">
        <v>3</v>
      </c>
      <c r="R34" s="3">
        <v>6</v>
      </c>
      <c r="S34" s="3">
        <v>9</v>
      </c>
      <c r="T3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4" t="str">
        <f>IF(Table1[[#This Row],[Customer Rating]]&gt;=9,"Promoter",IF(Table1[[#This Row],[Customer Rating]]&gt;=7,"Passive","Detractor"))</f>
        <v>Promoter</v>
      </c>
    </row>
    <row r="35" spans="1:21" ht="14.25" customHeight="1" x14ac:dyDescent="0.3">
      <c r="A35" s="3" t="s">
        <v>70</v>
      </c>
      <c r="B35" s="3" t="s">
        <v>29</v>
      </c>
      <c r="C35" s="3" t="s">
        <v>30</v>
      </c>
      <c r="D35" s="14">
        <v>45961</v>
      </c>
      <c r="E35" s="11">
        <f>1</f>
        <v>1</v>
      </c>
      <c r="F35" s="14">
        <v>45963</v>
      </c>
      <c r="G35" s="11">
        <f>IF(Table1[[#This Row],[Pre-Booking Date]]&lt;&gt;"",1,0)</f>
        <v>1</v>
      </c>
      <c r="H35" s="4">
        <v>45965</v>
      </c>
      <c r="I35" s="11">
        <f>IF(Table1[[#This Row],[Booking Date]]&lt;&gt;"",1,0)</f>
        <v>1</v>
      </c>
      <c r="J35" s="30">
        <v>45970</v>
      </c>
      <c r="K35" s="11">
        <f>IF(Table1[[#This Row],[Delivery Date]]&lt;&gt;"",1,0)</f>
        <v>1</v>
      </c>
      <c r="L35" s="3" t="s">
        <v>2</v>
      </c>
      <c r="M35" s="3">
        <f>IF(Table1[[#This Row],[Cancellation Status]]&lt;&gt;"Yes",1,0)</f>
        <v>1</v>
      </c>
      <c r="O35" s="30">
        <v>45999</v>
      </c>
      <c r="P35" s="3">
        <v>2</v>
      </c>
      <c r="Q35" s="3">
        <v>2</v>
      </c>
      <c r="R35" s="3">
        <v>5</v>
      </c>
      <c r="S35" s="3">
        <v>1</v>
      </c>
      <c r="T3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5" t="str">
        <f>IF(Table1[[#This Row],[Customer Rating]]&gt;=9,"Promoter",IF(Table1[[#This Row],[Customer Rating]]&gt;=7,"Passive","Detractor"))</f>
        <v>Detractor</v>
      </c>
    </row>
    <row r="36" spans="1:21" ht="14.25" customHeight="1" x14ac:dyDescent="0.3">
      <c r="A36" s="3" t="s">
        <v>71</v>
      </c>
      <c r="B36" s="3" t="s">
        <v>32</v>
      </c>
      <c r="C36" s="3" t="s">
        <v>27</v>
      </c>
      <c r="D36" s="14">
        <v>45961</v>
      </c>
      <c r="E36" s="11">
        <f>1</f>
        <v>1</v>
      </c>
      <c r="F36" s="14">
        <v>45966</v>
      </c>
      <c r="G36" s="11">
        <f>IF(Table1[[#This Row],[Pre-Booking Date]]&lt;&gt;"",1,0)</f>
        <v>1</v>
      </c>
      <c r="H36" s="4">
        <v>45969</v>
      </c>
      <c r="I36" s="11">
        <f>IF(Table1[[#This Row],[Booking Date]]&lt;&gt;"",1,0)</f>
        <v>1</v>
      </c>
      <c r="J36" s="30">
        <v>45976</v>
      </c>
      <c r="K36" s="11">
        <f>IF(Table1[[#This Row],[Delivery Date]]&lt;&gt;"",1,0)</f>
        <v>1</v>
      </c>
      <c r="L36" s="3" t="s">
        <v>2</v>
      </c>
      <c r="M36" s="3">
        <f>IF(Table1[[#This Row],[Cancellation Status]]&lt;&gt;"Yes",1,0)</f>
        <v>1</v>
      </c>
      <c r="O36" s="30">
        <v>45999</v>
      </c>
      <c r="P36" s="3">
        <v>5</v>
      </c>
      <c r="Q36" s="3">
        <v>3</v>
      </c>
      <c r="R36" s="3">
        <v>7</v>
      </c>
      <c r="S36" s="3">
        <v>7</v>
      </c>
      <c r="T3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6" t="str">
        <f>IF(Table1[[#This Row],[Customer Rating]]&gt;=9,"Promoter",IF(Table1[[#This Row],[Customer Rating]]&gt;=7,"Passive","Detractor"))</f>
        <v>Passive</v>
      </c>
    </row>
    <row r="37" spans="1:21" ht="14.25" customHeight="1" x14ac:dyDescent="0.3">
      <c r="A37" s="3" t="s">
        <v>72</v>
      </c>
      <c r="B37" s="3" t="s">
        <v>29</v>
      </c>
      <c r="C37" s="3" t="s">
        <v>27</v>
      </c>
      <c r="D37" s="14">
        <v>45961</v>
      </c>
      <c r="E37" s="11">
        <f>1</f>
        <v>1</v>
      </c>
      <c r="F37" s="14">
        <v>45966</v>
      </c>
      <c r="G37" s="11">
        <f>IF(Table1[[#This Row],[Pre-Booking Date]]&lt;&gt;"",1,0)</f>
        <v>1</v>
      </c>
      <c r="H37" s="4">
        <v>45971</v>
      </c>
      <c r="I37" s="11">
        <f>IF(Table1[[#This Row],[Booking Date]]&lt;&gt;"",1,0)</f>
        <v>1</v>
      </c>
      <c r="J37" s="30">
        <v>45977</v>
      </c>
      <c r="K37" s="11">
        <f>IF(Table1[[#This Row],[Delivery Date]]&lt;&gt;"",1,0)</f>
        <v>1</v>
      </c>
      <c r="L37" s="3" t="s">
        <v>2</v>
      </c>
      <c r="M37" s="3">
        <f>IF(Table1[[#This Row],[Cancellation Status]]&lt;&gt;"Yes",1,0)</f>
        <v>1</v>
      </c>
      <c r="O37" s="30">
        <v>46006</v>
      </c>
      <c r="P37" s="3">
        <v>5</v>
      </c>
      <c r="Q37" s="3">
        <v>5</v>
      </c>
      <c r="R37" s="3">
        <v>6</v>
      </c>
      <c r="S37" s="3">
        <v>2</v>
      </c>
      <c r="T3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7" t="str">
        <f>IF(Table1[[#This Row],[Customer Rating]]&gt;=9,"Promoter",IF(Table1[[#This Row],[Customer Rating]]&gt;=7,"Passive","Detractor"))</f>
        <v>Detractor</v>
      </c>
    </row>
    <row r="38" spans="1:21" ht="14.25" customHeight="1" x14ac:dyDescent="0.3">
      <c r="A38" s="3" t="s">
        <v>73</v>
      </c>
      <c r="B38" s="3" t="s">
        <v>29</v>
      </c>
      <c r="C38" s="3" t="s">
        <v>33</v>
      </c>
      <c r="D38" s="14">
        <v>45961</v>
      </c>
      <c r="E38" s="11">
        <f>1</f>
        <v>1</v>
      </c>
      <c r="G38" s="12">
        <f>IF(Table1[[#This Row],[Pre-Booking Date]]&lt;&gt;"",1,0)</f>
        <v>0</v>
      </c>
      <c r="I38" s="12">
        <f>IF(Table1[[#This Row],[Booking Date]]&lt;&gt;"",1,0)</f>
        <v>0</v>
      </c>
      <c r="K38" s="12">
        <f>IF(Table1[[#This Row],[Delivery Date]]&lt;&gt;"",1,0)</f>
        <v>0</v>
      </c>
      <c r="L38" s="3" t="s">
        <v>3</v>
      </c>
      <c r="M38" s="3">
        <f>IF(Table1[[#This Row],[Cancellation Status]]&lt;&gt;"Yes",1,0)</f>
        <v>0</v>
      </c>
      <c r="N38" s="3" t="s">
        <v>52</v>
      </c>
      <c r="T3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8" t="str">
        <f>IF(Table1[[#This Row],[Customer Rating]]&gt;=9,"Promoter",IF(Table1[[#This Row],[Customer Rating]]&gt;=7,"Passive","Detractor"))</f>
        <v>Detractor</v>
      </c>
    </row>
    <row r="39" spans="1:21" ht="14.25" customHeight="1" x14ac:dyDescent="0.3">
      <c r="A39" s="3" t="s">
        <v>74</v>
      </c>
      <c r="B39" s="3" t="s">
        <v>26</v>
      </c>
      <c r="C39" s="3" t="s">
        <v>27</v>
      </c>
      <c r="D39" s="14">
        <v>45960</v>
      </c>
      <c r="E39" s="11">
        <f>1</f>
        <v>1</v>
      </c>
      <c r="F39" s="14">
        <v>45965</v>
      </c>
      <c r="G39" s="11">
        <f>IF(Table1[[#This Row],[Pre-Booking Date]]&lt;&gt;"",1,0)</f>
        <v>1</v>
      </c>
      <c r="H39" s="4">
        <v>45970</v>
      </c>
      <c r="I39" s="11">
        <f>IF(Table1[[#This Row],[Booking Date]]&lt;&gt;"",1,0)</f>
        <v>1</v>
      </c>
      <c r="J39" s="30">
        <v>45976</v>
      </c>
      <c r="K39" s="11">
        <f>IF(Table1[[#This Row],[Delivery Date]]&lt;&gt;"",1,0)</f>
        <v>1</v>
      </c>
      <c r="L39" s="3" t="s">
        <v>2</v>
      </c>
      <c r="M39" s="3">
        <f>IF(Table1[[#This Row],[Cancellation Status]]&lt;&gt;"Yes",1,0)</f>
        <v>1</v>
      </c>
      <c r="O39" s="30">
        <v>45996</v>
      </c>
      <c r="P39" s="3">
        <v>5</v>
      </c>
      <c r="Q39" s="3">
        <v>5</v>
      </c>
      <c r="R39" s="3">
        <v>6</v>
      </c>
      <c r="S39" s="3">
        <v>1</v>
      </c>
      <c r="T3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9" t="str">
        <f>IF(Table1[[#This Row],[Customer Rating]]&gt;=9,"Promoter",IF(Table1[[#This Row],[Customer Rating]]&gt;=7,"Passive","Detractor"))</f>
        <v>Detractor</v>
      </c>
    </row>
    <row r="40" spans="1:21" ht="14.25" customHeight="1" x14ac:dyDescent="0.3">
      <c r="A40" s="3" t="s">
        <v>75</v>
      </c>
      <c r="B40" s="3" t="s">
        <v>29</v>
      </c>
      <c r="C40" s="3" t="s">
        <v>33</v>
      </c>
      <c r="D40" s="14">
        <v>45960</v>
      </c>
      <c r="E40" s="11">
        <f>1</f>
        <v>1</v>
      </c>
      <c r="G40" s="12">
        <f>IF(Table1[[#This Row],[Pre-Booking Date]]&lt;&gt;"",1,0)</f>
        <v>0</v>
      </c>
      <c r="I40" s="12">
        <f>IF(Table1[[#This Row],[Booking Date]]&lt;&gt;"",1,0)</f>
        <v>0</v>
      </c>
      <c r="K40" s="12">
        <f>IF(Table1[[#This Row],[Delivery Date]]&lt;&gt;"",1,0)</f>
        <v>0</v>
      </c>
      <c r="L40" s="3" t="s">
        <v>3</v>
      </c>
      <c r="M40" s="3">
        <f>IF(Table1[[#This Row],[Cancellation Status]]&lt;&gt;"Yes",1,0)</f>
        <v>0</v>
      </c>
      <c r="N40" s="3" t="s">
        <v>55</v>
      </c>
      <c r="T4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0" t="str">
        <f>IF(Table1[[#This Row],[Customer Rating]]&gt;=9,"Promoter",IF(Table1[[#This Row],[Customer Rating]]&gt;=7,"Passive","Detractor"))</f>
        <v>Detractor</v>
      </c>
    </row>
    <row r="41" spans="1:21" ht="14.25" customHeight="1" x14ac:dyDescent="0.3">
      <c r="A41" s="3" t="s">
        <v>76</v>
      </c>
      <c r="B41" s="3" t="s">
        <v>29</v>
      </c>
      <c r="C41" s="3" t="s">
        <v>30</v>
      </c>
      <c r="D41" s="14">
        <v>45960</v>
      </c>
      <c r="E41" s="11">
        <f>1</f>
        <v>1</v>
      </c>
      <c r="F41" s="14">
        <v>45964</v>
      </c>
      <c r="G41" s="11">
        <f>IF(Table1[[#This Row],[Pre-Booking Date]]&lt;&gt;"",1,0)</f>
        <v>1</v>
      </c>
      <c r="H41" s="4">
        <v>45967</v>
      </c>
      <c r="I41" s="11">
        <f>IF(Table1[[#This Row],[Booking Date]]&lt;&gt;"",1,0)</f>
        <v>1</v>
      </c>
      <c r="J41" s="30">
        <v>45972</v>
      </c>
      <c r="K41" s="11">
        <f>IF(Table1[[#This Row],[Delivery Date]]&lt;&gt;"",1,0)</f>
        <v>1</v>
      </c>
      <c r="L41" s="3" t="s">
        <v>2</v>
      </c>
      <c r="M41" s="3">
        <f>IF(Table1[[#This Row],[Cancellation Status]]&lt;&gt;"Yes",1,0)</f>
        <v>1</v>
      </c>
      <c r="O41" s="30">
        <v>45989</v>
      </c>
      <c r="P41" s="3">
        <v>4</v>
      </c>
      <c r="Q41" s="3">
        <v>3</v>
      </c>
      <c r="R41" s="3">
        <v>5</v>
      </c>
      <c r="S41" s="3">
        <v>9</v>
      </c>
      <c r="T4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1" t="str">
        <f>IF(Table1[[#This Row],[Customer Rating]]&gt;=9,"Promoter",IF(Table1[[#This Row],[Customer Rating]]&gt;=7,"Passive","Detractor"))</f>
        <v>Promoter</v>
      </c>
    </row>
    <row r="42" spans="1:21" ht="14.25" customHeight="1" x14ac:dyDescent="0.3">
      <c r="A42" s="3" t="s">
        <v>77</v>
      </c>
      <c r="B42" s="3" t="s">
        <v>26</v>
      </c>
      <c r="C42" s="3" t="s">
        <v>27</v>
      </c>
      <c r="D42" s="14">
        <v>45960</v>
      </c>
      <c r="E42" s="11">
        <f>1</f>
        <v>1</v>
      </c>
      <c r="F42" s="14">
        <v>45964</v>
      </c>
      <c r="G42" s="11">
        <f>IF(Table1[[#This Row],[Pre-Booking Date]]&lt;&gt;"",1,0)</f>
        <v>1</v>
      </c>
      <c r="H42" s="4">
        <v>45968</v>
      </c>
      <c r="I42" s="11">
        <f>IF(Table1[[#This Row],[Booking Date]]&lt;&gt;"",1,0)</f>
        <v>1</v>
      </c>
      <c r="J42" s="30">
        <v>45973</v>
      </c>
      <c r="K42" s="11">
        <f>IF(Table1[[#This Row],[Delivery Date]]&lt;&gt;"",1,0)</f>
        <v>1</v>
      </c>
      <c r="L42" s="3" t="s">
        <v>3</v>
      </c>
      <c r="M42" s="3">
        <f>IF(Table1[[#This Row],[Cancellation Status]]&lt;&gt;"Yes",1,0)</f>
        <v>0</v>
      </c>
      <c r="N42" s="3" t="s">
        <v>55</v>
      </c>
      <c r="P42" s="3">
        <v>4</v>
      </c>
      <c r="Q42" s="3">
        <v>4</v>
      </c>
      <c r="R42" s="3">
        <v>5</v>
      </c>
      <c r="T4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2" t="str">
        <f>IF(Table1[[#This Row],[Customer Rating]]&gt;=9,"Promoter",IF(Table1[[#This Row],[Customer Rating]]&gt;=7,"Passive","Detractor"))</f>
        <v>Detractor</v>
      </c>
    </row>
    <row r="43" spans="1:21" ht="14.25" customHeight="1" x14ac:dyDescent="0.3">
      <c r="A43" s="3" t="s">
        <v>78</v>
      </c>
      <c r="B43" s="3" t="s">
        <v>26</v>
      </c>
      <c r="C43" s="3" t="s">
        <v>27</v>
      </c>
      <c r="D43" s="14">
        <v>45960</v>
      </c>
      <c r="E43" s="11">
        <f>1</f>
        <v>1</v>
      </c>
      <c r="F43" s="14">
        <v>45964</v>
      </c>
      <c r="G43" s="11">
        <f>IF(Table1[[#This Row],[Pre-Booking Date]]&lt;&gt;"",1,0)</f>
        <v>1</v>
      </c>
      <c r="H43" s="4">
        <v>45965</v>
      </c>
      <c r="I43" s="11">
        <f>IF(Table1[[#This Row],[Booking Date]]&lt;&gt;"",1,0)</f>
        <v>1</v>
      </c>
      <c r="J43" s="30">
        <v>45972</v>
      </c>
      <c r="K43" s="11">
        <f>IF(Table1[[#This Row],[Delivery Date]]&lt;&gt;"",1,0)</f>
        <v>1</v>
      </c>
      <c r="L43" s="3" t="s">
        <v>2</v>
      </c>
      <c r="M43" s="3">
        <f>IF(Table1[[#This Row],[Cancellation Status]]&lt;&gt;"Yes",1,0)</f>
        <v>1</v>
      </c>
      <c r="O43" s="30">
        <v>45999</v>
      </c>
      <c r="P43" s="3">
        <v>4</v>
      </c>
      <c r="Q43" s="3">
        <v>1</v>
      </c>
      <c r="R43" s="3">
        <v>7</v>
      </c>
      <c r="S43" s="3">
        <v>5</v>
      </c>
      <c r="T4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3" t="str">
        <f>IF(Table1[[#This Row],[Customer Rating]]&gt;=9,"Promoter",IF(Table1[[#This Row],[Customer Rating]]&gt;=7,"Passive","Detractor"))</f>
        <v>Detractor</v>
      </c>
    </row>
    <row r="44" spans="1:21" ht="14.25" customHeight="1" x14ac:dyDescent="0.3">
      <c r="A44" s="3" t="s">
        <v>79</v>
      </c>
      <c r="B44" s="3" t="s">
        <v>29</v>
      </c>
      <c r="C44" s="3" t="s">
        <v>30</v>
      </c>
      <c r="D44" s="14">
        <v>45960</v>
      </c>
      <c r="E44" s="11">
        <f>1</f>
        <v>1</v>
      </c>
      <c r="F44" s="14">
        <v>45965</v>
      </c>
      <c r="G44" s="11">
        <f>IF(Table1[[#This Row],[Pre-Booking Date]]&lt;&gt;"",1,0)</f>
        <v>1</v>
      </c>
      <c r="H44" s="4">
        <v>45967</v>
      </c>
      <c r="I44" s="11">
        <f>IF(Table1[[#This Row],[Booking Date]]&lt;&gt;"",1,0)</f>
        <v>1</v>
      </c>
      <c r="J44" s="30">
        <v>45969</v>
      </c>
      <c r="K44" s="11">
        <f>IF(Table1[[#This Row],[Delivery Date]]&lt;&gt;"",1,0)</f>
        <v>1</v>
      </c>
      <c r="L44" s="3" t="s">
        <v>2</v>
      </c>
      <c r="M44" s="3">
        <f>IF(Table1[[#This Row],[Cancellation Status]]&lt;&gt;"Yes",1,0)</f>
        <v>1</v>
      </c>
      <c r="O44" s="30">
        <v>45984</v>
      </c>
      <c r="P44" s="3">
        <v>5</v>
      </c>
      <c r="Q44" s="3">
        <v>2</v>
      </c>
      <c r="R44" s="3">
        <v>2</v>
      </c>
      <c r="S44" s="3">
        <v>6</v>
      </c>
      <c r="T4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4" t="str">
        <f>IF(Table1[[#This Row],[Customer Rating]]&gt;=9,"Promoter",IF(Table1[[#This Row],[Customer Rating]]&gt;=7,"Passive","Detractor"))</f>
        <v>Detractor</v>
      </c>
    </row>
    <row r="45" spans="1:21" ht="14.25" customHeight="1" x14ac:dyDescent="0.3">
      <c r="A45" s="3" t="s">
        <v>80</v>
      </c>
      <c r="B45" s="3" t="s">
        <v>32</v>
      </c>
      <c r="C45" s="3" t="s">
        <v>27</v>
      </c>
      <c r="D45" s="14">
        <v>45960</v>
      </c>
      <c r="E45" s="11">
        <f>1</f>
        <v>1</v>
      </c>
      <c r="F45" s="14">
        <v>45963</v>
      </c>
      <c r="G45" s="11">
        <f>IF(Table1[[#This Row],[Pre-Booking Date]]&lt;&gt;"",1,0)</f>
        <v>1</v>
      </c>
      <c r="H45" s="4">
        <v>45965</v>
      </c>
      <c r="I45" s="11">
        <f>IF(Table1[[#This Row],[Booking Date]]&lt;&gt;"",1,0)</f>
        <v>1</v>
      </c>
      <c r="J45" s="30">
        <v>45971</v>
      </c>
      <c r="K45" s="11">
        <f>IF(Table1[[#This Row],[Delivery Date]]&lt;&gt;"",1,0)</f>
        <v>1</v>
      </c>
      <c r="L45" s="3" t="s">
        <v>2</v>
      </c>
      <c r="M45" s="3">
        <f>IF(Table1[[#This Row],[Cancellation Status]]&lt;&gt;"Yes",1,0)</f>
        <v>1</v>
      </c>
      <c r="O45" s="30">
        <v>45989</v>
      </c>
      <c r="P45" s="3">
        <v>3</v>
      </c>
      <c r="Q45" s="3">
        <v>2</v>
      </c>
      <c r="R45" s="3">
        <v>6</v>
      </c>
      <c r="S45" s="3">
        <v>4</v>
      </c>
      <c r="T4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5" t="str">
        <f>IF(Table1[[#This Row],[Customer Rating]]&gt;=9,"Promoter",IF(Table1[[#This Row],[Customer Rating]]&gt;=7,"Passive","Detractor"))</f>
        <v>Detractor</v>
      </c>
    </row>
    <row r="46" spans="1:21" ht="14.25" customHeight="1" x14ac:dyDescent="0.3">
      <c r="A46" s="3" t="s">
        <v>81</v>
      </c>
      <c r="B46" s="3" t="s">
        <v>29</v>
      </c>
      <c r="C46" s="3" t="s">
        <v>30</v>
      </c>
      <c r="D46" s="14">
        <v>45960</v>
      </c>
      <c r="E46" s="11">
        <f>1</f>
        <v>1</v>
      </c>
      <c r="F46" s="14">
        <v>45965</v>
      </c>
      <c r="G46" s="11">
        <f>IF(Table1[[#This Row],[Pre-Booking Date]]&lt;&gt;"",1,0)</f>
        <v>1</v>
      </c>
      <c r="H46" s="4">
        <v>45969</v>
      </c>
      <c r="I46" s="11">
        <f>IF(Table1[[#This Row],[Booking Date]]&lt;&gt;"",1,0)</f>
        <v>1</v>
      </c>
      <c r="J46" s="30">
        <v>45976</v>
      </c>
      <c r="K46" s="11">
        <f>IF(Table1[[#This Row],[Delivery Date]]&lt;&gt;"",1,0)</f>
        <v>1</v>
      </c>
      <c r="L46" s="3" t="s">
        <v>2</v>
      </c>
      <c r="M46" s="3">
        <f>IF(Table1[[#This Row],[Cancellation Status]]&lt;&gt;"Yes",1,0)</f>
        <v>1</v>
      </c>
      <c r="O46" s="30">
        <v>45992</v>
      </c>
      <c r="P46" s="3">
        <v>5</v>
      </c>
      <c r="Q46" s="3">
        <v>4</v>
      </c>
      <c r="R46" s="3">
        <v>7</v>
      </c>
      <c r="S46" s="3">
        <v>2</v>
      </c>
      <c r="T4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6" t="str">
        <f>IF(Table1[[#This Row],[Customer Rating]]&gt;=9,"Promoter",IF(Table1[[#This Row],[Customer Rating]]&gt;=7,"Passive","Detractor"))</f>
        <v>Detractor</v>
      </c>
    </row>
    <row r="47" spans="1:21" ht="14.25" customHeight="1" x14ac:dyDescent="0.3">
      <c r="A47" s="3" t="s">
        <v>82</v>
      </c>
      <c r="B47" s="3" t="s">
        <v>39</v>
      </c>
      <c r="C47" s="3" t="s">
        <v>30</v>
      </c>
      <c r="D47" s="14">
        <v>45960</v>
      </c>
      <c r="E47" s="11">
        <f>1</f>
        <v>1</v>
      </c>
      <c r="F47" s="14">
        <v>45964</v>
      </c>
      <c r="G47" s="11">
        <f>IF(Table1[[#This Row],[Pre-Booking Date]]&lt;&gt;"",1,0)</f>
        <v>1</v>
      </c>
      <c r="H47" s="4">
        <v>45969</v>
      </c>
      <c r="I47" s="11">
        <f>IF(Table1[[#This Row],[Booking Date]]&lt;&gt;"",1,0)</f>
        <v>1</v>
      </c>
      <c r="J47" s="30">
        <v>45973</v>
      </c>
      <c r="K47" s="11">
        <f>IF(Table1[[#This Row],[Delivery Date]]&lt;&gt;"",1,0)</f>
        <v>1</v>
      </c>
      <c r="L47" s="3" t="s">
        <v>2</v>
      </c>
      <c r="M47" s="3">
        <f>IF(Table1[[#This Row],[Cancellation Status]]&lt;&gt;"Yes",1,0)</f>
        <v>1</v>
      </c>
      <c r="O47" s="30">
        <v>46002</v>
      </c>
      <c r="P47" s="3">
        <v>4</v>
      </c>
      <c r="Q47" s="3">
        <v>5</v>
      </c>
      <c r="R47" s="3">
        <v>4</v>
      </c>
      <c r="S47" s="3">
        <v>2</v>
      </c>
      <c r="T4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7" t="str">
        <f>IF(Table1[[#This Row],[Customer Rating]]&gt;=9,"Promoter",IF(Table1[[#This Row],[Customer Rating]]&gt;=7,"Passive","Detractor"))</f>
        <v>Detractor</v>
      </c>
    </row>
    <row r="48" spans="1:21" ht="14.25" customHeight="1" x14ac:dyDescent="0.3">
      <c r="A48" s="3" t="s">
        <v>83</v>
      </c>
      <c r="B48" s="3" t="s">
        <v>26</v>
      </c>
      <c r="C48" s="3" t="s">
        <v>27</v>
      </c>
      <c r="D48" s="14">
        <v>45960</v>
      </c>
      <c r="E48" s="11">
        <f>1</f>
        <v>1</v>
      </c>
      <c r="F48" s="14">
        <v>45962</v>
      </c>
      <c r="G48" s="11">
        <f>IF(Table1[[#This Row],[Pre-Booking Date]]&lt;&gt;"",1,0)</f>
        <v>1</v>
      </c>
      <c r="H48" s="4">
        <v>45967</v>
      </c>
      <c r="I48" s="11">
        <f>IF(Table1[[#This Row],[Booking Date]]&lt;&gt;"",1,0)</f>
        <v>1</v>
      </c>
      <c r="J48" s="30">
        <v>45974</v>
      </c>
      <c r="K48" s="11">
        <f>IF(Table1[[#This Row],[Delivery Date]]&lt;&gt;"",1,0)</f>
        <v>1</v>
      </c>
      <c r="L48" s="3" t="s">
        <v>2</v>
      </c>
      <c r="M48" s="3">
        <f>IF(Table1[[#This Row],[Cancellation Status]]&lt;&gt;"Yes",1,0)</f>
        <v>1</v>
      </c>
      <c r="O48" s="30">
        <v>45995</v>
      </c>
      <c r="P48" s="3">
        <v>2</v>
      </c>
      <c r="Q48" s="3">
        <v>5</v>
      </c>
      <c r="R48" s="3">
        <v>7</v>
      </c>
      <c r="S48" s="3">
        <v>4</v>
      </c>
      <c r="T4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8" t="str">
        <f>IF(Table1[[#This Row],[Customer Rating]]&gt;=9,"Promoter",IF(Table1[[#This Row],[Customer Rating]]&gt;=7,"Passive","Detractor"))</f>
        <v>Detractor</v>
      </c>
    </row>
    <row r="49" spans="1:21" ht="14.25" customHeight="1" x14ac:dyDescent="0.3">
      <c r="A49" s="3" t="s">
        <v>84</v>
      </c>
      <c r="B49" s="3" t="s">
        <v>32</v>
      </c>
      <c r="C49" s="3" t="s">
        <v>30</v>
      </c>
      <c r="D49" s="14">
        <v>45960</v>
      </c>
      <c r="E49" s="11">
        <f>1</f>
        <v>1</v>
      </c>
      <c r="F49" s="14">
        <v>45965</v>
      </c>
      <c r="G49" s="11">
        <f>IF(Table1[[#This Row],[Pre-Booking Date]]&lt;&gt;"",1,0)</f>
        <v>1</v>
      </c>
      <c r="H49" s="4">
        <v>45967</v>
      </c>
      <c r="I49" s="11">
        <f>IF(Table1[[#This Row],[Booking Date]]&lt;&gt;"",1,0)</f>
        <v>1</v>
      </c>
      <c r="J49" s="30">
        <v>45969</v>
      </c>
      <c r="K49" s="11">
        <f>IF(Table1[[#This Row],[Delivery Date]]&lt;&gt;"",1,0)</f>
        <v>1</v>
      </c>
      <c r="L49" s="3" t="s">
        <v>2</v>
      </c>
      <c r="M49" s="3">
        <f>IF(Table1[[#This Row],[Cancellation Status]]&lt;&gt;"Yes",1,0)</f>
        <v>1</v>
      </c>
      <c r="O49" s="30">
        <v>45986</v>
      </c>
      <c r="P49" s="3">
        <v>5</v>
      </c>
      <c r="Q49" s="3">
        <v>2</v>
      </c>
      <c r="R49" s="3">
        <v>2</v>
      </c>
      <c r="S49" s="3">
        <v>3</v>
      </c>
      <c r="T4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9" t="str">
        <f>IF(Table1[[#This Row],[Customer Rating]]&gt;=9,"Promoter",IF(Table1[[#This Row],[Customer Rating]]&gt;=7,"Passive","Detractor"))</f>
        <v>Detractor</v>
      </c>
    </row>
    <row r="50" spans="1:21" ht="14.25" customHeight="1" x14ac:dyDescent="0.3">
      <c r="A50" s="3" t="s">
        <v>85</v>
      </c>
      <c r="B50" s="3" t="s">
        <v>39</v>
      </c>
      <c r="C50" s="3" t="s">
        <v>27</v>
      </c>
      <c r="D50" s="14">
        <v>45960</v>
      </c>
      <c r="E50" s="11">
        <f>1</f>
        <v>1</v>
      </c>
      <c r="F50" s="14">
        <v>45963</v>
      </c>
      <c r="G50" s="11">
        <f>IF(Table1[[#This Row],[Pre-Booking Date]]&lt;&gt;"",1,0)</f>
        <v>1</v>
      </c>
      <c r="H50" s="4">
        <v>45967</v>
      </c>
      <c r="I50" s="11">
        <f>IF(Table1[[#This Row],[Booking Date]]&lt;&gt;"",1,0)</f>
        <v>1</v>
      </c>
      <c r="J50" s="30">
        <v>45970</v>
      </c>
      <c r="K50" s="11">
        <f>IF(Table1[[#This Row],[Delivery Date]]&lt;&gt;"",1,0)</f>
        <v>1</v>
      </c>
      <c r="L50" s="3" t="s">
        <v>2</v>
      </c>
      <c r="M50" s="3">
        <f>IF(Table1[[#This Row],[Cancellation Status]]&lt;&gt;"Yes",1,0)</f>
        <v>1</v>
      </c>
      <c r="O50" s="30">
        <v>45995</v>
      </c>
      <c r="P50" s="3">
        <v>3</v>
      </c>
      <c r="Q50" s="3">
        <v>4</v>
      </c>
      <c r="R50" s="3">
        <v>3</v>
      </c>
      <c r="S50" s="3">
        <v>8</v>
      </c>
      <c r="T5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0" t="str">
        <f>IF(Table1[[#This Row],[Customer Rating]]&gt;=9,"Promoter",IF(Table1[[#This Row],[Customer Rating]]&gt;=7,"Passive","Detractor"))</f>
        <v>Passive</v>
      </c>
    </row>
    <row r="51" spans="1:21" ht="14.25" customHeight="1" x14ac:dyDescent="0.3">
      <c r="A51" s="3" t="s">
        <v>86</v>
      </c>
      <c r="B51" s="3" t="s">
        <v>32</v>
      </c>
      <c r="C51" s="3" t="s">
        <v>27</v>
      </c>
      <c r="D51" s="14">
        <v>45960</v>
      </c>
      <c r="E51" s="11">
        <f>1</f>
        <v>1</v>
      </c>
      <c r="F51" s="14">
        <v>45961</v>
      </c>
      <c r="G51" s="11">
        <f>IF(Table1[[#This Row],[Pre-Booking Date]]&lt;&gt;"",1,0)</f>
        <v>1</v>
      </c>
      <c r="H51" s="4">
        <v>45963</v>
      </c>
      <c r="I51" s="11">
        <f>IF(Table1[[#This Row],[Booking Date]]&lt;&gt;"",1,0)</f>
        <v>1</v>
      </c>
      <c r="J51" s="30">
        <v>45965</v>
      </c>
      <c r="K51" s="11">
        <f>IF(Table1[[#This Row],[Delivery Date]]&lt;&gt;"",1,0)</f>
        <v>1</v>
      </c>
      <c r="L51" s="3" t="s">
        <v>2</v>
      </c>
      <c r="M51" s="3">
        <f>IF(Table1[[#This Row],[Cancellation Status]]&lt;&gt;"Yes",1,0)</f>
        <v>1</v>
      </c>
      <c r="O51" s="30">
        <v>45984</v>
      </c>
      <c r="P51" s="3">
        <v>1</v>
      </c>
      <c r="Q51" s="3">
        <v>2</v>
      </c>
      <c r="R51" s="3">
        <v>2</v>
      </c>
      <c r="S51" s="3">
        <v>9</v>
      </c>
      <c r="T5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1" t="str">
        <f>IF(Table1[[#This Row],[Customer Rating]]&gt;=9,"Promoter",IF(Table1[[#This Row],[Customer Rating]]&gt;=7,"Passive","Detractor"))</f>
        <v>Promoter</v>
      </c>
    </row>
    <row r="52" spans="1:21" ht="14.25" customHeight="1" x14ac:dyDescent="0.3">
      <c r="A52" s="3" t="s">
        <v>87</v>
      </c>
      <c r="B52" s="3" t="s">
        <v>26</v>
      </c>
      <c r="C52" s="3" t="s">
        <v>27</v>
      </c>
      <c r="D52" s="14">
        <v>45960</v>
      </c>
      <c r="E52" s="11">
        <f>1</f>
        <v>1</v>
      </c>
      <c r="F52" s="14">
        <v>45962</v>
      </c>
      <c r="G52" s="11">
        <f>IF(Table1[[#This Row],[Pre-Booking Date]]&lt;&gt;"",1,0)</f>
        <v>1</v>
      </c>
      <c r="H52" s="4">
        <v>45965</v>
      </c>
      <c r="I52" s="11">
        <f>IF(Table1[[#This Row],[Booking Date]]&lt;&gt;"",1,0)</f>
        <v>1</v>
      </c>
      <c r="J52" s="30">
        <v>45971</v>
      </c>
      <c r="K52" s="11">
        <f>IF(Table1[[#This Row],[Delivery Date]]&lt;&gt;"",1,0)</f>
        <v>1</v>
      </c>
      <c r="L52" s="3" t="s">
        <v>2</v>
      </c>
      <c r="M52" s="3">
        <f>IF(Table1[[#This Row],[Cancellation Status]]&lt;&gt;"Yes",1,0)</f>
        <v>1</v>
      </c>
      <c r="O52" s="30">
        <v>45992</v>
      </c>
      <c r="P52" s="3">
        <v>2</v>
      </c>
      <c r="Q52" s="3">
        <v>3</v>
      </c>
      <c r="R52" s="3">
        <v>6</v>
      </c>
      <c r="S52" s="3">
        <v>8</v>
      </c>
      <c r="T5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2" t="str">
        <f>IF(Table1[[#This Row],[Customer Rating]]&gt;=9,"Promoter",IF(Table1[[#This Row],[Customer Rating]]&gt;=7,"Passive","Detractor"))</f>
        <v>Passive</v>
      </c>
    </row>
    <row r="53" spans="1:21" ht="14.25" customHeight="1" x14ac:dyDescent="0.3">
      <c r="A53" s="3" t="s">
        <v>88</v>
      </c>
      <c r="B53" s="3" t="s">
        <v>39</v>
      </c>
      <c r="C53" s="3" t="s">
        <v>30</v>
      </c>
      <c r="D53" s="14">
        <v>45960</v>
      </c>
      <c r="E53" s="11">
        <f>1</f>
        <v>1</v>
      </c>
      <c r="F53" s="14">
        <v>45962</v>
      </c>
      <c r="G53" s="11">
        <f>IF(Table1[[#This Row],[Pre-Booking Date]]&lt;&gt;"",1,0)</f>
        <v>1</v>
      </c>
      <c r="H53" s="4">
        <v>45967</v>
      </c>
      <c r="I53" s="11">
        <f>IF(Table1[[#This Row],[Booking Date]]&lt;&gt;"",1,0)</f>
        <v>1</v>
      </c>
      <c r="J53" s="30">
        <v>45970</v>
      </c>
      <c r="K53" s="11">
        <f>IF(Table1[[#This Row],[Delivery Date]]&lt;&gt;"",1,0)</f>
        <v>1</v>
      </c>
      <c r="L53" s="3" t="s">
        <v>2</v>
      </c>
      <c r="M53" s="3">
        <f>IF(Table1[[#This Row],[Cancellation Status]]&lt;&gt;"Yes",1,0)</f>
        <v>1</v>
      </c>
      <c r="O53" s="30">
        <v>45991</v>
      </c>
      <c r="P53" s="3">
        <v>2</v>
      </c>
      <c r="Q53" s="3">
        <v>5</v>
      </c>
      <c r="R53" s="3">
        <v>3</v>
      </c>
      <c r="S53" s="3">
        <v>8</v>
      </c>
      <c r="T5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3" t="str">
        <f>IF(Table1[[#This Row],[Customer Rating]]&gt;=9,"Promoter",IF(Table1[[#This Row],[Customer Rating]]&gt;=7,"Passive","Detractor"))</f>
        <v>Passive</v>
      </c>
    </row>
    <row r="54" spans="1:21" ht="14.25" customHeight="1" x14ac:dyDescent="0.3">
      <c r="A54" s="3" t="s">
        <v>89</v>
      </c>
      <c r="B54" s="3" t="s">
        <v>29</v>
      </c>
      <c r="C54" s="3" t="s">
        <v>33</v>
      </c>
      <c r="D54" s="14">
        <v>45960</v>
      </c>
      <c r="E54" s="11">
        <f>1</f>
        <v>1</v>
      </c>
      <c r="G54" s="12">
        <f>IF(Table1[[#This Row],[Pre-Booking Date]]&lt;&gt;"",1,0)</f>
        <v>0</v>
      </c>
      <c r="I54" s="12">
        <f>IF(Table1[[#This Row],[Booking Date]]&lt;&gt;"",1,0)</f>
        <v>0</v>
      </c>
      <c r="K54" s="12">
        <f>IF(Table1[[#This Row],[Delivery Date]]&lt;&gt;"",1,0)</f>
        <v>0</v>
      </c>
      <c r="L54" s="3" t="s">
        <v>3</v>
      </c>
      <c r="M54" s="3">
        <f>IF(Table1[[#This Row],[Cancellation Status]]&lt;&gt;"Yes",1,0)</f>
        <v>0</v>
      </c>
      <c r="N54" s="3" t="s">
        <v>34</v>
      </c>
      <c r="T5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4" t="str">
        <f>IF(Table1[[#This Row],[Customer Rating]]&gt;=9,"Promoter",IF(Table1[[#This Row],[Customer Rating]]&gt;=7,"Passive","Detractor"))</f>
        <v>Detractor</v>
      </c>
    </row>
    <row r="55" spans="1:21" ht="14.25" customHeight="1" x14ac:dyDescent="0.3">
      <c r="A55" s="3" t="s">
        <v>90</v>
      </c>
      <c r="B55" s="3" t="s">
        <v>39</v>
      </c>
      <c r="C55" s="3" t="s">
        <v>30</v>
      </c>
      <c r="D55" s="14">
        <v>45960</v>
      </c>
      <c r="E55" s="11">
        <f>1</f>
        <v>1</v>
      </c>
      <c r="F55" s="14">
        <v>45963</v>
      </c>
      <c r="G55" s="11">
        <f>IF(Table1[[#This Row],[Pre-Booking Date]]&lt;&gt;"",1,0)</f>
        <v>1</v>
      </c>
      <c r="H55" s="4">
        <v>45965</v>
      </c>
      <c r="I55" s="11">
        <f>IF(Table1[[#This Row],[Booking Date]]&lt;&gt;"",1,0)</f>
        <v>1</v>
      </c>
      <c r="J55" s="30">
        <v>45970</v>
      </c>
      <c r="K55" s="11">
        <f>IF(Table1[[#This Row],[Delivery Date]]&lt;&gt;"",1,0)</f>
        <v>1</v>
      </c>
      <c r="L55" s="3" t="s">
        <v>2</v>
      </c>
      <c r="M55" s="3">
        <f>IF(Table1[[#This Row],[Cancellation Status]]&lt;&gt;"Yes",1,0)</f>
        <v>1</v>
      </c>
      <c r="O55" s="30">
        <v>45996</v>
      </c>
      <c r="P55" s="3">
        <v>3</v>
      </c>
      <c r="Q55" s="3">
        <v>2</v>
      </c>
      <c r="R55" s="3">
        <v>5</v>
      </c>
      <c r="S55" s="3">
        <v>3</v>
      </c>
      <c r="T5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5" t="str">
        <f>IF(Table1[[#This Row],[Customer Rating]]&gt;=9,"Promoter",IF(Table1[[#This Row],[Customer Rating]]&gt;=7,"Passive","Detractor"))</f>
        <v>Detractor</v>
      </c>
    </row>
    <row r="56" spans="1:21" ht="14.25" customHeight="1" x14ac:dyDescent="0.3">
      <c r="A56" s="3" t="s">
        <v>91</v>
      </c>
      <c r="B56" s="3" t="s">
        <v>32</v>
      </c>
      <c r="C56" s="3" t="s">
        <v>30</v>
      </c>
      <c r="D56" s="14">
        <v>45960</v>
      </c>
      <c r="E56" s="11">
        <f>1</f>
        <v>1</v>
      </c>
      <c r="F56" s="14">
        <v>45964</v>
      </c>
      <c r="G56" s="11">
        <f>IF(Table1[[#This Row],[Pre-Booking Date]]&lt;&gt;"",1,0)</f>
        <v>1</v>
      </c>
      <c r="H56" s="4">
        <v>45968</v>
      </c>
      <c r="I56" s="11">
        <f>IF(Table1[[#This Row],[Booking Date]]&lt;&gt;"",1,0)</f>
        <v>1</v>
      </c>
      <c r="J56" s="30">
        <v>45970</v>
      </c>
      <c r="K56" s="11">
        <f>IF(Table1[[#This Row],[Delivery Date]]&lt;&gt;"",1,0)</f>
        <v>1</v>
      </c>
      <c r="L56" s="3" t="s">
        <v>2</v>
      </c>
      <c r="M56" s="3">
        <f>IF(Table1[[#This Row],[Cancellation Status]]&lt;&gt;"Yes",1,0)</f>
        <v>1</v>
      </c>
      <c r="O56" s="30">
        <v>46000</v>
      </c>
      <c r="P56" s="3">
        <v>4</v>
      </c>
      <c r="Q56" s="3">
        <v>4</v>
      </c>
      <c r="R56" s="3">
        <v>2</v>
      </c>
      <c r="S56" s="3">
        <v>4</v>
      </c>
      <c r="T5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6" t="str">
        <f>IF(Table1[[#This Row],[Customer Rating]]&gt;=9,"Promoter",IF(Table1[[#This Row],[Customer Rating]]&gt;=7,"Passive","Detractor"))</f>
        <v>Detractor</v>
      </c>
    </row>
    <row r="57" spans="1:21" ht="14.25" customHeight="1" x14ac:dyDescent="0.3">
      <c r="A57" s="3" t="s">
        <v>92</v>
      </c>
      <c r="B57" s="3" t="s">
        <v>26</v>
      </c>
      <c r="C57" s="3" t="s">
        <v>27</v>
      </c>
      <c r="D57" s="14">
        <v>45960</v>
      </c>
      <c r="E57" s="11">
        <f>1</f>
        <v>1</v>
      </c>
      <c r="F57" s="14">
        <v>45962</v>
      </c>
      <c r="G57" s="11">
        <f>IF(Table1[[#This Row],[Pre-Booking Date]]&lt;&gt;"",1,0)</f>
        <v>1</v>
      </c>
      <c r="H57" s="4">
        <v>45966</v>
      </c>
      <c r="I57" s="11">
        <f>IF(Table1[[#This Row],[Booking Date]]&lt;&gt;"",1,0)</f>
        <v>1</v>
      </c>
      <c r="J57" s="30">
        <v>45968</v>
      </c>
      <c r="K57" s="11">
        <f>IF(Table1[[#This Row],[Delivery Date]]&lt;&gt;"",1,0)</f>
        <v>1</v>
      </c>
      <c r="L57" s="3" t="s">
        <v>2</v>
      </c>
      <c r="M57" s="3">
        <f>IF(Table1[[#This Row],[Cancellation Status]]&lt;&gt;"Yes",1,0)</f>
        <v>1</v>
      </c>
      <c r="O57" s="30">
        <v>45996</v>
      </c>
      <c r="P57" s="3">
        <v>2</v>
      </c>
      <c r="Q57" s="3">
        <v>4</v>
      </c>
      <c r="R57" s="3">
        <v>2</v>
      </c>
      <c r="S57" s="3">
        <v>2</v>
      </c>
      <c r="T5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7" t="str">
        <f>IF(Table1[[#This Row],[Customer Rating]]&gt;=9,"Promoter",IF(Table1[[#This Row],[Customer Rating]]&gt;=7,"Passive","Detractor"))</f>
        <v>Detractor</v>
      </c>
    </row>
    <row r="58" spans="1:21" ht="14.25" customHeight="1" x14ac:dyDescent="0.3">
      <c r="A58" s="3" t="s">
        <v>93</v>
      </c>
      <c r="B58" s="3" t="s">
        <v>32</v>
      </c>
      <c r="C58" s="3" t="s">
        <v>30</v>
      </c>
      <c r="D58" s="14">
        <v>45960</v>
      </c>
      <c r="E58" s="11">
        <f>1</f>
        <v>1</v>
      </c>
      <c r="F58" s="14">
        <v>45962</v>
      </c>
      <c r="G58" s="11">
        <f>IF(Table1[[#This Row],[Pre-Booking Date]]&lt;&gt;"",1,0)</f>
        <v>1</v>
      </c>
      <c r="H58" s="4">
        <v>45967</v>
      </c>
      <c r="I58" s="11">
        <f>IF(Table1[[#This Row],[Booking Date]]&lt;&gt;"",1,0)</f>
        <v>1</v>
      </c>
      <c r="J58" s="30">
        <v>45969</v>
      </c>
      <c r="K58" s="11">
        <f>IF(Table1[[#This Row],[Delivery Date]]&lt;&gt;"",1,0)</f>
        <v>1</v>
      </c>
      <c r="L58" s="3" t="s">
        <v>3</v>
      </c>
      <c r="M58" s="3">
        <f>IF(Table1[[#This Row],[Cancellation Status]]&lt;&gt;"Yes",1,0)</f>
        <v>0</v>
      </c>
      <c r="N58" s="3" t="s">
        <v>42</v>
      </c>
      <c r="P58" s="3">
        <v>2</v>
      </c>
      <c r="Q58" s="3">
        <v>5</v>
      </c>
      <c r="R58" s="3">
        <v>2</v>
      </c>
      <c r="T5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8" t="str">
        <f>IF(Table1[[#This Row],[Customer Rating]]&gt;=9,"Promoter",IF(Table1[[#This Row],[Customer Rating]]&gt;=7,"Passive","Detractor"))</f>
        <v>Detractor</v>
      </c>
    </row>
    <row r="59" spans="1:21" ht="14.25" customHeight="1" x14ac:dyDescent="0.3">
      <c r="A59" s="3" t="s">
        <v>94</v>
      </c>
      <c r="B59" s="3" t="s">
        <v>26</v>
      </c>
      <c r="C59" s="3" t="s">
        <v>27</v>
      </c>
      <c r="D59" s="14">
        <v>45960</v>
      </c>
      <c r="E59" s="11">
        <f>1</f>
        <v>1</v>
      </c>
      <c r="F59" s="14">
        <v>45961</v>
      </c>
      <c r="G59" s="11">
        <f>IF(Table1[[#This Row],[Pre-Booking Date]]&lt;&gt;"",1,0)</f>
        <v>1</v>
      </c>
      <c r="H59" s="4">
        <v>45966</v>
      </c>
      <c r="I59" s="11">
        <f>IF(Table1[[#This Row],[Booking Date]]&lt;&gt;"",1,0)</f>
        <v>1</v>
      </c>
      <c r="J59" s="30">
        <v>45973</v>
      </c>
      <c r="K59" s="11">
        <f>IF(Table1[[#This Row],[Delivery Date]]&lt;&gt;"",1,0)</f>
        <v>1</v>
      </c>
      <c r="L59" s="3" t="s">
        <v>2</v>
      </c>
      <c r="M59" s="3">
        <f>IF(Table1[[#This Row],[Cancellation Status]]&lt;&gt;"Yes",1,0)</f>
        <v>1</v>
      </c>
      <c r="O59" s="30">
        <v>45988</v>
      </c>
      <c r="P59" s="3">
        <v>1</v>
      </c>
      <c r="Q59" s="3">
        <v>5</v>
      </c>
      <c r="R59" s="3">
        <v>7</v>
      </c>
      <c r="S59" s="3">
        <v>6</v>
      </c>
      <c r="T5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9" t="str">
        <f>IF(Table1[[#This Row],[Customer Rating]]&gt;=9,"Promoter",IF(Table1[[#This Row],[Customer Rating]]&gt;=7,"Passive","Detractor"))</f>
        <v>Detractor</v>
      </c>
    </row>
    <row r="60" spans="1:21" ht="14.25" customHeight="1" x14ac:dyDescent="0.3">
      <c r="A60" s="3" t="s">
        <v>95</v>
      </c>
      <c r="B60" s="3" t="s">
        <v>26</v>
      </c>
      <c r="C60" s="3" t="s">
        <v>27</v>
      </c>
      <c r="D60" s="14">
        <v>45960</v>
      </c>
      <c r="E60" s="11">
        <f>1</f>
        <v>1</v>
      </c>
      <c r="F60" s="14">
        <v>45962</v>
      </c>
      <c r="G60" s="11">
        <f>IF(Table1[[#This Row],[Pre-Booking Date]]&lt;&gt;"",1,0)</f>
        <v>1</v>
      </c>
      <c r="H60" s="4">
        <v>45965</v>
      </c>
      <c r="I60" s="11">
        <f>IF(Table1[[#This Row],[Booking Date]]&lt;&gt;"",1,0)</f>
        <v>1</v>
      </c>
      <c r="J60" s="30">
        <v>45968</v>
      </c>
      <c r="K60" s="11">
        <f>IF(Table1[[#This Row],[Delivery Date]]&lt;&gt;"",1,0)</f>
        <v>1</v>
      </c>
      <c r="L60" s="3" t="s">
        <v>2</v>
      </c>
      <c r="M60" s="3">
        <f>IF(Table1[[#This Row],[Cancellation Status]]&lt;&gt;"Yes",1,0)</f>
        <v>1</v>
      </c>
      <c r="O60" s="30">
        <v>45982</v>
      </c>
      <c r="P60" s="3">
        <v>2</v>
      </c>
      <c r="Q60" s="3">
        <v>3</v>
      </c>
      <c r="R60" s="3">
        <v>3</v>
      </c>
      <c r="S60" s="3">
        <v>10</v>
      </c>
      <c r="T6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0" t="str">
        <f>IF(Table1[[#This Row],[Customer Rating]]&gt;=9,"Promoter",IF(Table1[[#This Row],[Customer Rating]]&gt;=7,"Passive","Detractor"))</f>
        <v>Promoter</v>
      </c>
    </row>
    <row r="61" spans="1:21" ht="14.25" customHeight="1" x14ac:dyDescent="0.3">
      <c r="A61" s="3" t="s">
        <v>96</v>
      </c>
      <c r="B61" s="3" t="s">
        <v>32</v>
      </c>
      <c r="C61" s="3" t="s">
        <v>33</v>
      </c>
      <c r="D61" s="14">
        <v>45960</v>
      </c>
      <c r="E61" s="11">
        <f>1</f>
        <v>1</v>
      </c>
      <c r="G61" s="12">
        <f>IF(Table1[[#This Row],[Pre-Booking Date]]&lt;&gt;"",1,0)</f>
        <v>0</v>
      </c>
      <c r="I61" s="12">
        <f>IF(Table1[[#This Row],[Booking Date]]&lt;&gt;"",1,0)</f>
        <v>0</v>
      </c>
      <c r="K61" s="12">
        <f>IF(Table1[[#This Row],[Delivery Date]]&lt;&gt;"",1,0)</f>
        <v>0</v>
      </c>
      <c r="L61" s="3" t="s">
        <v>3</v>
      </c>
      <c r="M61" s="3">
        <f>IF(Table1[[#This Row],[Cancellation Status]]&lt;&gt;"Yes",1,0)</f>
        <v>0</v>
      </c>
      <c r="N61" s="3" t="s">
        <v>37</v>
      </c>
      <c r="T6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1" t="str">
        <f>IF(Table1[[#This Row],[Customer Rating]]&gt;=9,"Promoter",IF(Table1[[#This Row],[Customer Rating]]&gt;=7,"Passive","Detractor"))</f>
        <v>Detractor</v>
      </c>
    </row>
    <row r="62" spans="1:21" ht="14.25" customHeight="1" x14ac:dyDescent="0.3">
      <c r="A62" s="3" t="s">
        <v>97</v>
      </c>
      <c r="B62" s="3" t="s">
        <v>39</v>
      </c>
      <c r="C62" s="3" t="s">
        <v>33</v>
      </c>
      <c r="D62" s="14">
        <v>45960</v>
      </c>
      <c r="E62" s="11">
        <f>1</f>
        <v>1</v>
      </c>
      <c r="G62" s="12">
        <f>IF(Table1[[#This Row],[Pre-Booking Date]]&lt;&gt;"",1,0)</f>
        <v>0</v>
      </c>
      <c r="I62" s="12">
        <f>IF(Table1[[#This Row],[Booking Date]]&lt;&gt;"",1,0)</f>
        <v>0</v>
      </c>
      <c r="K62" s="12">
        <f>IF(Table1[[#This Row],[Delivery Date]]&lt;&gt;"",1,0)</f>
        <v>0</v>
      </c>
      <c r="L62" s="3" t="s">
        <v>3</v>
      </c>
      <c r="M62" s="3">
        <f>IF(Table1[[#This Row],[Cancellation Status]]&lt;&gt;"Yes",1,0)</f>
        <v>0</v>
      </c>
      <c r="N62" s="3" t="s">
        <v>34</v>
      </c>
      <c r="T6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2" t="str">
        <f>IF(Table1[[#This Row],[Customer Rating]]&gt;=9,"Promoter",IF(Table1[[#This Row],[Customer Rating]]&gt;=7,"Passive","Detractor"))</f>
        <v>Detractor</v>
      </c>
    </row>
    <row r="63" spans="1:21" ht="14.25" customHeight="1" x14ac:dyDescent="0.3">
      <c r="A63" s="3" t="s">
        <v>98</v>
      </c>
      <c r="B63" s="3" t="s">
        <v>26</v>
      </c>
      <c r="C63" s="3" t="s">
        <v>27</v>
      </c>
      <c r="D63" s="14">
        <v>45960</v>
      </c>
      <c r="E63" s="11">
        <f>1</f>
        <v>1</v>
      </c>
      <c r="F63" s="14">
        <v>45963</v>
      </c>
      <c r="G63" s="11">
        <f>IF(Table1[[#This Row],[Pre-Booking Date]]&lt;&gt;"",1,0)</f>
        <v>1</v>
      </c>
      <c r="H63" s="4">
        <v>45968</v>
      </c>
      <c r="I63" s="11">
        <f>IF(Table1[[#This Row],[Booking Date]]&lt;&gt;"",1,0)</f>
        <v>1</v>
      </c>
      <c r="J63" s="30">
        <v>45974</v>
      </c>
      <c r="K63" s="11">
        <f>IF(Table1[[#This Row],[Delivery Date]]&lt;&gt;"",1,0)</f>
        <v>1</v>
      </c>
      <c r="L63" s="3" t="s">
        <v>2</v>
      </c>
      <c r="M63" s="3">
        <f>IF(Table1[[#This Row],[Cancellation Status]]&lt;&gt;"Yes",1,0)</f>
        <v>1</v>
      </c>
      <c r="O63" s="30">
        <v>45995</v>
      </c>
      <c r="P63" s="3">
        <v>3</v>
      </c>
      <c r="Q63" s="3">
        <v>5</v>
      </c>
      <c r="R63" s="3">
        <v>6</v>
      </c>
      <c r="S63" s="3">
        <v>8</v>
      </c>
      <c r="T6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3" t="str">
        <f>IF(Table1[[#This Row],[Customer Rating]]&gt;=9,"Promoter",IF(Table1[[#This Row],[Customer Rating]]&gt;=7,"Passive","Detractor"))</f>
        <v>Passive</v>
      </c>
    </row>
    <row r="64" spans="1:21" ht="14.25" customHeight="1" x14ac:dyDescent="0.3">
      <c r="A64" s="3" t="s">
        <v>99</v>
      </c>
      <c r="B64" s="3" t="s">
        <v>29</v>
      </c>
      <c r="C64" s="3" t="s">
        <v>27</v>
      </c>
      <c r="D64" s="14">
        <v>45960</v>
      </c>
      <c r="E64" s="11">
        <f>1</f>
        <v>1</v>
      </c>
      <c r="F64" s="14">
        <v>45963</v>
      </c>
      <c r="G64" s="11">
        <f>IF(Table1[[#This Row],[Pre-Booking Date]]&lt;&gt;"",1,0)</f>
        <v>1</v>
      </c>
      <c r="H64" s="4">
        <v>45964</v>
      </c>
      <c r="I64" s="11">
        <f>IF(Table1[[#This Row],[Booking Date]]&lt;&gt;"",1,0)</f>
        <v>1</v>
      </c>
      <c r="J64" s="30">
        <v>45970</v>
      </c>
      <c r="K64" s="11">
        <f>IF(Table1[[#This Row],[Delivery Date]]&lt;&gt;"",1,0)</f>
        <v>1</v>
      </c>
      <c r="L64" s="3" t="s">
        <v>2</v>
      </c>
      <c r="M64" s="3">
        <f>IF(Table1[[#This Row],[Cancellation Status]]&lt;&gt;"Yes",1,0)</f>
        <v>1</v>
      </c>
      <c r="O64" s="30">
        <v>45985</v>
      </c>
      <c r="P64" s="3">
        <v>3</v>
      </c>
      <c r="Q64" s="3">
        <v>1</v>
      </c>
      <c r="R64" s="3">
        <v>6</v>
      </c>
      <c r="S64" s="3">
        <v>1</v>
      </c>
      <c r="T6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4" t="str">
        <f>IF(Table1[[#This Row],[Customer Rating]]&gt;=9,"Promoter",IF(Table1[[#This Row],[Customer Rating]]&gt;=7,"Passive","Detractor"))</f>
        <v>Detractor</v>
      </c>
    </row>
    <row r="65" spans="1:21" ht="14.25" customHeight="1" x14ac:dyDescent="0.3">
      <c r="A65" s="3" t="s">
        <v>100</v>
      </c>
      <c r="B65" s="3" t="s">
        <v>32</v>
      </c>
      <c r="C65" s="3" t="s">
        <v>27</v>
      </c>
      <c r="D65" s="14">
        <v>45959</v>
      </c>
      <c r="E65" s="11">
        <f>1</f>
        <v>1</v>
      </c>
      <c r="F65" s="14">
        <v>45962</v>
      </c>
      <c r="G65" s="11">
        <f>IF(Table1[[#This Row],[Pre-Booking Date]]&lt;&gt;"",1,0)</f>
        <v>1</v>
      </c>
      <c r="H65" s="4">
        <v>45967</v>
      </c>
      <c r="I65" s="11">
        <f>IF(Table1[[#This Row],[Booking Date]]&lt;&gt;"",1,0)</f>
        <v>1</v>
      </c>
      <c r="J65" s="30">
        <v>45974</v>
      </c>
      <c r="K65" s="11">
        <f>IF(Table1[[#This Row],[Delivery Date]]&lt;&gt;"",1,0)</f>
        <v>1</v>
      </c>
      <c r="L65" s="3" t="s">
        <v>2</v>
      </c>
      <c r="M65" s="3">
        <f>IF(Table1[[#This Row],[Cancellation Status]]&lt;&gt;"Yes",1,0)</f>
        <v>1</v>
      </c>
      <c r="O65" s="30">
        <v>45991</v>
      </c>
      <c r="P65" s="3">
        <v>3</v>
      </c>
      <c r="Q65" s="3">
        <v>5</v>
      </c>
      <c r="R65" s="3">
        <v>7</v>
      </c>
      <c r="S65" s="3">
        <v>10</v>
      </c>
      <c r="T6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5" t="str">
        <f>IF(Table1[[#This Row],[Customer Rating]]&gt;=9,"Promoter",IF(Table1[[#This Row],[Customer Rating]]&gt;=7,"Passive","Detractor"))</f>
        <v>Promoter</v>
      </c>
    </row>
    <row r="66" spans="1:21" ht="14.25" customHeight="1" x14ac:dyDescent="0.3">
      <c r="A66" s="3" t="s">
        <v>101</v>
      </c>
      <c r="B66" s="3" t="s">
        <v>29</v>
      </c>
      <c r="C66" s="3" t="s">
        <v>33</v>
      </c>
      <c r="D66" s="14">
        <v>45959</v>
      </c>
      <c r="E66" s="11">
        <f>1</f>
        <v>1</v>
      </c>
      <c r="G66" s="12">
        <f>IF(Table1[[#This Row],[Pre-Booking Date]]&lt;&gt;"",1,0)</f>
        <v>0</v>
      </c>
      <c r="I66" s="12">
        <f>IF(Table1[[#This Row],[Booking Date]]&lt;&gt;"",1,0)</f>
        <v>0</v>
      </c>
      <c r="K66" s="12">
        <f>IF(Table1[[#This Row],[Delivery Date]]&lt;&gt;"",1,0)</f>
        <v>0</v>
      </c>
      <c r="L66" s="3" t="s">
        <v>3</v>
      </c>
      <c r="M66" s="3">
        <f>IF(Table1[[#This Row],[Cancellation Status]]&lt;&gt;"Yes",1,0)</f>
        <v>0</v>
      </c>
      <c r="N66" s="3" t="s">
        <v>42</v>
      </c>
      <c r="T6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6" t="str">
        <f>IF(Table1[[#This Row],[Customer Rating]]&gt;=9,"Promoter",IF(Table1[[#This Row],[Customer Rating]]&gt;=7,"Passive","Detractor"))</f>
        <v>Detractor</v>
      </c>
    </row>
    <row r="67" spans="1:21" ht="14.25" customHeight="1" x14ac:dyDescent="0.3">
      <c r="A67" s="3" t="s">
        <v>102</v>
      </c>
      <c r="B67" s="3" t="s">
        <v>32</v>
      </c>
      <c r="C67" s="3" t="s">
        <v>27</v>
      </c>
      <c r="D67" s="14">
        <v>45959</v>
      </c>
      <c r="E67" s="11">
        <f>1</f>
        <v>1</v>
      </c>
      <c r="F67" s="14">
        <v>45960</v>
      </c>
      <c r="G67" s="11">
        <f>IF(Table1[[#This Row],[Pre-Booking Date]]&lt;&gt;"",1,0)</f>
        <v>1</v>
      </c>
      <c r="H67" s="4">
        <v>45965</v>
      </c>
      <c r="I67" s="11">
        <f>IF(Table1[[#This Row],[Booking Date]]&lt;&gt;"",1,0)</f>
        <v>1</v>
      </c>
      <c r="J67" s="30">
        <v>45968</v>
      </c>
      <c r="K67" s="11">
        <f>IF(Table1[[#This Row],[Delivery Date]]&lt;&gt;"",1,0)</f>
        <v>1</v>
      </c>
      <c r="L67" s="3" t="s">
        <v>2</v>
      </c>
      <c r="M67" s="3">
        <f>IF(Table1[[#This Row],[Cancellation Status]]&lt;&gt;"Yes",1,0)</f>
        <v>1</v>
      </c>
      <c r="O67" s="30">
        <v>45983</v>
      </c>
      <c r="P67" s="3">
        <v>1</v>
      </c>
      <c r="Q67" s="3">
        <v>5</v>
      </c>
      <c r="R67" s="3">
        <v>3</v>
      </c>
      <c r="S67" s="3">
        <v>10</v>
      </c>
      <c r="T6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7" t="str">
        <f>IF(Table1[[#This Row],[Customer Rating]]&gt;=9,"Promoter",IF(Table1[[#This Row],[Customer Rating]]&gt;=7,"Passive","Detractor"))</f>
        <v>Promoter</v>
      </c>
    </row>
    <row r="68" spans="1:21" ht="14.25" customHeight="1" x14ac:dyDescent="0.3">
      <c r="A68" s="3" t="s">
        <v>103</v>
      </c>
      <c r="B68" s="3" t="s">
        <v>29</v>
      </c>
      <c r="C68" s="3" t="s">
        <v>33</v>
      </c>
      <c r="D68" s="14">
        <v>45959</v>
      </c>
      <c r="E68" s="11">
        <f>1</f>
        <v>1</v>
      </c>
      <c r="G68" s="12">
        <f>IF(Table1[[#This Row],[Pre-Booking Date]]&lt;&gt;"",1,0)</f>
        <v>0</v>
      </c>
      <c r="I68" s="12">
        <f>IF(Table1[[#This Row],[Booking Date]]&lt;&gt;"",1,0)</f>
        <v>0</v>
      </c>
      <c r="K68" s="12">
        <f>IF(Table1[[#This Row],[Delivery Date]]&lt;&gt;"",1,0)</f>
        <v>0</v>
      </c>
      <c r="L68" s="3" t="s">
        <v>3</v>
      </c>
      <c r="M68" s="3">
        <f>IF(Table1[[#This Row],[Cancellation Status]]&lt;&gt;"Yes",1,0)</f>
        <v>0</v>
      </c>
      <c r="N68" s="3" t="s">
        <v>37</v>
      </c>
      <c r="T6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8" t="str">
        <f>IF(Table1[[#This Row],[Customer Rating]]&gt;=9,"Promoter",IF(Table1[[#This Row],[Customer Rating]]&gt;=7,"Passive","Detractor"))</f>
        <v>Detractor</v>
      </c>
    </row>
    <row r="69" spans="1:21" ht="14.25" customHeight="1" x14ac:dyDescent="0.3">
      <c r="A69" s="3" t="s">
        <v>104</v>
      </c>
      <c r="B69" s="3" t="s">
        <v>29</v>
      </c>
      <c r="C69" s="3" t="s">
        <v>27</v>
      </c>
      <c r="D69" s="14">
        <v>45959</v>
      </c>
      <c r="E69" s="11">
        <f>1</f>
        <v>1</v>
      </c>
      <c r="F69" s="14">
        <v>45963</v>
      </c>
      <c r="G69" s="11">
        <f>IF(Table1[[#This Row],[Pre-Booking Date]]&lt;&gt;"",1,0)</f>
        <v>1</v>
      </c>
      <c r="H69" s="4">
        <v>45968</v>
      </c>
      <c r="I69" s="11">
        <f>IF(Table1[[#This Row],[Booking Date]]&lt;&gt;"",1,0)</f>
        <v>1</v>
      </c>
      <c r="J69" s="30">
        <v>45973</v>
      </c>
      <c r="K69" s="11">
        <f>IF(Table1[[#This Row],[Delivery Date]]&lt;&gt;"",1,0)</f>
        <v>1</v>
      </c>
      <c r="L69" s="3" t="s">
        <v>2</v>
      </c>
      <c r="M69" s="3">
        <f>IF(Table1[[#This Row],[Cancellation Status]]&lt;&gt;"Yes",1,0)</f>
        <v>1</v>
      </c>
      <c r="O69" s="30">
        <v>45990</v>
      </c>
      <c r="P69" s="3">
        <v>4</v>
      </c>
      <c r="Q69" s="3">
        <v>5</v>
      </c>
      <c r="R69" s="3">
        <v>5</v>
      </c>
      <c r="S69" s="3">
        <v>5</v>
      </c>
      <c r="T6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9" t="str">
        <f>IF(Table1[[#This Row],[Customer Rating]]&gt;=9,"Promoter",IF(Table1[[#This Row],[Customer Rating]]&gt;=7,"Passive","Detractor"))</f>
        <v>Detractor</v>
      </c>
    </row>
    <row r="70" spans="1:21" ht="14.25" customHeight="1" x14ac:dyDescent="0.3">
      <c r="A70" s="3" t="s">
        <v>105</v>
      </c>
      <c r="B70" s="3" t="s">
        <v>26</v>
      </c>
      <c r="C70" s="3" t="s">
        <v>27</v>
      </c>
      <c r="D70" s="14">
        <v>45959</v>
      </c>
      <c r="E70" s="11">
        <f>1</f>
        <v>1</v>
      </c>
      <c r="F70" s="14">
        <v>45961</v>
      </c>
      <c r="G70" s="11">
        <f>IF(Table1[[#This Row],[Pre-Booking Date]]&lt;&gt;"",1,0)</f>
        <v>1</v>
      </c>
      <c r="H70" s="4">
        <v>45963</v>
      </c>
      <c r="I70" s="11">
        <f>IF(Table1[[#This Row],[Booking Date]]&lt;&gt;"",1,0)</f>
        <v>1</v>
      </c>
      <c r="J70" s="30">
        <v>45968</v>
      </c>
      <c r="K70" s="11">
        <f>IF(Table1[[#This Row],[Delivery Date]]&lt;&gt;"",1,0)</f>
        <v>1</v>
      </c>
      <c r="L70" s="3" t="s">
        <v>2</v>
      </c>
      <c r="M70" s="3">
        <f>IF(Table1[[#This Row],[Cancellation Status]]&lt;&gt;"Yes",1,0)</f>
        <v>1</v>
      </c>
      <c r="O70" s="30">
        <v>45983</v>
      </c>
      <c r="P70" s="3">
        <v>2</v>
      </c>
      <c r="Q70" s="3">
        <v>2</v>
      </c>
      <c r="R70" s="3">
        <v>5</v>
      </c>
      <c r="S70" s="3">
        <v>2</v>
      </c>
      <c r="T7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0" t="str">
        <f>IF(Table1[[#This Row],[Customer Rating]]&gt;=9,"Promoter",IF(Table1[[#This Row],[Customer Rating]]&gt;=7,"Passive","Detractor"))</f>
        <v>Detractor</v>
      </c>
    </row>
    <row r="71" spans="1:21" ht="14.25" customHeight="1" x14ac:dyDescent="0.3">
      <c r="A71" s="3" t="s">
        <v>106</v>
      </c>
      <c r="B71" s="3" t="s">
        <v>32</v>
      </c>
      <c r="C71" s="3" t="s">
        <v>30</v>
      </c>
      <c r="D71" s="14">
        <v>45959</v>
      </c>
      <c r="E71" s="11">
        <f>1</f>
        <v>1</v>
      </c>
      <c r="F71" s="14">
        <v>45962</v>
      </c>
      <c r="G71" s="11">
        <f>IF(Table1[[#This Row],[Pre-Booking Date]]&lt;&gt;"",1,0)</f>
        <v>1</v>
      </c>
      <c r="H71" s="4">
        <v>45966</v>
      </c>
      <c r="I71" s="11">
        <f>IF(Table1[[#This Row],[Booking Date]]&lt;&gt;"",1,0)</f>
        <v>1</v>
      </c>
      <c r="J71" s="30">
        <v>45972</v>
      </c>
      <c r="K71" s="11">
        <f>IF(Table1[[#This Row],[Delivery Date]]&lt;&gt;"",1,0)</f>
        <v>1</v>
      </c>
      <c r="L71" s="3" t="s">
        <v>2</v>
      </c>
      <c r="M71" s="3">
        <f>IF(Table1[[#This Row],[Cancellation Status]]&lt;&gt;"Yes",1,0)</f>
        <v>1</v>
      </c>
      <c r="O71" s="30">
        <v>45993</v>
      </c>
      <c r="P71" s="3">
        <v>3</v>
      </c>
      <c r="Q71" s="3">
        <v>4</v>
      </c>
      <c r="R71" s="3">
        <v>6</v>
      </c>
      <c r="S71" s="3">
        <v>3</v>
      </c>
      <c r="T7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1" t="str">
        <f>IF(Table1[[#This Row],[Customer Rating]]&gt;=9,"Promoter",IF(Table1[[#This Row],[Customer Rating]]&gt;=7,"Passive","Detractor"))</f>
        <v>Detractor</v>
      </c>
    </row>
    <row r="72" spans="1:21" ht="14.25" customHeight="1" x14ac:dyDescent="0.3">
      <c r="A72" s="3" t="s">
        <v>107</v>
      </c>
      <c r="B72" s="3" t="s">
        <v>32</v>
      </c>
      <c r="C72" s="3" t="s">
        <v>27</v>
      </c>
      <c r="D72" s="14">
        <v>45959</v>
      </c>
      <c r="E72" s="11">
        <f>1</f>
        <v>1</v>
      </c>
      <c r="F72" s="14">
        <v>45963</v>
      </c>
      <c r="G72" s="11">
        <f>IF(Table1[[#This Row],[Pre-Booking Date]]&lt;&gt;"",1,0)</f>
        <v>1</v>
      </c>
      <c r="H72" s="4">
        <v>45964</v>
      </c>
      <c r="I72" s="11">
        <f>IF(Table1[[#This Row],[Booking Date]]&lt;&gt;"",1,0)</f>
        <v>1</v>
      </c>
      <c r="J72" s="30">
        <v>45969</v>
      </c>
      <c r="K72" s="11">
        <f>IF(Table1[[#This Row],[Delivery Date]]&lt;&gt;"",1,0)</f>
        <v>1</v>
      </c>
      <c r="L72" s="3" t="s">
        <v>2</v>
      </c>
      <c r="M72" s="3">
        <f>IF(Table1[[#This Row],[Cancellation Status]]&lt;&gt;"Yes",1,0)</f>
        <v>1</v>
      </c>
      <c r="O72" s="30">
        <v>45992</v>
      </c>
      <c r="P72" s="3">
        <v>4</v>
      </c>
      <c r="Q72" s="3">
        <v>1</v>
      </c>
      <c r="R72" s="3">
        <v>5</v>
      </c>
      <c r="S72" s="3">
        <v>9</v>
      </c>
      <c r="T7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2" t="str">
        <f>IF(Table1[[#This Row],[Customer Rating]]&gt;=9,"Promoter",IF(Table1[[#This Row],[Customer Rating]]&gt;=7,"Passive","Detractor"))</f>
        <v>Promoter</v>
      </c>
    </row>
    <row r="73" spans="1:21" ht="14.25" customHeight="1" x14ac:dyDescent="0.3">
      <c r="A73" s="3" t="s">
        <v>108</v>
      </c>
      <c r="B73" s="3" t="s">
        <v>39</v>
      </c>
      <c r="C73" s="3" t="s">
        <v>30</v>
      </c>
      <c r="D73" s="14">
        <v>45959</v>
      </c>
      <c r="E73" s="11">
        <f>1</f>
        <v>1</v>
      </c>
      <c r="F73" s="14">
        <v>45960</v>
      </c>
      <c r="G73" s="11">
        <f>IF(Table1[[#This Row],[Pre-Booking Date]]&lt;&gt;"",1,0)</f>
        <v>1</v>
      </c>
      <c r="H73" s="4">
        <v>45962</v>
      </c>
      <c r="I73" s="11">
        <f>IF(Table1[[#This Row],[Booking Date]]&lt;&gt;"",1,0)</f>
        <v>1</v>
      </c>
      <c r="J73" s="30">
        <v>45964</v>
      </c>
      <c r="K73" s="11">
        <f>IF(Table1[[#This Row],[Delivery Date]]&lt;&gt;"",1,0)</f>
        <v>1</v>
      </c>
      <c r="L73" s="3" t="s">
        <v>2</v>
      </c>
      <c r="M73" s="3">
        <f>IF(Table1[[#This Row],[Cancellation Status]]&lt;&gt;"Yes",1,0)</f>
        <v>1</v>
      </c>
      <c r="O73" s="30">
        <v>45989</v>
      </c>
      <c r="P73" s="3">
        <v>1</v>
      </c>
      <c r="Q73" s="3">
        <v>2</v>
      </c>
      <c r="R73" s="3">
        <v>2</v>
      </c>
      <c r="S73" s="3">
        <v>9</v>
      </c>
      <c r="T7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3" t="str">
        <f>IF(Table1[[#This Row],[Customer Rating]]&gt;=9,"Promoter",IF(Table1[[#This Row],[Customer Rating]]&gt;=7,"Passive","Detractor"))</f>
        <v>Promoter</v>
      </c>
    </row>
    <row r="74" spans="1:21" ht="14.25" customHeight="1" x14ac:dyDescent="0.3">
      <c r="A74" s="3" t="s">
        <v>109</v>
      </c>
      <c r="B74" s="3" t="s">
        <v>32</v>
      </c>
      <c r="C74" s="3" t="s">
        <v>33</v>
      </c>
      <c r="D74" s="14">
        <v>45959</v>
      </c>
      <c r="E74" s="11">
        <f>1</f>
        <v>1</v>
      </c>
      <c r="G74" s="12">
        <f>IF(Table1[[#This Row],[Pre-Booking Date]]&lt;&gt;"",1,0)</f>
        <v>0</v>
      </c>
      <c r="I74" s="12">
        <f>IF(Table1[[#This Row],[Booking Date]]&lt;&gt;"",1,0)</f>
        <v>0</v>
      </c>
      <c r="K74" s="12">
        <f>IF(Table1[[#This Row],[Delivery Date]]&lt;&gt;"",1,0)</f>
        <v>0</v>
      </c>
      <c r="L74" s="3" t="s">
        <v>3</v>
      </c>
      <c r="M74" s="3">
        <f>IF(Table1[[#This Row],[Cancellation Status]]&lt;&gt;"Yes",1,0)</f>
        <v>0</v>
      </c>
      <c r="N74" s="3" t="s">
        <v>34</v>
      </c>
      <c r="T7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4" t="str">
        <f>IF(Table1[[#This Row],[Customer Rating]]&gt;=9,"Promoter",IF(Table1[[#This Row],[Customer Rating]]&gt;=7,"Passive","Detractor"))</f>
        <v>Detractor</v>
      </c>
    </row>
    <row r="75" spans="1:21" ht="14.25" customHeight="1" x14ac:dyDescent="0.3">
      <c r="A75" s="3" t="s">
        <v>110</v>
      </c>
      <c r="B75" s="3" t="s">
        <v>39</v>
      </c>
      <c r="C75" s="3" t="s">
        <v>30</v>
      </c>
      <c r="D75" s="14">
        <v>45959</v>
      </c>
      <c r="E75" s="11">
        <f>1</f>
        <v>1</v>
      </c>
      <c r="F75" s="14">
        <v>45960</v>
      </c>
      <c r="G75" s="11">
        <f>IF(Table1[[#This Row],[Pre-Booking Date]]&lt;&gt;"",1,0)</f>
        <v>1</v>
      </c>
      <c r="H75" s="4">
        <v>45963</v>
      </c>
      <c r="I75" s="11">
        <f>IF(Table1[[#This Row],[Booking Date]]&lt;&gt;"",1,0)</f>
        <v>1</v>
      </c>
      <c r="J75" s="30">
        <v>45965</v>
      </c>
      <c r="K75" s="11">
        <f>IF(Table1[[#This Row],[Delivery Date]]&lt;&gt;"",1,0)</f>
        <v>1</v>
      </c>
      <c r="L75" s="3" t="s">
        <v>2</v>
      </c>
      <c r="M75" s="3">
        <f>IF(Table1[[#This Row],[Cancellation Status]]&lt;&gt;"Yes",1,0)</f>
        <v>1</v>
      </c>
      <c r="O75" s="30">
        <v>45981</v>
      </c>
      <c r="P75" s="3">
        <v>1</v>
      </c>
      <c r="Q75" s="3">
        <v>3</v>
      </c>
      <c r="R75" s="3">
        <v>2</v>
      </c>
      <c r="S75" s="3">
        <v>6</v>
      </c>
      <c r="T7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5" t="str">
        <f>IF(Table1[[#This Row],[Customer Rating]]&gt;=9,"Promoter",IF(Table1[[#This Row],[Customer Rating]]&gt;=7,"Passive","Detractor"))</f>
        <v>Detractor</v>
      </c>
    </row>
    <row r="76" spans="1:21" ht="14.25" customHeight="1" x14ac:dyDescent="0.3">
      <c r="A76" s="3" t="s">
        <v>111</v>
      </c>
      <c r="B76" s="3" t="s">
        <v>32</v>
      </c>
      <c r="C76" s="3" t="s">
        <v>33</v>
      </c>
      <c r="D76" s="14">
        <v>45959</v>
      </c>
      <c r="E76" s="11">
        <f>1</f>
        <v>1</v>
      </c>
      <c r="G76" s="12">
        <f>IF(Table1[[#This Row],[Pre-Booking Date]]&lt;&gt;"",1,0)</f>
        <v>0</v>
      </c>
      <c r="I76" s="12">
        <f>IF(Table1[[#This Row],[Booking Date]]&lt;&gt;"",1,0)</f>
        <v>0</v>
      </c>
      <c r="K76" s="12">
        <f>IF(Table1[[#This Row],[Delivery Date]]&lt;&gt;"",1,0)</f>
        <v>0</v>
      </c>
      <c r="L76" s="3" t="s">
        <v>3</v>
      </c>
      <c r="M76" s="3">
        <f>IF(Table1[[#This Row],[Cancellation Status]]&lt;&gt;"Yes",1,0)</f>
        <v>0</v>
      </c>
      <c r="N76" s="3" t="s">
        <v>42</v>
      </c>
      <c r="T7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6" t="str">
        <f>IF(Table1[[#This Row],[Customer Rating]]&gt;=9,"Promoter",IF(Table1[[#This Row],[Customer Rating]]&gt;=7,"Passive","Detractor"))</f>
        <v>Detractor</v>
      </c>
    </row>
    <row r="77" spans="1:21" ht="14.25" customHeight="1" x14ac:dyDescent="0.3">
      <c r="A77" s="3" t="s">
        <v>112</v>
      </c>
      <c r="B77" s="3" t="s">
        <v>29</v>
      </c>
      <c r="C77" s="3" t="s">
        <v>27</v>
      </c>
      <c r="D77" s="14">
        <v>45959</v>
      </c>
      <c r="E77" s="11">
        <f>1</f>
        <v>1</v>
      </c>
      <c r="F77" s="14">
        <v>45960</v>
      </c>
      <c r="G77" s="11">
        <f>IF(Table1[[#This Row],[Pre-Booking Date]]&lt;&gt;"",1,0)</f>
        <v>1</v>
      </c>
      <c r="H77" s="4">
        <v>45965</v>
      </c>
      <c r="I77" s="11">
        <f>IF(Table1[[#This Row],[Booking Date]]&lt;&gt;"",1,0)</f>
        <v>1</v>
      </c>
      <c r="J77" s="30">
        <v>45970</v>
      </c>
      <c r="K77" s="11">
        <f>IF(Table1[[#This Row],[Delivery Date]]&lt;&gt;"",1,0)</f>
        <v>1</v>
      </c>
      <c r="L77" s="3" t="s">
        <v>2</v>
      </c>
      <c r="M77" s="3">
        <f>IF(Table1[[#This Row],[Cancellation Status]]&lt;&gt;"Yes",1,0)</f>
        <v>1</v>
      </c>
      <c r="O77" s="30">
        <v>45995</v>
      </c>
      <c r="P77" s="3">
        <v>1</v>
      </c>
      <c r="Q77" s="3">
        <v>5</v>
      </c>
      <c r="R77" s="3">
        <v>5</v>
      </c>
      <c r="S77" s="3">
        <v>0</v>
      </c>
      <c r="T7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7" t="str">
        <f>IF(Table1[[#This Row],[Customer Rating]]&gt;=9,"Promoter",IF(Table1[[#This Row],[Customer Rating]]&gt;=7,"Passive","Detractor"))</f>
        <v>Detractor</v>
      </c>
    </row>
    <row r="78" spans="1:21" ht="14.25" customHeight="1" x14ac:dyDescent="0.3">
      <c r="A78" s="3" t="s">
        <v>113</v>
      </c>
      <c r="B78" s="3" t="s">
        <v>39</v>
      </c>
      <c r="C78" s="3" t="s">
        <v>27</v>
      </c>
      <c r="D78" s="14">
        <v>45959</v>
      </c>
      <c r="E78" s="11">
        <f>1</f>
        <v>1</v>
      </c>
      <c r="F78" s="14">
        <v>45960</v>
      </c>
      <c r="G78" s="11">
        <f>IF(Table1[[#This Row],[Pre-Booking Date]]&lt;&gt;"",1,0)</f>
        <v>1</v>
      </c>
      <c r="H78" s="4">
        <v>45965</v>
      </c>
      <c r="I78" s="11">
        <f>IF(Table1[[#This Row],[Booking Date]]&lt;&gt;"",1,0)</f>
        <v>1</v>
      </c>
      <c r="J78" s="30">
        <v>45968</v>
      </c>
      <c r="K78" s="11">
        <f>IF(Table1[[#This Row],[Delivery Date]]&lt;&gt;"",1,0)</f>
        <v>1</v>
      </c>
      <c r="L78" s="3" t="s">
        <v>2</v>
      </c>
      <c r="M78" s="3">
        <f>IF(Table1[[#This Row],[Cancellation Status]]&lt;&gt;"Yes",1,0)</f>
        <v>1</v>
      </c>
      <c r="O78" s="30">
        <v>45982</v>
      </c>
      <c r="P78" s="3">
        <v>1</v>
      </c>
      <c r="Q78" s="3">
        <v>5</v>
      </c>
      <c r="R78" s="3">
        <v>3</v>
      </c>
      <c r="S78" s="3">
        <v>2</v>
      </c>
      <c r="T7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8" t="str">
        <f>IF(Table1[[#This Row],[Customer Rating]]&gt;=9,"Promoter",IF(Table1[[#This Row],[Customer Rating]]&gt;=7,"Passive","Detractor"))</f>
        <v>Detractor</v>
      </c>
    </row>
    <row r="79" spans="1:21" ht="14.25" customHeight="1" x14ac:dyDescent="0.3">
      <c r="A79" s="3" t="s">
        <v>114</v>
      </c>
      <c r="B79" s="3" t="s">
        <v>32</v>
      </c>
      <c r="C79" s="3" t="s">
        <v>30</v>
      </c>
      <c r="D79" s="14">
        <v>45959</v>
      </c>
      <c r="E79" s="11">
        <f>1</f>
        <v>1</v>
      </c>
      <c r="F79" s="14">
        <v>45963</v>
      </c>
      <c r="G79" s="11">
        <f>IF(Table1[[#This Row],[Pre-Booking Date]]&lt;&gt;"",1,0)</f>
        <v>1</v>
      </c>
      <c r="H79" s="4">
        <v>45965</v>
      </c>
      <c r="I79" s="11">
        <f>IF(Table1[[#This Row],[Booking Date]]&lt;&gt;"",1,0)</f>
        <v>1</v>
      </c>
      <c r="J79" s="30">
        <v>45967</v>
      </c>
      <c r="K79" s="11">
        <f>IF(Table1[[#This Row],[Delivery Date]]&lt;&gt;"",1,0)</f>
        <v>1</v>
      </c>
      <c r="L79" s="3" t="s">
        <v>2</v>
      </c>
      <c r="M79" s="3">
        <f>IF(Table1[[#This Row],[Cancellation Status]]&lt;&gt;"Yes",1,0)</f>
        <v>1</v>
      </c>
      <c r="O79" s="30">
        <v>45977</v>
      </c>
      <c r="P79" s="3">
        <v>4</v>
      </c>
      <c r="Q79" s="3">
        <v>2</v>
      </c>
      <c r="R79" s="3">
        <v>2</v>
      </c>
      <c r="S79" s="3">
        <v>7</v>
      </c>
      <c r="T7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9" t="str">
        <f>IF(Table1[[#This Row],[Customer Rating]]&gt;=9,"Promoter",IF(Table1[[#This Row],[Customer Rating]]&gt;=7,"Passive","Detractor"))</f>
        <v>Passive</v>
      </c>
    </row>
    <row r="80" spans="1:21" ht="14.25" customHeight="1" x14ac:dyDescent="0.3">
      <c r="A80" s="3" t="s">
        <v>115</v>
      </c>
      <c r="B80" s="3" t="s">
        <v>32</v>
      </c>
      <c r="C80" s="3" t="s">
        <v>27</v>
      </c>
      <c r="D80" s="14">
        <v>45959</v>
      </c>
      <c r="E80" s="11">
        <f>1</f>
        <v>1</v>
      </c>
      <c r="F80" s="14">
        <v>45960</v>
      </c>
      <c r="G80" s="11">
        <f>IF(Table1[[#This Row],[Pre-Booking Date]]&lt;&gt;"",1,0)</f>
        <v>1</v>
      </c>
      <c r="H80" s="4">
        <v>45961</v>
      </c>
      <c r="I80" s="11">
        <f>IF(Table1[[#This Row],[Booking Date]]&lt;&gt;"",1,0)</f>
        <v>1</v>
      </c>
      <c r="J80" s="30">
        <v>45964</v>
      </c>
      <c r="K80" s="11">
        <f>IF(Table1[[#This Row],[Delivery Date]]&lt;&gt;"",1,0)</f>
        <v>1</v>
      </c>
      <c r="L80" s="3" t="s">
        <v>2</v>
      </c>
      <c r="M80" s="3">
        <f>IF(Table1[[#This Row],[Cancellation Status]]&lt;&gt;"Yes",1,0)</f>
        <v>1</v>
      </c>
      <c r="O80" s="30">
        <v>45987</v>
      </c>
      <c r="P80" s="3">
        <v>1</v>
      </c>
      <c r="Q80" s="3">
        <v>1</v>
      </c>
      <c r="R80" s="3">
        <v>3</v>
      </c>
      <c r="S80" s="3">
        <v>2</v>
      </c>
      <c r="T8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0" t="str">
        <f>IF(Table1[[#This Row],[Customer Rating]]&gt;=9,"Promoter",IF(Table1[[#This Row],[Customer Rating]]&gt;=7,"Passive","Detractor"))</f>
        <v>Detractor</v>
      </c>
    </row>
    <row r="81" spans="1:21" ht="14.25" customHeight="1" x14ac:dyDescent="0.3">
      <c r="A81" s="3" t="s">
        <v>116</v>
      </c>
      <c r="B81" s="3" t="s">
        <v>32</v>
      </c>
      <c r="C81" s="3" t="s">
        <v>27</v>
      </c>
      <c r="D81" s="14">
        <v>45959</v>
      </c>
      <c r="E81" s="11">
        <f>1</f>
        <v>1</v>
      </c>
      <c r="F81" s="14">
        <v>45964</v>
      </c>
      <c r="G81" s="11">
        <f>IF(Table1[[#This Row],[Pre-Booking Date]]&lt;&gt;"",1,0)</f>
        <v>1</v>
      </c>
      <c r="H81" s="4">
        <v>45966</v>
      </c>
      <c r="I81" s="11">
        <f>IF(Table1[[#This Row],[Booking Date]]&lt;&gt;"",1,0)</f>
        <v>1</v>
      </c>
      <c r="J81" s="30">
        <v>45968</v>
      </c>
      <c r="K81" s="11">
        <f>IF(Table1[[#This Row],[Delivery Date]]&lt;&gt;"",1,0)</f>
        <v>1</v>
      </c>
      <c r="L81" s="3" t="s">
        <v>2</v>
      </c>
      <c r="M81" s="3">
        <f>IF(Table1[[#This Row],[Cancellation Status]]&lt;&gt;"Yes",1,0)</f>
        <v>1</v>
      </c>
      <c r="O81" s="30">
        <v>45989</v>
      </c>
      <c r="P81" s="3">
        <v>5</v>
      </c>
      <c r="Q81" s="3">
        <v>2</v>
      </c>
      <c r="R81" s="3">
        <v>2</v>
      </c>
      <c r="S81" s="3">
        <v>2</v>
      </c>
      <c r="T8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1" t="str">
        <f>IF(Table1[[#This Row],[Customer Rating]]&gt;=9,"Promoter",IF(Table1[[#This Row],[Customer Rating]]&gt;=7,"Passive","Detractor"))</f>
        <v>Detractor</v>
      </c>
    </row>
    <row r="82" spans="1:21" ht="14.25" customHeight="1" x14ac:dyDescent="0.3">
      <c r="A82" s="3" t="s">
        <v>117</v>
      </c>
      <c r="B82" s="3" t="s">
        <v>32</v>
      </c>
      <c r="C82" s="3" t="s">
        <v>27</v>
      </c>
      <c r="D82" s="14">
        <v>45959</v>
      </c>
      <c r="E82" s="11">
        <f>1</f>
        <v>1</v>
      </c>
      <c r="F82" s="14">
        <v>45960</v>
      </c>
      <c r="G82" s="11">
        <f>IF(Table1[[#This Row],[Pre-Booking Date]]&lt;&gt;"",1,0)</f>
        <v>1</v>
      </c>
      <c r="H82" s="4">
        <v>45964</v>
      </c>
      <c r="I82" s="11">
        <f>IF(Table1[[#This Row],[Booking Date]]&lt;&gt;"",1,0)</f>
        <v>1</v>
      </c>
      <c r="J82" s="30">
        <v>45971</v>
      </c>
      <c r="K82" s="11">
        <f>IF(Table1[[#This Row],[Delivery Date]]&lt;&gt;"",1,0)</f>
        <v>1</v>
      </c>
      <c r="L82" s="3" t="s">
        <v>3</v>
      </c>
      <c r="M82" s="3">
        <f>IF(Table1[[#This Row],[Cancellation Status]]&lt;&gt;"Yes",1,0)</f>
        <v>0</v>
      </c>
      <c r="N82" s="3" t="s">
        <v>37</v>
      </c>
      <c r="P82" s="3">
        <v>1</v>
      </c>
      <c r="Q82" s="3">
        <v>4</v>
      </c>
      <c r="R82" s="3">
        <v>7</v>
      </c>
      <c r="T8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2" t="str">
        <f>IF(Table1[[#This Row],[Customer Rating]]&gt;=9,"Promoter",IF(Table1[[#This Row],[Customer Rating]]&gt;=7,"Passive","Detractor"))</f>
        <v>Detractor</v>
      </c>
    </row>
    <row r="83" spans="1:21" ht="14.25" customHeight="1" x14ac:dyDescent="0.3">
      <c r="A83" s="3" t="s">
        <v>118</v>
      </c>
      <c r="B83" s="3" t="s">
        <v>32</v>
      </c>
      <c r="C83" s="3" t="s">
        <v>27</v>
      </c>
      <c r="D83" s="14">
        <v>45959</v>
      </c>
      <c r="E83" s="11">
        <f>1</f>
        <v>1</v>
      </c>
      <c r="F83" s="14">
        <v>45960</v>
      </c>
      <c r="G83" s="11">
        <f>IF(Table1[[#This Row],[Pre-Booking Date]]&lt;&gt;"",1,0)</f>
        <v>1</v>
      </c>
      <c r="H83" s="4">
        <v>45964</v>
      </c>
      <c r="I83" s="11">
        <f>IF(Table1[[#This Row],[Booking Date]]&lt;&gt;"",1,0)</f>
        <v>1</v>
      </c>
      <c r="J83" s="30">
        <v>45966</v>
      </c>
      <c r="K83" s="11">
        <f>IF(Table1[[#This Row],[Delivery Date]]&lt;&gt;"",1,0)</f>
        <v>1</v>
      </c>
      <c r="L83" s="3" t="s">
        <v>2</v>
      </c>
      <c r="M83" s="3">
        <f>IF(Table1[[#This Row],[Cancellation Status]]&lt;&gt;"Yes",1,0)</f>
        <v>1</v>
      </c>
      <c r="O83" s="30">
        <v>45989</v>
      </c>
      <c r="P83" s="3">
        <v>1</v>
      </c>
      <c r="Q83" s="3">
        <v>4</v>
      </c>
      <c r="R83" s="3">
        <v>2</v>
      </c>
      <c r="S83" s="3">
        <v>6</v>
      </c>
      <c r="T8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3" t="str">
        <f>IF(Table1[[#This Row],[Customer Rating]]&gt;=9,"Promoter",IF(Table1[[#This Row],[Customer Rating]]&gt;=7,"Passive","Detractor"))</f>
        <v>Detractor</v>
      </c>
    </row>
    <row r="84" spans="1:21" ht="14.25" customHeight="1" x14ac:dyDescent="0.3">
      <c r="A84" s="3" t="s">
        <v>119</v>
      </c>
      <c r="B84" s="3" t="s">
        <v>29</v>
      </c>
      <c r="C84" s="3" t="s">
        <v>27</v>
      </c>
      <c r="D84" s="14">
        <v>45959</v>
      </c>
      <c r="E84" s="11">
        <f>1</f>
        <v>1</v>
      </c>
      <c r="F84" s="14">
        <v>45962</v>
      </c>
      <c r="G84" s="11">
        <f>IF(Table1[[#This Row],[Pre-Booking Date]]&lt;&gt;"",1,0)</f>
        <v>1</v>
      </c>
      <c r="H84" s="4">
        <v>45966</v>
      </c>
      <c r="I84" s="11">
        <f>IF(Table1[[#This Row],[Booking Date]]&lt;&gt;"",1,0)</f>
        <v>1</v>
      </c>
      <c r="J84" s="30">
        <v>45971</v>
      </c>
      <c r="K84" s="11">
        <f>IF(Table1[[#This Row],[Delivery Date]]&lt;&gt;"",1,0)</f>
        <v>1</v>
      </c>
      <c r="L84" s="3" t="s">
        <v>2</v>
      </c>
      <c r="M84" s="3">
        <f>IF(Table1[[#This Row],[Cancellation Status]]&lt;&gt;"Yes",1,0)</f>
        <v>1</v>
      </c>
      <c r="O84" s="30">
        <v>45981</v>
      </c>
      <c r="P84" s="3">
        <v>3</v>
      </c>
      <c r="Q84" s="3">
        <v>4</v>
      </c>
      <c r="R84" s="3">
        <v>5</v>
      </c>
      <c r="S84" s="3">
        <v>7</v>
      </c>
      <c r="T8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4" t="str">
        <f>IF(Table1[[#This Row],[Customer Rating]]&gt;=9,"Promoter",IF(Table1[[#This Row],[Customer Rating]]&gt;=7,"Passive","Detractor"))</f>
        <v>Passive</v>
      </c>
    </row>
    <row r="85" spans="1:21" ht="14.25" customHeight="1" x14ac:dyDescent="0.3">
      <c r="A85" s="3" t="s">
        <v>120</v>
      </c>
      <c r="B85" s="3" t="s">
        <v>26</v>
      </c>
      <c r="C85" s="3" t="s">
        <v>27</v>
      </c>
      <c r="D85" s="14">
        <v>45959</v>
      </c>
      <c r="E85" s="11">
        <f>1</f>
        <v>1</v>
      </c>
      <c r="F85" s="14">
        <v>45962</v>
      </c>
      <c r="G85" s="11">
        <f>IF(Table1[[#This Row],[Pre-Booking Date]]&lt;&gt;"",1,0)</f>
        <v>1</v>
      </c>
      <c r="H85" s="4">
        <v>45965</v>
      </c>
      <c r="I85" s="11">
        <f>IF(Table1[[#This Row],[Booking Date]]&lt;&gt;"",1,0)</f>
        <v>1</v>
      </c>
      <c r="J85" s="30">
        <v>45968</v>
      </c>
      <c r="K85" s="11">
        <f>IF(Table1[[#This Row],[Delivery Date]]&lt;&gt;"",1,0)</f>
        <v>1</v>
      </c>
      <c r="L85" s="3" t="s">
        <v>2</v>
      </c>
      <c r="M85" s="3">
        <f>IF(Table1[[#This Row],[Cancellation Status]]&lt;&gt;"Yes",1,0)</f>
        <v>1</v>
      </c>
      <c r="O85" s="30">
        <v>45991</v>
      </c>
      <c r="P85" s="3">
        <v>3</v>
      </c>
      <c r="Q85" s="3">
        <v>3</v>
      </c>
      <c r="R85" s="3">
        <v>3</v>
      </c>
      <c r="S85" s="3">
        <v>6</v>
      </c>
      <c r="T8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5" t="str">
        <f>IF(Table1[[#This Row],[Customer Rating]]&gt;=9,"Promoter",IF(Table1[[#This Row],[Customer Rating]]&gt;=7,"Passive","Detractor"))</f>
        <v>Detractor</v>
      </c>
    </row>
    <row r="86" spans="1:21" ht="14.25" customHeight="1" x14ac:dyDescent="0.3">
      <c r="A86" s="3" t="s">
        <v>121</v>
      </c>
      <c r="B86" s="3" t="s">
        <v>39</v>
      </c>
      <c r="C86" s="3" t="s">
        <v>27</v>
      </c>
      <c r="D86" s="14">
        <v>45959</v>
      </c>
      <c r="E86" s="11">
        <f>1</f>
        <v>1</v>
      </c>
      <c r="F86" s="14">
        <v>45961</v>
      </c>
      <c r="G86" s="11">
        <f>IF(Table1[[#This Row],[Pre-Booking Date]]&lt;&gt;"",1,0)</f>
        <v>1</v>
      </c>
      <c r="H86" s="4">
        <v>45966</v>
      </c>
      <c r="I86" s="11">
        <f>IF(Table1[[#This Row],[Booking Date]]&lt;&gt;"",1,0)</f>
        <v>1</v>
      </c>
      <c r="J86" s="30">
        <v>45968</v>
      </c>
      <c r="K86" s="11">
        <f>IF(Table1[[#This Row],[Delivery Date]]&lt;&gt;"",1,0)</f>
        <v>1</v>
      </c>
      <c r="L86" s="3" t="s">
        <v>2</v>
      </c>
      <c r="M86" s="3">
        <f>IF(Table1[[#This Row],[Cancellation Status]]&lt;&gt;"Yes",1,0)</f>
        <v>1</v>
      </c>
      <c r="O86" s="30">
        <v>45998</v>
      </c>
      <c r="P86" s="3">
        <v>2</v>
      </c>
      <c r="Q86" s="3">
        <v>5</v>
      </c>
      <c r="R86" s="3">
        <v>2</v>
      </c>
      <c r="S86" s="3">
        <v>6</v>
      </c>
      <c r="T8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6" t="str">
        <f>IF(Table1[[#This Row],[Customer Rating]]&gt;=9,"Promoter",IF(Table1[[#This Row],[Customer Rating]]&gt;=7,"Passive","Detractor"))</f>
        <v>Detractor</v>
      </c>
    </row>
    <row r="87" spans="1:21" ht="14.25" customHeight="1" x14ac:dyDescent="0.3">
      <c r="A87" s="3" t="s">
        <v>122</v>
      </c>
      <c r="B87" s="3" t="s">
        <v>29</v>
      </c>
      <c r="C87" s="3" t="s">
        <v>33</v>
      </c>
      <c r="D87" s="14">
        <v>45959</v>
      </c>
      <c r="E87" s="11">
        <f>1</f>
        <v>1</v>
      </c>
      <c r="G87" s="12">
        <f>IF(Table1[[#This Row],[Pre-Booking Date]]&lt;&gt;"",1,0)</f>
        <v>0</v>
      </c>
      <c r="I87" s="12">
        <f>IF(Table1[[#This Row],[Booking Date]]&lt;&gt;"",1,0)</f>
        <v>0</v>
      </c>
      <c r="K87" s="12">
        <f>IF(Table1[[#This Row],[Delivery Date]]&lt;&gt;"",1,0)</f>
        <v>0</v>
      </c>
      <c r="L87" s="3" t="s">
        <v>3</v>
      </c>
      <c r="M87" s="3">
        <f>IF(Table1[[#This Row],[Cancellation Status]]&lt;&gt;"Yes",1,0)</f>
        <v>0</v>
      </c>
      <c r="N87" s="3" t="s">
        <v>42</v>
      </c>
      <c r="T8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7" t="str">
        <f>IF(Table1[[#This Row],[Customer Rating]]&gt;=9,"Promoter",IF(Table1[[#This Row],[Customer Rating]]&gt;=7,"Passive","Detractor"))</f>
        <v>Detractor</v>
      </c>
    </row>
    <row r="88" spans="1:21" ht="14.25" customHeight="1" x14ac:dyDescent="0.3">
      <c r="A88" s="3" t="s">
        <v>123</v>
      </c>
      <c r="B88" s="3" t="s">
        <v>29</v>
      </c>
      <c r="C88" s="3" t="s">
        <v>33</v>
      </c>
      <c r="D88" s="14">
        <v>45958</v>
      </c>
      <c r="E88" s="11">
        <f>1</f>
        <v>1</v>
      </c>
      <c r="G88" s="12">
        <f>IF(Table1[[#This Row],[Pre-Booking Date]]&lt;&gt;"",1,0)</f>
        <v>0</v>
      </c>
      <c r="I88" s="12">
        <f>IF(Table1[[#This Row],[Booking Date]]&lt;&gt;"",1,0)</f>
        <v>0</v>
      </c>
      <c r="K88" s="12">
        <f>IF(Table1[[#This Row],[Delivery Date]]&lt;&gt;"",1,0)</f>
        <v>0</v>
      </c>
      <c r="L88" s="3" t="s">
        <v>3</v>
      </c>
      <c r="M88" s="3">
        <f>IF(Table1[[#This Row],[Cancellation Status]]&lt;&gt;"Yes",1,0)</f>
        <v>0</v>
      </c>
      <c r="N88" s="3" t="s">
        <v>55</v>
      </c>
      <c r="T8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8" t="str">
        <f>IF(Table1[[#This Row],[Customer Rating]]&gt;=9,"Promoter",IF(Table1[[#This Row],[Customer Rating]]&gt;=7,"Passive","Detractor"))</f>
        <v>Detractor</v>
      </c>
    </row>
    <row r="89" spans="1:21" ht="14.25" customHeight="1" x14ac:dyDescent="0.3">
      <c r="A89" s="3" t="s">
        <v>124</v>
      </c>
      <c r="B89" s="3" t="s">
        <v>29</v>
      </c>
      <c r="C89" s="3" t="s">
        <v>27</v>
      </c>
      <c r="D89" s="14">
        <v>45958</v>
      </c>
      <c r="E89" s="11">
        <f>1</f>
        <v>1</v>
      </c>
      <c r="F89" s="14">
        <v>45961</v>
      </c>
      <c r="G89" s="11">
        <f>IF(Table1[[#This Row],[Pre-Booking Date]]&lt;&gt;"",1,0)</f>
        <v>1</v>
      </c>
      <c r="H89" s="4">
        <v>45965</v>
      </c>
      <c r="I89" s="11">
        <f>IF(Table1[[#This Row],[Booking Date]]&lt;&gt;"",1,0)</f>
        <v>1</v>
      </c>
      <c r="J89" s="30">
        <v>45969</v>
      </c>
      <c r="K89" s="11">
        <f>IF(Table1[[#This Row],[Delivery Date]]&lt;&gt;"",1,0)</f>
        <v>1</v>
      </c>
      <c r="L89" s="3" t="s">
        <v>2</v>
      </c>
      <c r="M89" s="3">
        <f>IF(Table1[[#This Row],[Cancellation Status]]&lt;&gt;"Yes",1,0)</f>
        <v>1</v>
      </c>
      <c r="O89" s="30">
        <v>45990</v>
      </c>
      <c r="P89" s="3">
        <v>3</v>
      </c>
      <c r="Q89" s="3">
        <v>4</v>
      </c>
      <c r="R89" s="3">
        <v>4</v>
      </c>
      <c r="S89" s="3">
        <v>2</v>
      </c>
      <c r="T8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9" t="str">
        <f>IF(Table1[[#This Row],[Customer Rating]]&gt;=9,"Promoter",IF(Table1[[#This Row],[Customer Rating]]&gt;=7,"Passive","Detractor"))</f>
        <v>Detractor</v>
      </c>
    </row>
    <row r="90" spans="1:21" ht="14.25" customHeight="1" x14ac:dyDescent="0.3">
      <c r="A90" s="3" t="s">
        <v>125</v>
      </c>
      <c r="B90" s="3" t="s">
        <v>29</v>
      </c>
      <c r="C90" s="3" t="s">
        <v>30</v>
      </c>
      <c r="D90" s="14">
        <v>45958</v>
      </c>
      <c r="E90" s="11">
        <f>1</f>
        <v>1</v>
      </c>
      <c r="F90" s="14">
        <v>45959</v>
      </c>
      <c r="G90" s="11">
        <f>IF(Table1[[#This Row],[Pre-Booking Date]]&lt;&gt;"",1,0)</f>
        <v>1</v>
      </c>
      <c r="H90" s="4">
        <v>45962</v>
      </c>
      <c r="I90" s="11">
        <f>IF(Table1[[#This Row],[Booking Date]]&lt;&gt;"",1,0)</f>
        <v>1</v>
      </c>
      <c r="J90" s="30">
        <v>45968</v>
      </c>
      <c r="K90" s="11">
        <f>IF(Table1[[#This Row],[Delivery Date]]&lt;&gt;"",1,0)</f>
        <v>1</v>
      </c>
      <c r="L90" s="3" t="s">
        <v>2</v>
      </c>
      <c r="M90" s="3">
        <f>IF(Table1[[#This Row],[Cancellation Status]]&lt;&gt;"Yes",1,0)</f>
        <v>1</v>
      </c>
      <c r="O90" s="30">
        <v>45998</v>
      </c>
      <c r="P90" s="3">
        <v>1</v>
      </c>
      <c r="Q90" s="3">
        <v>3</v>
      </c>
      <c r="R90" s="3">
        <v>6</v>
      </c>
      <c r="S90" s="3">
        <v>3</v>
      </c>
      <c r="T9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0" t="str">
        <f>IF(Table1[[#This Row],[Customer Rating]]&gt;=9,"Promoter",IF(Table1[[#This Row],[Customer Rating]]&gt;=7,"Passive","Detractor"))</f>
        <v>Detractor</v>
      </c>
    </row>
    <row r="91" spans="1:21" ht="14.25" customHeight="1" x14ac:dyDescent="0.3">
      <c r="A91" s="3" t="s">
        <v>126</v>
      </c>
      <c r="B91" s="3" t="s">
        <v>39</v>
      </c>
      <c r="C91" s="3" t="s">
        <v>30</v>
      </c>
      <c r="D91" s="14">
        <v>45958</v>
      </c>
      <c r="E91" s="11">
        <f>1</f>
        <v>1</v>
      </c>
      <c r="F91" s="14">
        <v>45960</v>
      </c>
      <c r="G91" s="11">
        <f>IF(Table1[[#This Row],[Pre-Booking Date]]&lt;&gt;"",1,0)</f>
        <v>1</v>
      </c>
      <c r="H91" s="4">
        <v>45964</v>
      </c>
      <c r="I91" s="11">
        <f>IF(Table1[[#This Row],[Booking Date]]&lt;&gt;"",1,0)</f>
        <v>1</v>
      </c>
      <c r="J91" s="30">
        <v>45969</v>
      </c>
      <c r="K91" s="11">
        <f>IF(Table1[[#This Row],[Delivery Date]]&lt;&gt;"",1,0)</f>
        <v>1</v>
      </c>
      <c r="L91" s="3" t="s">
        <v>2</v>
      </c>
      <c r="M91" s="3">
        <f>IF(Table1[[#This Row],[Cancellation Status]]&lt;&gt;"Yes",1,0)</f>
        <v>1</v>
      </c>
      <c r="O91" s="30">
        <v>45981</v>
      </c>
      <c r="P91" s="3">
        <v>2</v>
      </c>
      <c r="Q91" s="3">
        <v>4</v>
      </c>
      <c r="R91" s="3">
        <v>5</v>
      </c>
      <c r="S91" s="3">
        <v>5</v>
      </c>
      <c r="T9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1" t="str">
        <f>IF(Table1[[#This Row],[Customer Rating]]&gt;=9,"Promoter",IF(Table1[[#This Row],[Customer Rating]]&gt;=7,"Passive","Detractor"))</f>
        <v>Detractor</v>
      </c>
    </row>
    <row r="92" spans="1:21" ht="14.25" customHeight="1" x14ac:dyDescent="0.3">
      <c r="A92" s="3" t="s">
        <v>127</v>
      </c>
      <c r="B92" s="3" t="s">
        <v>29</v>
      </c>
      <c r="C92" s="3" t="s">
        <v>30</v>
      </c>
      <c r="D92" s="14">
        <v>45958</v>
      </c>
      <c r="E92" s="11">
        <f>1</f>
        <v>1</v>
      </c>
      <c r="F92" s="14">
        <v>45961</v>
      </c>
      <c r="G92" s="11">
        <f>IF(Table1[[#This Row],[Pre-Booking Date]]&lt;&gt;"",1,0)</f>
        <v>1</v>
      </c>
      <c r="H92" s="4">
        <v>45964</v>
      </c>
      <c r="I92" s="11">
        <f>IF(Table1[[#This Row],[Booking Date]]&lt;&gt;"",1,0)</f>
        <v>1</v>
      </c>
      <c r="J92" s="30">
        <v>45970</v>
      </c>
      <c r="K92" s="11">
        <f>IF(Table1[[#This Row],[Delivery Date]]&lt;&gt;"",1,0)</f>
        <v>1</v>
      </c>
      <c r="L92" s="3" t="s">
        <v>2</v>
      </c>
      <c r="M92" s="3">
        <f>IF(Table1[[#This Row],[Cancellation Status]]&lt;&gt;"Yes",1,0)</f>
        <v>1</v>
      </c>
      <c r="O92" s="30">
        <v>45990</v>
      </c>
      <c r="P92" s="3">
        <v>3</v>
      </c>
      <c r="Q92" s="3">
        <v>3</v>
      </c>
      <c r="R92" s="3">
        <v>6</v>
      </c>
      <c r="S92" s="3">
        <v>5</v>
      </c>
      <c r="T9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2" t="str">
        <f>IF(Table1[[#This Row],[Customer Rating]]&gt;=9,"Promoter",IF(Table1[[#This Row],[Customer Rating]]&gt;=7,"Passive","Detractor"))</f>
        <v>Detractor</v>
      </c>
    </row>
    <row r="93" spans="1:21" ht="14.25" customHeight="1" x14ac:dyDescent="0.3">
      <c r="A93" s="3" t="s">
        <v>128</v>
      </c>
      <c r="B93" s="3" t="s">
        <v>29</v>
      </c>
      <c r="C93" s="3" t="s">
        <v>27</v>
      </c>
      <c r="D93" s="14">
        <v>45958</v>
      </c>
      <c r="E93" s="11">
        <f>1</f>
        <v>1</v>
      </c>
      <c r="F93" s="14">
        <v>45963</v>
      </c>
      <c r="G93" s="11">
        <f>IF(Table1[[#This Row],[Pre-Booking Date]]&lt;&gt;"",1,0)</f>
        <v>1</v>
      </c>
      <c r="H93" s="4">
        <v>45967</v>
      </c>
      <c r="I93" s="11">
        <f>IF(Table1[[#This Row],[Booking Date]]&lt;&gt;"",1,0)</f>
        <v>1</v>
      </c>
      <c r="J93" s="30">
        <v>45972</v>
      </c>
      <c r="K93" s="11">
        <f>IF(Table1[[#This Row],[Delivery Date]]&lt;&gt;"",1,0)</f>
        <v>1</v>
      </c>
      <c r="L93" s="3" t="s">
        <v>2</v>
      </c>
      <c r="M93" s="3">
        <f>IF(Table1[[#This Row],[Cancellation Status]]&lt;&gt;"Yes",1,0)</f>
        <v>1</v>
      </c>
      <c r="O93" s="30">
        <v>45999</v>
      </c>
      <c r="P93" s="3">
        <v>5</v>
      </c>
      <c r="Q93" s="3">
        <v>4</v>
      </c>
      <c r="R93" s="3">
        <v>5</v>
      </c>
      <c r="S93" s="3">
        <v>3</v>
      </c>
      <c r="T9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3" t="str">
        <f>IF(Table1[[#This Row],[Customer Rating]]&gt;=9,"Promoter",IF(Table1[[#This Row],[Customer Rating]]&gt;=7,"Passive","Detractor"))</f>
        <v>Detractor</v>
      </c>
    </row>
    <row r="94" spans="1:21" ht="14.25" customHeight="1" x14ac:dyDescent="0.3">
      <c r="A94" s="3" t="s">
        <v>129</v>
      </c>
      <c r="B94" s="3" t="s">
        <v>26</v>
      </c>
      <c r="C94" s="3" t="s">
        <v>30</v>
      </c>
      <c r="D94" s="14">
        <v>45958</v>
      </c>
      <c r="E94" s="11">
        <f>1</f>
        <v>1</v>
      </c>
      <c r="F94" s="14">
        <v>45960</v>
      </c>
      <c r="G94" s="11">
        <f>IF(Table1[[#This Row],[Pre-Booking Date]]&lt;&gt;"",1,0)</f>
        <v>1</v>
      </c>
      <c r="H94" s="4">
        <v>45961</v>
      </c>
      <c r="I94" s="11">
        <f>IF(Table1[[#This Row],[Booking Date]]&lt;&gt;"",1,0)</f>
        <v>1</v>
      </c>
      <c r="J94" s="30">
        <v>45967</v>
      </c>
      <c r="K94" s="11">
        <f>IF(Table1[[#This Row],[Delivery Date]]&lt;&gt;"",1,0)</f>
        <v>1</v>
      </c>
      <c r="L94" s="3" t="s">
        <v>2</v>
      </c>
      <c r="M94" s="3">
        <f>IF(Table1[[#This Row],[Cancellation Status]]&lt;&gt;"Yes",1,0)</f>
        <v>1</v>
      </c>
      <c r="O94" s="30">
        <v>45980</v>
      </c>
      <c r="P94" s="3">
        <v>2</v>
      </c>
      <c r="Q94" s="3">
        <v>1</v>
      </c>
      <c r="R94" s="3">
        <v>6</v>
      </c>
      <c r="S94" s="3">
        <v>4</v>
      </c>
      <c r="T9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4" t="str">
        <f>IF(Table1[[#This Row],[Customer Rating]]&gt;=9,"Promoter",IF(Table1[[#This Row],[Customer Rating]]&gt;=7,"Passive","Detractor"))</f>
        <v>Detractor</v>
      </c>
    </row>
    <row r="95" spans="1:21" ht="14.25" customHeight="1" x14ac:dyDescent="0.3">
      <c r="A95" s="3" t="s">
        <v>130</v>
      </c>
      <c r="B95" s="3" t="s">
        <v>26</v>
      </c>
      <c r="C95" s="3" t="s">
        <v>27</v>
      </c>
      <c r="D95" s="14">
        <v>45958</v>
      </c>
      <c r="E95" s="11">
        <f>1</f>
        <v>1</v>
      </c>
      <c r="F95" s="14">
        <v>45960</v>
      </c>
      <c r="G95" s="11">
        <f>IF(Table1[[#This Row],[Pre-Booking Date]]&lt;&gt;"",1,0)</f>
        <v>1</v>
      </c>
      <c r="H95" s="4">
        <v>45963</v>
      </c>
      <c r="I95" s="11">
        <f>IF(Table1[[#This Row],[Booking Date]]&lt;&gt;"",1,0)</f>
        <v>1</v>
      </c>
      <c r="J95" s="30">
        <v>45966</v>
      </c>
      <c r="K95" s="11">
        <f>IF(Table1[[#This Row],[Delivery Date]]&lt;&gt;"",1,0)</f>
        <v>1</v>
      </c>
      <c r="L95" s="3" t="s">
        <v>2</v>
      </c>
      <c r="M95" s="3">
        <f>IF(Table1[[#This Row],[Cancellation Status]]&lt;&gt;"Yes",1,0)</f>
        <v>1</v>
      </c>
      <c r="O95" s="30">
        <v>45991</v>
      </c>
      <c r="P95" s="3">
        <v>2</v>
      </c>
      <c r="Q95" s="3">
        <v>3</v>
      </c>
      <c r="R95" s="3">
        <v>3</v>
      </c>
      <c r="S95" s="3">
        <v>2</v>
      </c>
      <c r="T9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5" t="str">
        <f>IF(Table1[[#This Row],[Customer Rating]]&gt;=9,"Promoter",IF(Table1[[#This Row],[Customer Rating]]&gt;=7,"Passive","Detractor"))</f>
        <v>Detractor</v>
      </c>
    </row>
    <row r="96" spans="1:21" ht="14.25" customHeight="1" x14ac:dyDescent="0.3">
      <c r="A96" s="3" t="s">
        <v>131</v>
      </c>
      <c r="B96" s="3" t="s">
        <v>29</v>
      </c>
      <c r="C96" s="3" t="s">
        <v>27</v>
      </c>
      <c r="D96" s="14">
        <v>45958</v>
      </c>
      <c r="E96" s="11">
        <f>1</f>
        <v>1</v>
      </c>
      <c r="F96" s="14">
        <v>45959</v>
      </c>
      <c r="G96" s="11">
        <f>IF(Table1[[#This Row],[Pre-Booking Date]]&lt;&gt;"",1,0)</f>
        <v>1</v>
      </c>
      <c r="H96" s="4">
        <v>45964</v>
      </c>
      <c r="I96" s="11">
        <f>IF(Table1[[#This Row],[Booking Date]]&lt;&gt;"",1,0)</f>
        <v>1</v>
      </c>
      <c r="J96" s="30">
        <v>45970</v>
      </c>
      <c r="K96" s="11">
        <f>IF(Table1[[#This Row],[Delivery Date]]&lt;&gt;"",1,0)</f>
        <v>1</v>
      </c>
      <c r="L96" s="3" t="s">
        <v>2</v>
      </c>
      <c r="M96" s="3">
        <f>IF(Table1[[#This Row],[Cancellation Status]]&lt;&gt;"Yes",1,0)</f>
        <v>1</v>
      </c>
      <c r="O96" s="30">
        <v>45982</v>
      </c>
      <c r="P96" s="3">
        <v>1</v>
      </c>
      <c r="Q96" s="3">
        <v>5</v>
      </c>
      <c r="R96" s="3">
        <v>6</v>
      </c>
      <c r="S96" s="3">
        <v>4</v>
      </c>
      <c r="T9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6" t="str">
        <f>IF(Table1[[#This Row],[Customer Rating]]&gt;=9,"Promoter",IF(Table1[[#This Row],[Customer Rating]]&gt;=7,"Passive","Detractor"))</f>
        <v>Detractor</v>
      </c>
    </row>
    <row r="97" spans="1:21" ht="14.25" customHeight="1" x14ac:dyDescent="0.3">
      <c r="A97" s="3" t="s">
        <v>132</v>
      </c>
      <c r="B97" s="3" t="s">
        <v>26</v>
      </c>
      <c r="C97" s="3" t="s">
        <v>27</v>
      </c>
      <c r="D97" s="14">
        <v>45958</v>
      </c>
      <c r="E97" s="11">
        <f>1</f>
        <v>1</v>
      </c>
      <c r="F97" s="14">
        <v>45959</v>
      </c>
      <c r="G97" s="11">
        <f>IF(Table1[[#This Row],[Pre-Booking Date]]&lt;&gt;"",1,0)</f>
        <v>1</v>
      </c>
      <c r="H97" s="4">
        <v>45963</v>
      </c>
      <c r="I97" s="11">
        <f>IF(Table1[[#This Row],[Booking Date]]&lt;&gt;"",1,0)</f>
        <v>1</v>
      </c>
      <c r="J97" s="30">
        <v>45970</v>
      </c>
      <c r="K97" s="11">
        <f>IF(Table1[[#This Row],[Delivery Date]]&lt;&gt;"",1,0)</f>
        <v>1</v>
      </c>
      <c r="L97" s="3" t="s">
        <v>2</v>
      </c>
      <c r="M97" s="3">
        <f>IF(Table1[[#This Row],[Cancellation Status]]&lt;&gt;"Yes",1,0)</f>
        <v>1</v>
      </c>
      <c r="O97" s="30">
        <v>45982</v>
      </c>
      <c r="P97" s="3">
        <v>1</v>
      </c>
      <c r="Q97" s="3">
        <v>4</v>
      </c>
      <c r="R97" s="3">
        <v>7</v>
      </c>
      <c r="S97" s="3">
        <v>4</v>
      </c>
      <c r="T9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7" t="str">
        <f>IF(Table1[[#This Row],[Customer Rating]]&gt;=9,"Promoter",IF(Table1[[#This Row],[Customer Rating]]&gt;=7,"Passive","Detractor"))</f>
        <v>Detractor</v>
      </c>
    </row>
    <row r="98" spans="1:21" ht="14.25" customHeight="1" x14ac:dyDescent="0.3">
      <c r="A98" s="3" t="s">
        <v>133</v>
      </c>
      <c r="B98" s="3" t="s">
        <v>39</v>
      </c>
      <c r="C98" s="3" t="s">
        <v>27</v>
      </c>
      <c r="D98" s="14">
        <v>45958</v>
      </c>
      <c r="E98" s="11">
        <f>1</f>
        <v>1</v>
      </c>
      <c r="F98" s="14">
        <v>45961</v>
      </c>
      <c r="G98" s="11">
        <f>IF(Table1[[#This Row],[Pre-Booking Date]]&lt;&gt;"",1,0)</f>
        <v>1</v>
      </c>
      <c r="H98" s="4">
        <v>45966</v>
      </c>
      <c r="I98" s="11">
        <f>IF(Table1[[#This Row],[Booking Date]]&lt;&gt;"",1,0)</f>
        <v>1</v>
      </c>
      <c r="J98" s="30">
        <v>45969</v>
      </c>
      <c r="K98" s="11">
        <f>IF(Table1[[#This Row],[Delivery Date]]&lt;&gt;"",1,0)</f>
        <v>1</v>
      </c>
      <c r="L98" s="3" t="s">
        <v>2</v>
      </c>
      <c r="M98" s="3">
        <f>IF(Table1[[#This Row],[Cancellation Status]]&lt;&gt;"Yes",1,0)</f>
        <v>1</v>
      </c>
      <c r="O98" s="30">
        <v>45983</v>
      </c>
      <c r="P98" s="3">
        <v>3</v>
      </c>
      <c r="Q98" s="3">
        <v>5</v>
      </c>
      <c r="R98" s="3">
        <v>3</v>
      </c>
      <c r="S98" s="3">
        <v>7</v>
      </c>
      <c r="T9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8" t="str">
        <f>IF(Table1[[#This Row],[Customer Rating]]&gt;=9,"Promoter",IF(Table1[[#This Row],[Customer Rating]]&gt;=7,"Passive","Detractor"))</f>
        <v>Passive</v>
      </c>
    </row>
    <row r="99" spans="1:21" ht="14.25" customHeight="1" x14ac:dyDescent="0.3">
      <c r="A99" s="3" t="s">
        <v>134</v>
      </c>
      <c r="B99" s="3" t="s">
        <v>29</v>
      </c>
      <c r="C99" s="3" t="s">
        <v>27</v>
      </c>
      <c r="D99" s="14">
        <v>45958</v>
      </c>
      <c r="E99" s="11">
        <f>1</f>
        <v>1</v>
      </c>
      <c r="F99" s="14">
        <v>45962</v>
      </c>
      <c r="G99" s="11">
        <f>IF(Table1[[#This Row],[Pre-Booking Date]]&lt;&gt;"",1,0)</f>
        <v>1</v>
      </c>
      <c r="H99" s="4">
        <v>45965</v>
      </c>
      <c r="I99" s="11">
        <f>IF(Table1[[#This Row],[Booking Date]]&lt;&gt;"",1,0)</f>
        <v>1</v>
      </c>
      <c r="J99" s="30">
        <v>45967</v>
      </c>
      <c r="K99" s="11">
        <f>IF(Table1[[#This Row],[Delivery Date]]&lt;&gt;"",1,0)</f>
        <v>1</v>
      </c>
      <c r="L99" s="3" t="s">
        <v>3</v>
      </c>
      <c r="M99" s="3">
        <f>IF(Table1[[#This Row],[Cancellation Status]]&lt;&gt;"Yes",1,0)</f>
        <v>0</v>
      </c>
      <c r="N99" s="3" t="s">
        <v>42</v>
      </c>
      <c r="P99" s="3">
        <v>4</v>
      </c>
      <c r="Q99" s="3">
        <v>3</v>
      </c>
      <c r="R99" s="3">
        <v>2</v>
      </c>
      <c r="T9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9" t="str">
        <f>IF(Table1[[#This Row],[Customer Rating]]&gt;=9,"Promoter",IF(Table1[[#This Row],[Customer Rating]]&gt;=7,"Passive","Detractor"))</f>
        <v>Detractor</v>
      </c>
    </row>
    <row r="100" spans="1:21" ht="14.25" customHeight="1" x14ac:dyDescent="0.3">
      <c r="A100" s="3" t="s">
        <v>135</v>
      </c>
      <c r="B100" s="3" t="s">
        <v>32</v>
      </c>
      <c r="C100" s="3" t="s">
        <v>33</v>
      </c>
      <c r="D100" s="14">
        <v>45958</v>
      </c>
      <c r="E100" s="11">
        <f>1</f>
        <v>1</v>
      </c>
      <c r="G100" s="12">
        <f>IF(Table1[[#This Row],[Pre-Booking Date]]&lt;&gt;"",1,0)</f>
        <v>0</v>
      </c>
      <c r="I100" s="12">
        <f>IF(Table1[[#This Row],[Booking Date]]&lt;&gt;"",1,0)</f>
        <v>0</v>
      </c>
      <c r="K100" s="12">
        <f>IF(Table1[[#This Row],[Delivery Date]]&lt;&gt;"",1,0)</f>
        <v>0</v>
      </c>
      <c r="L100" s="3" t="s">
        <v>3</v>
      </c>
      <c r="M100" s="3">
        <f>IF(Table1[[#This Row],[Cancellation Status]]&lt;&gt;"Yes",1,0)</f>
        <v>0</v>
      </c>
      <c r="N100" s="3" t="s">
        <v>55</v>
      </c>
      <c r="T10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00" t="str">
        <f>IF(Table1[[#This Row],[Customer Rating]]&gt;=9,"Promoter",IF(Table1[[#This Row],[Customer Rating]]&gt;=7,"Passive","Detractor"))</f>
        <v>Detractor</v>
      </c>
    </row>
    <row r="101" spans="1:21" ht="14.25" customHeight="1" x14ac:dyDescent="0.3">
      <c r="A101" s="3" t="s">
        <v>136</v>
      </c>
      <c r="B101" s="3" t="s">
        <v>26</v>
      </c>
      <c r="C101" s="3" t="s">
        <v>27</v>
      </c>
      <c r="D101" s="14">
        <v>45958</v>
      </c>
      <c r="E101" s="11">
        <f>1</f>
        <v>1</v>
      </c>
      <c r="F101" s="14">
        <v>45962</v>
      </c>
      <c r="G101" s="11">
        <f>IF(Table1[[#This Row],[Pre-Booking Date]]&lt;&gt;"",1,0)</f>
        <v>1</v>
      </c>
      <c r="H101" s="4">
        <v>45966</v>
      </c>
      <c r="I101" s="11">
        <f>IF(Table1[[#This Row],[Booking Date]]&lt;&gt;"",1,0)</f>
        <v>1</v>
      </c>
      <c r="J101" s="30">
        <v>45973</v>
      </c>
      <c r="K101" s="11">
        <f>IF(Table1[[#This Row],[Delivery Date]]&lt;&gt;"",1,0)</f>
        <v>1</v>
      </c>
      <c r="L101" s="3" t="s">
        <v>2</v>
      </c>
      <c r="M101" s="3">
        <f>IF(Table1[[#This Row],[Cancellation Status]]&lt;&gt;"Yes",1,0)</f>
        <v>1</v>
      </c>
      <c r="O101" s="30">
        <v>45985</v>
      </c>
      <c r="P101" s="3">
        <v>4</v>
      </c>
      <c r="Q101" s="3">
        <v>4</v>
      </c>
      <c r="R101" s="3">
        <v>7</v>
      </c>
      <c r="S101" s="3">
        <v>4</v>
      </c>
      <c r="T10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01" t="str">
        <f>IF(Table1[[#This Row],[Customer Rating]]&gt;=9,"Promoter",IF(Table1[[#This Row],[Customer Rating]]&gt;=7,"Passive","Detractor"))</f>
        <v>Detractor</v>
      </c>
    </row>
    <row r="102" spans="1:21" ht="14.25" customHeight="1" x14ac:dyDescent="0.3">
      <c r="A102" s="3" t="s">
        <v>137</v>
      </c>
      <c r="B102" s="3" t="s">
        <v>26</v>
      </c>
      <c r="C102" s="3" t="s">
        <v>33</v>
      </c>
      <c r="D102" s="14">
        <v>45958</v>
      </c>
      <c r="E102" s="11">
        <f>1</f>
        <v>1</v>
      </c>
      <c r="G102" s="12">
        <f>IF(Table1[[#This Row],[Pre-Booking Date]]&lt;&gt;"",1,0)</f>
        <v>0</v>
      </c>
      <c r="I102" s="12">
        <f>IF(Table1[[#This Row],[Booking Date]]&lt;&gt;"",1,0)</f>
        <v>0</v>
      </c>
      <c r="K102" s="12">
        <f>IF(Table1[[#This Row],[Delivery Date]]&lt;&gt;"",1,0)</f>
        <v>0</v>
      </c>
      <c r="L102" s="3" t="s">
        <v>3</v>
      </c>
      <c r="M102" s="3">
        <f>IF(Table1[[#This Row],[Cancellation Status]]&lt;&gt;"Yes",1,0)</f>
        <v>0</v>
      </c>
      <c r="N102" s="3" t="s">
        <v>42</v>
      </c>
      <c r="T10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02" t="str">
        <f>IF(Table1[[#This Row],[Customer Rating]]&gt;=9,"Promoter",IF(Table1[[#This Row],[Customer Rating]]&gt;=7,"Passive","Detractor"))</f>
        <v>Detractor</v>
      </c>
    </row>
    <row r="103" spans="1:21" ht="14.25" customHeight="1" x14ac:dyDescent="0.3">
      <c r="A103" s="3" t="s">
        <v>138</v>
      </c>
      <c r="B103" s="3" t="s">
        <v>32</v>
      </c>
      <c r="C103" s="3" t="s">
        <v>27</v>
      </c>
      <c r="D103" s="14">
        <v>45958</v>
      </c>
      <c r="E103" s="11">
        <f>1</f>
        <v>1</v>
      </c>
      <c r="F103" s="14">
        <v>45961</v>
      </c>
      <c r="G103" s="11">
        <f>IF(Table1[[#This Row],[Pre-Booking Date]]&lt;&gt;"",1,0)</f>
        <v>1</v>
      </c>
      <c r="H103" s="4">
        <v>45964</v>
      </c>
      <c r="I103" s="11">
        <f>IF(Table1[[#This Row],[Booking Date]]&lt;&gt;"",1,0)</f>
        <v>1</v>
      </c>
      <c r="J103" s="30">
        <v>45970</v>
      </c>
      <c r="K103" s="11">
        <f>IF(Table1[[#This Row],[Delivery Date]]&lt;&gt;"",1,0)</f>
        <v>1</v>
      </c>
      <c r="L103" s="3" t="s">
        <v>2</v>
      </c>
      <c r="M103" s="3">
        <f>IF(Table1[[#This Row],[Cancellation Status]]&lt;&gt;"Yes",1,0)</f>
        <v>1</v>
      </c>
      <c r="O103" s="30">
        <v>45988</v>
      </c>
      <c r="P103" s="3">
        <v>3</v>
      </c>
      <c r="Q103" s="3">
        <v>3</v>
      </c>
      <c r="R103" s="3">
        <v>6</v>
      </c>
      <c r="S103" s="3">
        <v>5</v>
      </c>
      <c r="T10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03" t="str">
        <f>IF(Table1[[#This Row],[Customer Rating]]&gt;=9,"Promoter",IF(Table1[[#This Row],[Customer Rating]]&gt;=7,"Passive","Detractor"))</f>
        <v>Detractor</v>
      </c>
    </row>
    <row r="104" spans="1:21" ht="14.25" customHeight="1" x14ac:dyDescent="0.3">
      <c r="A104" s="3" t="s">
        <v>139</v>
      </c>
      <c r="B104" s="3" t="s">
        <v>32</v>
      </c>
      <c r="C104" s="3" t="s">
        <v>27</v>
      </c>
      <c r="D104" s="14">
        <v>45958</v>
      </c>
      <c r="E104" s="11">
        <f>1</f>
        <v>1</v>
      </c>
      <c r="F104" s="14">
        <v>45959</v>
      </c>
      <c r="G104" s="11">
        <f>IF(Table1[[#This Row],[Pre-Booking Date]]&lt;&gt;"",1,0)</f>
        <v>1</v>
      </c>
      <c r="H104" s="4">
        <v>45960</v>
      </c>
      <c r="I104" s="11">
        <f>IF(Table1[[#This Row],[Booking Date]]&lt;&gt;"",1,0)</f>
        <v>1</v>
      </c>
      <c r="J104" s="30">
        <v>45965</v>
      </c>
      <c r="K104" s="11">
        <f>IF(Table1[[#This Row],[Delivery Date]]&lt;&gt;"",1,0)</f>
        <v>1</v>
      </c>
      <c r="L104" s="3" t="s">
        <v>2</v>
      </c>
      <c r="M104" s="3">
        <f>IF(Table1[[#This Row],[Cancellation Status]]&lt;&gt;"Yes",1,0)</f>
        <v>1</v>
      </c>
      <c r="O104" s="30">
        <v>45978</v>
      </c>
      <c r="P104" s="3">
        <v>1</v>
      </c>
      <c r="Q104" s="3">
        <v>1</v>
      </c>
      <c r="R104" s="3">
        <v>5</v>
      </c>
      <c r="S104" s="3">
        <v>9</v>
      </c>
      <c r="T10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04" t="str">
        <f>IF(Table1[[#This Row],[Customer Rating]]&gt;=9,"Promoter",IF(Table1[[#This Row],[Customer Rating]]&gt;=7,"Passive","Detractor"))</f>
        <v>Promoter</v>
      </c>
    </row>
    <row r="105" spans="1:21" ht="14.25" customHeight="1" x14ac:dyDescent="0.3">
      <c r="A105" s="3" t="s">
        <v>140</v>
      </c>
      <c r="B105" s="3" t="s">
        <v>26</v>
      </c>
      <c r="C105" s="3" t="s">
        <v>30</v>
      </c>
      <c r="D105" s="14">
        <v>45958</v>
      </c>
      <c r="E105" s="11">
        <f>1</f>
        <v>1</v>
      </c>
      <c r="F105" s="14">
        <v>45962</v>
      </c>
      <c r="G105" s="11">
        <f>IF(Table1[[#This Row],[Pre-Booking Date]]&lt;&gt;"",1,0)</f>
        <v>1</v>
      </c>
      <c r="H105" s="4">
        <v>45963</v>
      </c>
      <c r="I105" s="11">
        <f>IF(Table1[[#This Row],[Booking Date]]&lt;&gt;"",1,0)</f>
        <v>1</v>
      </c>
      <c r="J105" s="30">
        <v>45970</v>
      </c>
      <c r="K105" s="11">
        <f>IF(Table1[[#This Row],[Delivery Date]]&lt;&gt;"",1,0)</f>
        <v>1</v>
      </c>
      <c r="L105" s="3" t="s">
        <v>3</v>
      </c>
      <c r="M105" s="3">
        <f>IF(Table1[[#This Row],[Cancellation Status]]&lt;&gt;"Yes",1,0)</f>
        <v>0</v>
      </c>
      <c r="N105" s="3" t="s">
        <v>52</v>
      </c>
      <c r="P105" s="3">
        <v>4</v>
      </c>
      <c r="Q105" s="3">
        <v>1</v>
      </c>
      <c r="R105" s="3">
        <v>7</v>
      </c>
      <c r="T10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05" t="str">
        <f>IF(Table1[[#This Row],[Customer Rating]]&gt;=9,"Promoter",IF(Table1[[#This Row],[Customer Rating]]&gt;=7,"Passive","Detractor"))</f>
        <v>Detractor</v>
      </c>
    </row>
    <row r="106" spans="1:21" ht="14.25" customHeight="1" x14ac:dyDescent="0.3">
      <c r="A106" s="3" t="s">
        <v>141</v>
      </c>
      <c r="B106" s="3" t="s">
        <v>32</v>
      </c>
      <c r="C106" s="3" t="s">
        <v>30</v>
      </c>
      <c r="D106" s="14">
        <v>45958</v>
      </c>
      <c r="E106" s="11">
        <f>1</f>
        <v>1</v>
      </c>
      <c r="F106" s="14">
        <v>45959</v>
      </c>
      <c r="G106" s="11">
        <f>IF(Table1[[#This Row],[Pre-Booking Date]]&lt;&gt;"",1,0)</f>
        <v>1</v>
      </c>
      <c r="H106" s="4">
        <v>45961</v>
      </c>
      <c r="I106" s="11">
        <f>IF(Table1[[#This Row],[Booking Date]]&lt;&gt;"",1,0)</f>
        <v>1</v>
      </c>
      <c r="J106" s="30">
        <v>45967</v>
      </c>
      <c r="K106" s="11">
        <f>IF(Table1[[#This Row],[Delivery Date]]&lt;&gt;"",1,0)</f>
        <v>1</v>
      </c>
      <c r="L106" s="3" t="s">
        <v>2</v>
      </c>
      <c r="M106" s="3">
        <f>IF(Table1[[#This Row],[Cancellation Status]]&lt;&gt;"Yes",1,0)</f>
        <v>1</v>
      </c>
      <c r="O106" s="30">
        <v>45989</v>
      </c>
      <c r="P106" s="3">
        <v>1</v>
      </c>
      <c r="Q106" s="3">
        <v>2</v>
      </c>
      <c r="R106" s="3">
        <v>6</v>
      </c>
      <c r="S106" s="3">
        <v>1</v>
      </c>
      <c r="T10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06" t="str">
        <f>IF(Table1[[#This Row],[Customer Rating]]&gt;=9,"Promoter",IF(Table1[[#This Row],[Customer Rating]]&gt;=7,"Passive","Detractor"))</f>
        <v>Detractor</v>
      </c>
    </row>
    <row r="107" spans="1:21" ht="14.25" customHeight="1" x14ac:dyDescent="0.3">
      <c r="A107" s="3" t="s">
        <v>142</v>
      </c>
      <c r="B107" s="3" t="s">
        <v>39</v>
      </c>
      <c r="C107" s="3" t="s">
        <v>30</v>
      </c>
      <c r="D107" s="14">
        <v>45958</v>
      </c>
      <c r="E107" s="11">
        <f>1</f>
        <v>1</v>
      </c>
      <c r="F107" s="14">
        <v>45962</v>
      </c>
      <c r="G107" s="11">
        <f>IF(Table1[[#This Row],[Pre-Booking Date]]&lt;&gt;"",1,0)</f>
        <v>1</v>
      </c>
      <c r="H107" s="4">
        <v>45967</v>
      </c>
      <c r="I107" s="11">
        <f>IF(Table1[[#This Row],[Booking Date]]&lt;&gt;"",1,0)</f>
        <v>1</v>
      </c>
      <c r="J107" s="30">
        <v>45972</v>
      </c>
      <c r="K107" s="11">
        <f>IF(Table1[[#This Row],[Delivery Date]]&lt;&gt;"",1,0)</f>
        <v>1</v>
      </c>
      <c r="L107" s="3" t="s">
        <v>2</v>
      </c>
      <c r="M107" s="3">
        <f>IF(Table1[[#This Row],[Cancellation Status]]&lt;&gt;"Yes",1,0)</f>
        <v>1</v>
      </c>
      <c r="O107" s="30">
        <v>45983</v>
      </c>
      <c r="P107" s="3">
        <v>4</v>
      </c>
      <c r="Q107" s="3">
        <v>5</v>
      </c>
      <c r="R107" s="3">
        <v>5</v>
      </c>
      <c r="S107" s="3">
        <v>10</v>
      </c>
      <c r="T10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07" t="str">
        <f>IF(Table1[[#This Row],[Customer Rating]]&gt;=9,"Promoter",IF(Table1[[#This Row],[Customer Rating]]&gt;=7,"Passive","Detractor"))</f>
        <v>Promoter</v>
      </c>
    </row>
    <row r="108" spans="1:21" ht="14.25" customHeight="1" x14ac:dyDescent="0.3">
      <c r="A108" s="3" t="s">
        <v>143</v>
      </c>
      <c r="B108" s="3" t="s">
        <v>29</v>
      </c>
      <c r="C108" s="3" t="s">
        <v>33</v>
      </c>
      <c r="D108" s="14">
        <v>45958</v>
      </c>
      <c r="E108" s="11">
        <f>1</f>
        <v>1</v>
      </c>
      <c r="G108" s="12">
        <f>IF(Table1[[#This Row],[Pre-Booking Date]]&lt;&gt;"",1,0)</f>
        <v>0</v>
      </c>
      <c r="I108" s="12">
        <f>IF(Table1[[#This Row],[Booking Date]]&lt;&gt;"",1,0)</f>
        <v>0</v>
      </c>
      <c r="K108" s="12">
        <f>IF(Table1[[#This Row],[Delivery Date]]&lt;&gt;"",1,0)</f>
        <v>0</v>
      </c>
      <c r="L108" s="3" t="s">
        <v>3</v>
      </c>
      <c r="M108" s="3">
        <f>IF(Table1[[#This Row],[Cancellation Status]]&lt;&gt;"Yes",1,0)</f>
        <v>0</v>
      </c>
      <c r="N108" s="3" t="s">
        <v>37</v>
      </c>
      <c r="T10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08" t="str">
        <f>IF(Table1[[#This Row],[Customer Rating]]&gt;=9,"Promoter",IF(Table1[[#This Row],[Customer Rating]]&gt;=7,"Passive","Detractor"))</f>
        <v>Detractor</v>
      </c>
    </row>
    <row r="109" spans="1:21" ht="14.25" customHeight="1" x14ac:dyDescent="0.3">
      <c r="A109" s="3" t="s">
        <v>144</v>
      </c>
      <c r="B109" s="3" t="s">
        <v>26</v>
      </c>
      <c r="C109" s="3" t="s">
        <v>33</v>
      </c>
      <c r="D109" s="14">
        <v>45958</v>
      </c>
      <c r="E109" s="11">
        <f>1</f>
        <v>1</v>
      </c>
      <c r="G109" s="12">
        <f>IF(Table1[[#This Row],[Pre-Booking Date]]&lt;&gt;"",1,0)</f>
        <v>0</v>
      </c>
      <c r="I109" s="12">
        <f>IF(Table1[[#This Row],[Booking Date]]&lt;&gt;"",1,0)</f>
        <v>0</v>
      </c>
      <c r="K109" s="12">
        <f>IF(Table1[[#This Row],[Delivery Date]]&lt;&gt;"",1,0)</f>
        <v>0</v>
      </c>
      <c r="L109" s="3" t="s">
        <v>3</v>
      </c>
      <c r="M109" s="3">
        <f>IF(Table1[[#This Row],[Cancellation Status]]&lt;&gt;"Yes",1,0)</f>
        <v>0</v>
      </c>
      <c r="N109" s="3" t="s">
        <v>34</v>
      </c>
      <c r="T10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09" t="str">
        <f>IF(Table1[[#This Row],[Customer Rating]]&gt;=9,"Promoter",IF(Table1[[#This Row],[Customer Rating]]&gt;=7,"Passive","Detractor"))</f>
        <v>Detractor</v>
      </c>
    </row>
    <row r="110" spans="1:21" ht="14.25" customHeight="1" x14ac:dyDescent="0.3">
      <c r="A110" s="3" t="s">
        <v>145</v>
      </c>
      <c r="B110" s="3" t="s">
        <v>39</v>
      </c>
      <c r="C110" s="3" t="s">
        <v>27</v>
      </c>
      <c r="D110" s="14">
        <v>45958</v>
      </c>
      <c r="E110" s="11">
        <f>1</f>
        <v>1</v>
      </c>
      <c r="F110" s="14">
        <v>45961</v>
      </c>
      <c r="G110" s="11">
        <f>IF(Table1[[#This Row],[Pre-Booking Date]]&lt;&gt;"",1,0)</f>
        <v>1</v>
      </c>
      <c r="H110" s="4">
        <v>45964</v>
      </c>
      <c r="I110" s="11">
        <f>IF(Table1[[#This Row],[Booking Date]]&lt;&gt;"",1,0)</f>
        <v>1</v>
      </c>
      <c r="J110" s="30">
        <v>45969</v>
      </c>
      <c r="K110" s="11">
        <f>IF(Table1[[#This Row],[Delivery Date]]&lt;&gt;"",1,0)</f>
        <v>1</v>
      </c>
      <c r="L110" s="3" t="s">
        <v>2</v>
      </c>
      <c r="M110" s="3">
        <f>IF(Table1[[#This Row],[Cancellation Status]]&lt;&gt;"Yes",1,0)</f>
        <v>1</v>
      </c>
      <c r="O110" s="30">
        <v>45984</v>
      </c>
      <c r="P110" s="3">
        <v>3</v>
      </c>
      <c r="Q110" s="3">
        <v>3</v>
      </c>
      <c r="R110" s="3">
        <v>5</v>
      </c>
      <c r="S110" s="3">
        <v>4</v>
      </c>
      <c r="T11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10" t="str">
        <f>IF(Table1[[#This Row],[Customer Rating]]&gt;=9,"Promoter",IF(Table1[[#This Row],[Customer Rating]]&gt;=7,"Passive","Detractor"))</f>
        <v>Detractor</v>
      </c>
    </row>
    <row r="111" spans="1:21" ht="14.25" customHeight="1" x14ac:dyDescent="0.3">
      <c r="A111" s="3" t="s">
        <v>146</v>
      </c>
      <c r="B111" s="3" t="s">
        <v>32</v>
      </c>
      <c r="C111" s="3" t="s">
        <v>30</v>
      </c>
      <c r="D111" s="14">
        <v>45958</v>
      </c>
      <c r="E111" s="11">
        <f>1</f>
        <v>1</v>
      </c>
      <c r="F111" s="14">
        <v>45963</v>
      </c>
      <c r="G111" s="11">
        <f>IF(Table1[[#This Row],[Pre-Booking Date]]&lt;&gt;"",1,0)</f>
        <v>1</v>
      </c>
      <c r="H111" s="4">
        <v>45966</v>
      </c>
      <c r="I111" s="11">
        <f>IF(Table1[[#This Row],[Booking Date]]&lt;&gt;"",1,0)</f>
        <v>1</v>
      </c>
      <c r="J111" s="30">
        <v>45973</v>
      </c>
      <c r="K111" s="11">
        <f>IF(Table1[[#This Row],[Delivery Date]]&lt;&gt;"",1,0)</f>
        <v>1</v>
      </c>
      <c r="L111" s="3" t="s">
        <v>2</v>
      </c>
      <c r="M111" s="3">
        <f>IF(Table1[[#This Row],[Cancellation Status]]&lt;&gt;"Yes",1,0)</f>
        <v>1</v>
      </c>
      <c r="O111" s="30">
        <v>45983</v>
      </c>
      <c r="P111" s="3">
        <v>5</v>
      </c>
      <c r="Q111" s="3">
        <v>3</v>
      </c>
      <c r="R111" s="3">
        <v>7</v>
      </c>
      <c r="S111" s="3">
        <v>6</v>
      </c>
      <c r="T11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11" t="str">
        <f>IF(Table1[[#This Row],[Customer Rating]]&gt;=9,"Promoter",IF(Table1[[#This Row],[Customer Rating]]&gt;=7,"Passive","Detractor"))</f>
        <v>Detractor</v>
      </c>
    </row>
    <row r="112" spans="1:21" ht="14.25" customHeight="1" x14ac:dyDescent="0.3">
      <c r="A112" s="3" t="s">
        <v>147</v>
      </c>
      <c r="B112" s="3" t="s">
        <v>29</v>
      </c>
      <c r="C112" s="3" t="s">
        <v>27</v>
      </c>
      <c r="D112" s="14">
        <v>45958</v>
      </c>
      <c r="E112" s="11">
        <f>1</f>
        <v>1</v>
      </c>
      <c r="F112" s="14">
        <v>45962</v>
      </c>
      <c r="G112" s="11">
        <f>IF(Table1[[#This Row],[Pre-Booking Date]]&lt;&gt;"",1,0)</f>
        <v>1</v>
      </c>
      <c r="H112" s="4">
        <v>45967</v>
      </c>
      <c r="I112" s="11">
        <f>IF(Table1[[#This Row],[Booking Date]]&lt;&gt;"",1,0)</f>
        <v>1</v>
      </c>
      <c r="J112" s="30">
        <v>45970</v>
      </c>
      <c r="K112" s="11">
        <f>IF(Table1[[#This Row],[Delivery Date]]&lt;&gt;"",1,0)</f>
        <v>1</v>
      </c>
      <c r="L112" s="3" t="s">
        <v>2</v>
      </c>
      <c r="M112" s="3">
        <f>IF(Table1[[#This Row],[Cancellation Status]]&lt;&gt;"Yes",1,0)</f>
        <v>1</v>
      </c>
      <c r="O112" s="30">
        <v>45991</v>
      </c>
      <c r="P112" s="3">
        <v>4</v>
      </c>
      <c r="Q112" s="3">
        <v>5</v>
      </c>
      <c r="R112" s="3">
        <v>3</v>
      </c>
      <c r="S112" s="3">
        <v>8</v>
      </c>
      <c r="T11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12" t="str">
        <f>IF(Table1[[#This Row],[Customer Rating]]&gt;=9,"Promoter",IF(Table1[[#This Row],[Customer Rating]]&gt;=7,"Passive","Detractor"))</f>
        <v>Passive</v>
      </c>
    </row>
    <row r="113" spans="1:21" ht="14.25" customHeight="1" x14ac:dyDescent="0.3">
      <c r="A113" s="3" t="s">
        <v>148</v>
      </c>
      <c r="B113" s="3" t="s">
        <v>32</v>
      </c>
      <c r="C113" s="3" t="s">
        <v>30</v>
      </c>
      <c r="D113" s="14">
        <v>45958</v>
      </c>
      <c r="E113" s="11">
        <f>1</f>
        <v>1</v>
      </c>
      <c r="F113" s="14">
        <v>45961</v>
      </c>
      <c r="G113" s="11">
        <f>IF(Table1[[#This Row],[Pre-Booking Date]]&lt;&gt;"",1,0)</f>
        <v>1</v>
      </c>
      <c r="H113" s="4">
        <v>45964</v>
      </c>
      <c r="I113" s="11">
        <f>IF(Table1[[#This Row],[Booking Date]]&lt;&gt;"",1,0)</f>
        <v>1</v>
      </c>
      <c r="J113" s="30">
        <v>45967</v>
      </c>
      <c r="K113" s="11">
        <f>IF(Table1[[#This Row],[Delivery Date]]&lt;&gt;"",1,0)</f>
        <v>1</v>
      </c>
      <c r="L113" s="3" t="s">
        <v>2</v>
      </c>
      <c r="M113" s="3">
        <f>IF(Table1[[#This Row],[Cancellation Status]]&lt;&gt;"Yes",1,0)</f>
        <v>1</v>
      </c>
      <c r="O113" s="30">
        <v>45997</v>
      </c>
      <c r="P113" s="3">
        <v>3</v>
      </c>
      <c r="Q113" s="3">
        <v>3</v>
      </c>
      <c r="R113" s="3">
        <v>3</v>
      </c>
      <c r="S113" s="3">
        <v>7</v>
      </c>
      <c r="T11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13" t="str">
        <f>IF(Table1[[#This Row],[Customer Rating]]&gt;=9,"Promoter",IF(Table1[[#This Row],[Customer Rating]]&gt;=7,"Passive","Detractor"))</f>
        <v>Passive</v>
      </c>
    </row>
    <row r="114" spans="1:21" ht="14.25" customHeight="1" x14ac:dyDescent="0.3">
      <c r="A114" s="3" t="s">
        <v>149</v>
      </c>
      <c r="B114" s="3" t="s">
        <v>39</v>
      </c>
      <c r="C114" s="3" t="s">
        <v>27</v>
      </c>
      <c r="D114" s="14">
        <v>45958</v>
      </c>
      <c r="E114" s="11">
        <f>1</f>
        <v>1</v>
      </c>
      <c r="F114" s="14">
        <v>45959</v>
      </c>
      <c r="G114" s="11">
        <f>IF(Table1[[#This Row],[Pre-Booking Date]]&lt;&gt;"",1,0)</f>
        <v>1</v>
      </c>
      <c r="H114" s="4">
        <v>45964</v>
      </c>
      <c r="I114" s="11">
        <f>IF(Table1[[#This Row],[Booking Date]]&lt;&gt;"",1,0)</f>
        <v>1</v>
      </c>
      <c r="J114" s="30">
        <v>45970</v>
      </c>
      <c r="K114" s="11">
        <f>IF(Table1[[#This Row],[Delivery Date]]&lt;&gt;"",1,0)</f>
        <v>1</v>
      </c>
      <c r="L114" s="3" t="s">
        <v>2</v>
      </c>
      <c r="M114" s="3">
        <f>IF(Table1[[#This Row],[Cancellation Status]]&lt;&gt;"Yes",1,0)</f>
        <v>1</v>
      </c>
      <c r="O114" s="30">
        <v>45981</v>
      </c>
      <c r="P114" s="3">
        <v>1</v>
      </c>
      <c r="Q114" s="3">
        <v>5</v>
      </c>
      <c r="R114" s="3">
        <v>6</v>
      </c>
      <c r="S114" s="3">
        <v>3</v>
      </c>
      <c r="T11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14" t="str">
        <f>IF(Table1[[#This Row],[Customer Rating]]&gt;=9,"Promoter",IF(Table1[[#This Row],[Customer Rating]]&gt;=7,"Passive","Detractor"))</f>
        <v>Detractor</v>
      </c>
    </row>
    <row r="115" spans="1:21" ht="14.25" customHeight="1" x14ac:dyDescent="0.3">
      <c r="A115" s="3" t="s">
        <v>150</v>
      </c>
      <c r="B115" s="3" t="s">
        <v>32</v>
      </c>
      <c r="C115" s="3" t="s">
        <v>30</v>
      </c>
      <c r="D115" s="14">
        <v>45958</v>
      </c>
      <c r="E115" s="11">
        <f>1</f>
        <v>1</v>
      </c>
      <c r="F115" s="14">
        <v>45962</v>
      </c>
      <c r="G115" s="11">
        <f>IF(Table1[[#This Row],[Pre-Booking Date]]&lt;&gt;"",1,0)</f>
        <v>1</v>
      </c>
      <c r="H115" s="4">
        <v>45965</v>
      </c>
      <c r="I115" s="11">
        <f>IF(Table1[[#This Row],[Booking Date]]&lt;&gt;"",1,0)</f>
        <v>1</v>
      </c>
      <c r="J115" s="30">
        <v>45969</v>
      </c>
      <c r="K115" s="11">
        <f>IF(Table1[[#This Row],[Delivery Date]]&lt;&gt;"",1,0)</f>
        <v>1</v>
      </c>
      <c r="L115" s="3" t="s">
        <v>2</v>
      </c>
      <c r="M115" s="3">
        <f>IF(Table1[[#This Row],[Cancellation Status]]&lt;&gt;"Yes",1,0)</f>
        <v>1</v>
      </c>
      <c r="O115" s="30">
        <v>45988</v>
      </c>
      <c r="P115" s="3">
        <v>4</v>
      </c>
      <c r="Q115" s="3">
        <v>3</v>
      </c>
      <c r="R115" s="3">
        <v>4</v>
      </c>
      <c r="S115" s="3">
        <v>1</v>
      </c>
      <c r="T11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15" t="str">
        <f>IF(Table1[[#This Row],[Customer Rating]]&gt;=9,"Promoter",IF(Table1[[#This Row],[Customer Rating]]&gt;=7,"Passive","Detractor"))</f>
        <v>Detractor</v>
      </c>
    </row>
    <row r="116" spans="1:21" ht="14.25" customHeight="1" x14ac:dyDescent="0.3">
      <c r="A116" s="3" t="s">
        <v>151</v>
      </c>
      <c r="B116" s="3" t="s">
        <v>26</v>
      </c>
      <c r="C116" s="3" t="s">
        <v>27</v>
      </c>
      <c r="D116" s="14">
        <v>45958</v>
      </c>
      <c r="E116" s="11">
        <f>1</f>
        <v>1</v>
      </c>
      <c r="F116" s="14">
        <v>45961</v>
      </c>
      <c r="G116" s="11">
        <f>IF(Table1[[#This Row],[Pre-Booking Date]]&lt;&gt;"",1,0)</f>
        <v>1</v>
      </c>
      <c r="H116" s="4">
        <v>45962</v>
      </c>
      <c r="I116" s="11">
        <f>IF(Table1[[#This Row],[Booking Date]]&lt;&gt;"",1,0)</f>
        <v>1</v>
      </c>
      <c r="J116" s="30">
        <v>45965</v>
      </c>
      <c r="K116" s="11">
        <f>IF(Table1[[#This Row],[Delivery Date]]&lt;&gt;"",1,0)</f>
        <v>1</v>
      </c>
      <c r="L116" s="3" t="s">
        <v>2</v>
      </c>
      <c r="M116" s="3">
        <f>IF(Table1[[#This Row],[Cancellation Status]]&lt;&gt;"Yes",1,0)</f>
        <v>1</v>
      </c>
      <c r="O116" s="30">
        <v>45979</v>
      </c>
      <c r="P116" s="3">
        <v>3</v>
      </c>
      <c r="Q116" s="3">
        <v>1</v>
      </c>
      <c r="R116" s="3">
        <v>3</v>
      </c>
      <c r="S116" s="3">
        <v>4</v>
      </c>
      <c r="T11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16" t="str">
        <f>IF(Table1[[#This Row],[Customer Rating]]&gt;=9,"Promoter",IF(Table1[[#This Row],[Customer Rating]]&gt;=7,"Passive","Detractor"))</f>
        <v>Detractor</v>
      </c>
    </row>
    <row r="117" spans="1:21" ht="14.25" customHeight="1" x14ac:dyDescent="0.3">
      <c r="A117" s="3" t="s">
        <v>152</v>
      </c>
      <c r="B117" s="3" t="s">
        <v>29</v>
      </c>
      <c r="C117" s="3" t="s">
        <v>27</v>
      </c>
      <c r="D117" s="14">
        <v>45958</v>
      </c>
      <c r="E117" s="11">
        <f>1</f>
        <v>1</v>
      </c>
      <c r="F117" s="14">
        <v>45963</v>
      </c>
      <c r="G117" s="11">
        <f>IF(Table1[[#This Row],[Pre-Booking Date]]&lt;&gt;"",1,0)</f>
        <v>1</v>
      </c>
      <c r="H117" s="4">
        <v>45967</v>
      </c>
      <c r="I117" s="11">
        <f>IF(Table1[[#This Row],[Booking Date]]&lt;&gt;"",1,0)</f>
        <v>1</v>
      </c>
      <c r="J117" s="30">
        <v>45973</v>
      </c>
      <c r="K117" s="11">
        <f>IF(Table1[[#This Row],[Delivery Date]]&lt;&gt;"",1,0)</f>
        <v>1</v>
      </c>
      <c r="L117" s="3" t="s">
        <v>2</v>
      </c>
      <c r="M117" s="3">
        <f>IF(Table1[[#This Row],[Cancellation Status]]&lt;&gt;"Yes",1,0)</f>
        <v>1</v>
      </c>
      <c r="O117" s="30">
        <v>45992</v>
      </c>
      <c r="P117" s="3">
        <v>5</v>
      </c>
      <c r="Q117" s="3">
        <v>4</v>
      </c>
      <c r="R117" s="3">
        <v>6</v>
      </c>
      <c r="S117" s="3">
        <v>1</v>
      </c>
      <c r="T11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17" t="str">
        <f>IF(Table1[[#This Row],[Customer Rating]]&gt;=9,"Promoter",IF(Table1[[#This Row],[Customer Rating]]&gt;=7,"Passive","Detractor"))</f>
        <v>Detractor</v>
      </c>
    </row>
    <row r="118" spans="1:21" ht="14.25" customHeight="1" x14ac:dyDescent="0.3">
      <c r="A118" s="3" t="s">
        <v>153</v>
      </c>
      <c r="B118" s="3" t="s">
        <v>32</v>
      </c>
      <c r="C118" s="3" t="s">
        <v>27</v>
      </c>
      <c r="D118" s="14">
        <v>45958</v>
      </c>
      <c r="E118" s="11">
        <f>1</f>
        <v>1</v>
      </c>
      <c r="F118" s="14">
        <v>45960</v>
      </c>
      <c r="G118" s="11">
        <f>IF(Table1[[#This Row],[Pre-Booking Date]]&lt;&gt;"",1,0)</f>
        <v>1</v>
      </c>
      <c r="H118" s="4">
        <v>45964</v>
      </c>
      <c r="I118" s="11">
        <f>IF(Table1[[#This Row],[Booking Date]]&lt;&gt;"",1,0)</f>
        <v>1</v>
      </c>
      <c r="J118" s="30">
        <v>45966</v>
      </c>
      <c r="K118" s="11">
        <f>IF(Table1[[#This Row],[Delivery Date]]&lt;&gt;"",1,0)</f>
        <v>1</v>
      </c>
      <c r="L118" s="3" t="s">
        <v>2</v>
      </c>
      <c r="M118" s="3">
        <f>IF(Table1[[#This Row],[Cancellation Status]]&lt;&gt;"Yes",1,0)</f>
        <v>1</v>
      </c>
      <c r="O118" s="30">
        <v>45991</v>
      </c>
      <c r="P118" s="3">
        <v>2</v>
      </c>
      <c r="Q118" s="3">
        <v>4</v>
      </c>
      <c r="R118" s="3">
        <v>2</v>
      </c>
      <c r="S118" s="3">
        <v>4</v>
      </c>
      <c r="T11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18" t="str">
        <f>IF(Table1[[#This Row],[Customer Rating]]&gt;=9,"Promoter",IF(Table1[[#This Row],[Customer Rating]]&gt;=7,"Passive","Detractor"))</f>
        <v>Detractor</v>
      </c>
    </row>
    <row r="119" spans="1:21" ht="14.25" customHeight="1" x14ac:dyDescent="0.3">
      <c r="A119" s="3" t="s">
        <v>154</v>
      </c>
      <c r="B119" s="3" t="s">
        <v>29</v>
      </c>
      <c r="C119" s="3" t="s">
        <v>27</v>
      </c>
      <c r="D119" s="14">
        <v>45958</v>
      </c>
      <c r="E119" s="11">
        <f>1</f>
        <v>1</v>
      </c>
      <c r="F119" s="14">
        <v>45960</v>
      </c>
      <c r="G119" s="11">
        <f>IF(Table1[[#This Row],[Pre-Booking Date]]&lt;&gt;"",1,0)</f>
        <v>1</v>
      </c>
      <c r="H119" s="4">
        <v>45963</v>
      </c>
      <c r="I119" s="11">
        <f>IF(Table1[[#This Row],[Booking Date]]&lt;&gt;"",1,0)</f>
        <v>1</v>
      </c>
      <c r="J119" s="30">
        <v>45969</v>
      </c>
      <c r="K119" s="11">
        <f>IF(Table1[[#This Row],[Delivery Date]]&lt;&gt;"",1,0)</f>
        <v>1</v>
      </c>
      <c r="L119" s="3" t="s">
        <v>2</v>
      </c>
      <c r="M119" s="3">
        <f>IF(Table1[[#This Row],[Cancellation Status]]&lt;&gt;"Yes",1,0)</f>
        <v>1</v>
      </c>
      <c r="O119" s="30">
        <v>45985</v>
      </c>
      <c r="P119" s="3">
        <v>2</v>
      </c>
      <c r="Q119" s="3">
        <v>3</v>
      </c>
      <c r="R119" s="3">
        <v>6</v>
      </c>
      <c r="S119" s="3">
        <v>9</v>
      </c>
      <c r="T11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19" t="str">
        <f>IF(Table1[[#This Row],[Customer Rating]]&gt;=9,"Promoter",IF(Table1[[#This Row],[Customer Rating]]&gt;=7,"Passive","Detractor"))</f>
        <v>Promoter</v>
      </c>
    </row>
    <row r="120" spans="1:21" ht="14.25" customHeight="1" x14ac:dyDescent="0.3">
      <c r="A120" s="3" t="s">
        <v>155</v>
      </c>
      <c r="B120" s="3" t="s">
        <v>26</v>
      </c>
      <c r="C120" s="3" t="s">
        <v>30</v>
      </c>
      <c r="D120" s="14">
        <v>45958</v>
      </c>
      <c r="E120" s="11">
        <f>1</f>
        <v>1</v>
      </c>
      <c r="F120" s="14">
        <v>45962</v>
      </c>
      <c r="G120" s="11">
        <f>IF(Table1[[#This Row],[Pre-Booking Date]]&lt;&gt;"",1,0)</f>
        <v>1</v>
      </c>
      <c r="H120" s="4">
        <v>45965</v>
      </c>
      <c r="I120" s="11">
        <f>IF(Table1[[#This Row],[Booking Date]]&lt;&gt;"",1,0)</f>
        <v>1</v>
      </c>
      <c r="J120" s="30">
        <v>45970</v>
      </c>
      <c r="K120" s="11">
        <f>IF(Table1[[#This Row],[Delivery Date]]&lt;&gt;"",1,0)</f>
        <v>1</v>
      </c>
      <c r="L120" s="3" t="s">
        <v>2</v>
      </c>
      <c r="M120" s="3">
        <f>IF(Table1[[#This Row],[Cancellation Status]]&lt;&gt;"Yes",1,0)</f>
        <v>1</v>
      </c>
      <c r="O120" s="30">
        <v>45987</v>
      </c>
      <c r="P120" s="3">
        <v>4</v>
      </c>
      <c r="Q120" s="3">
        <v>3</v>
      </c>
      <c r="R120" s="3">
        <v>5</v>
      </c>
      <c r="S120" s="3">
        <v>4</v>
      </c>
      <c r="T12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20" t="str">
        <f>IF(Table1[[#This Row],[Customer Rating]]&gt;=9,"Promoter",IF(Table1[[#This Row],[Customer Rating]]&gt;=7,"Passive","Detractor"))</f>
        <v>Detractor</v>
      </c>
    </row>
    <row r="121" spans="1:21" ht="14.25" customHeight="1" x14ac:dyDescent="0.3">
      <c r="A121" s="3" t="s">
        <v>156</v>
      </c>
      <c r="B121" s="3" t="s">
        <v>39</v>
      </c>
      <c r="C121" s="3" t="s">
        <v>30</v>
      </c>
      <c r="D121" s="14">
        <v>45958</v>
      </c>
      <c r="E121" s="11">
        <f>1</f>
        <v>1</v>
      </c>
      <c r="F121" s="14">
        <v>45962</v>
      </c>
      <c r="G121" s="11">
        <f>IF(Table1[[#This Row],[Pre-Booking Date]]&lt;&gt;"",1,0)</f>
        <v>1</v>
      </c>
      <c r="H121" s="4">
        <v>45966</v>
      </c>
      <c r="I121" s="11">
        <f>IF(Table1[[#This Row],[Booking Date]]&lt;&gt;"",1,0)</f>
        <v>1</v>
      </c>
      <c r="J121" s="30">
        <v>45968</v>
      </c>
      <c r="K121" s="11">
        <f>IF(Table1[[#This Row],[Delivery Date]]&lt;&gt;"",1,0)</f>
        <v>1</v>
      </c>
      <c r="L121" s="3" t="s">
        <v>3</v>
      </c>
      <c r="M121" s="3">
        <f>IF(Table1[[#This Row],[Cancellation Status]]&lt;&gt;"Yes",1,0)</f>
        <v>0</v>
      </c>
      <c r="N121" s="3" t="s">
        <v>42</v>
      </c>
      <c r="P121" s="3">
        <v>4</v>
      </c>
      <c r="Q121" s="3">
        <v>4</v>
      </c>
      <c r="R121" s="3">
        <v>2</v>
      </c>
      <c r="T12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21" t="str">
        <f>IF(Table1[[#This Row],[Customer Rating]]&gt;=9,"Promoter",IF(Table1[[#This Row],[Customer Rating]]&gt;=7,"Passive","Detractor"))</f>
        <v>Detractor</v>
      </c>
    </row>
    <row r="122" spans="1:21" ht="14.25" customHeight="1" x14ac:dyDescent="0.3">
      <c r="A122" s="3" t="s">
        <v>157</v>
      </c>
      <c r="B122" s="3" t="s">
        <v>26</v>
      </c>
      <c r="C122" s="3" t="s">
        <v>30</v>
      </c>
      <c r="D122" s="14">
        <v>45958</v>
      </c>
      <c r="E122" s="11">
        <f>1</f>
        <v>1</v>
      </c>
      <c r="F122" s="14">
        <v>45960</v>
      </c>
      <c r="G122" s="11">
        <f>IF(Table1[[#This Row],[Pre-Booking Date]]&lt;&gt;"",1,0)</f>
        <v>1</v>
      </c>
      <c r="H122" s="4">
        <v>45962</v>
      </c>
      <c r="I122" s="11">
        <f>IF(Table1[[#This Row],[Booking Date]]&lt;&gt;"",1,0)</f>
        <v>1</v>
      </c>
      <c r="J122" s="30">
        <v>45969</v>
      </c>
      <c r="K122" s="11">
        <f>IF(Table1[[#This Row],[Delivery Date]]&lt;&gt;"",1,0)</f>
        <v>1</v>
      </c>
      <c r="L122" s="3" t="s">
        <v>2</v>
      </c>
      <c r="M122" s="3">
        <f>IF(Table1[[#This Row],[Cancellation Status]]&lt;&gt;"Yes",1,0)</f>
        <v>1</v>
      </c>
      <c r="O122" s="30">
        <v>45982</v>
      </c>
      <c r="P122" s="3">
        <v>2</v>
      </c>
      <c r="Q122" s="3">
        <v>2</v>
      </c>
      <c r="R122" s="3">
        <v>7</v>
      </c>
      <c r="S122" s="3">
        <v>4</v>
      </c>
      <c r="T12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22" t="str">
        <f>IF(Table1[[#This Row],[Customer Rating]]&gt;=9,"Promoter",IF(Table1[[#This Row],[Customer Rating]]&gt;=7,"Passive","Detractor"))</f>
        <v>Detractor</v>
      </c>
    </row>
    <row r="123" spans="1:21" ht="14.25" customHeight="1" x14ac:dyDescent="0.3">
      <c r="A123" s="3" t="s">
        <v>158</v>
      </c>
      <c r="B123" s="3" t="s">
        <v>32</v>
      </c>
      <c r="C123" s="3" t="s">
        <v>30</v>
      </c>
      <c r="D123" s="14">
        <v>45958</v>
      </c>
      <c r="E123" s="11">
        <f>1</f>
        <v>1</v>
      </c>
      <c r="F123" s="14">
        <v>45963</v>
      </c>
      <c r="G123" s="11">
        <f>IF(Table1[[#This Row],[Pre-Booking Date]]&lt;&gt;"",1,0)</f>
        <v>1</v>
      </c>
      <c r="H123" s="4">
        <v>45967</v>
      </c>
      <c r="I123" s="11">
        <f>IF(Table1[[#This Row],[Booking Date]]&lt;&gt;"",1,0)</f>
        <v>1</v>
      </c>
      <c r="J123" s="30">
        <v>45974</v>
      </c>
      <c r="K123" s="11">
        <f>IF(Table1[[#This Row],[Delivery Date]]&lt;&gt;"",1,0)</f>
        <v>1</v>
      </c>
      <c r="L123" s="3" t="s">
        <v>2</v>
      </c>
      <c r="M123" s="3">
        <f>IF(Table1[[#This Row],[Cancellation Status]]&lt;&gt;"Yes",1,0)</f>
        <v>1</v>
      </c>
      <c r="O123" s="30">
        <v>45990</v>
      </c>
      <c r="P123" s="3">
        <v>5</v>
      </c>
      <c r="Q123" s="3">
        <v>4</v>
      </c>
      <c r="R123" s="3">
        <v>7</v>
      </c>
      <c r="S123" s="3">
        <v>3</v>
      </c>
      <c r="T12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23" t="str">
        <f>IF(Table1[[#This Row],[Customer Rating]]&gt;=9,"Promoter",IF(Table1[[#This Row],[Customer Rating]]&gt;=7,"Passive","Detractor"))</f>
        <v>Detractor</v>
      </c>
    </row>
    <row r="124" spans="1:21" ht="14.25" customHeight="1" x14ac:dyDescent="0.3">
      <c r="A124" s="3" t="s">
        <v>159</v>
      </c>
      <c r="B124" s="3" t="s">
        <v>29</v>
      </c>
      <c r="C124" s="3" t="s">
        <v>27</v>
      </c>
      <c r="D124" s="14">
        <v>45958</v>
      </c>
      <c r="E124" s="11">
        <f>1</f>
        <v>1</v>
      </c>
      <c r="F124" s="14">
        <v>45960</v>
      </c>
      <c r="G124" s="11">
        <f>IF(Table1[[#This Row],[Pre-Booking Date]]&lt;&gt;"",1,0)</f>
        <v>1</v>
      </c>
      <c r="H124" s="4">
        <v>45963</v>
      </c>
      <c r="I124" s="11">
        <f>IF(Table1[[#This Row],[Booking Date]]&lt;&gt;"",1,0)</f>
        <v>1</v>
      </c>
      <c r="J124" s="30">
        <v>45967</v>
      </c>
      <c r="K124" s="11">
        <f>IF(Table1[[#This Row],[Delivery Date]]&lt;&gt;"",1,0)</f>
        <v>1</v>
      </c>
      <c r="L124" s="3" t="s">
        <v>3</v>
      </c>
      <c r="M124" s="3">
        <f>IF(Table1[[#This Row],[Cancellation Status]]&lt;&gt;"Yes",1,0)</f>
        <v>0</v>
      </c>
      <c r="N124" s="3" t="s">
        <v>34</v>
      </c>
      <c r="P124" s="3">
        <v>2</v>
      </c>
      <c r="Q124" s="3">
        <v>3</v>
      </c>
      <c r="R124" s="3">
        <v>4</v>
      </c>
      <c r="T12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24" t="str">
        <f>IF(Table1[[#This Row],[Customer Rating]]&gt;=9,"Promoter",IF(Table1[[#This Row],[Customer Rating]]&gt;=7,"Passive","Detractor"))</f>
        <v>Detractor</v>
      </c>
    </row>
    <row r="125" spans="1:21" ht="14.25" customHeight="1" x14ac:dyDescent="0.3">
      <c r="A125" s="3" t="s">
        <v>160</v>
      </c>
      <c r="B125" s="3" t="s">
        <v>32</v>
      </c>
      <c r="C125" s="3" t="s">
        <v>33</v>
      </c>
      <c r="D125" s="14">
        <v>45958</v>
      </c>
      <c r="E125" s="11">
        <f>1</f>
        <v>1</v>
      </c>
      <c r="G125" s="12">
        <f>IF(Table1[[#This Row],[Pre-Booking Date]]&lt;&gt;"",1,0)</f>
        <v>0</v>
      </c>
      <c r="I125" s="12">
        <f>IF(Table1[[#This Row],[Booking Date]]&lt;&gt;"",1,0)</f>
        <v>0</v>
      </c>
      <c r="K125" s="12">
        <f>IF(Table1[[#This Row],[Delivery Date]]&lt;&gt;"",1,0)</f>
        <v>0</v>
      </c>
      <c r="L125" s="3" t="s">
        <v>3</v>
      </c>
      <c r="M125" s="3">
        <f>IF(Table1[[#This Row],[Cancellation Status]]&lt;&gt;"Yes",1,0)</f>
        <v>0</v>
      </c>
      <c r="N125" s="3" t="s">
        <v>37</v>
      </c>
      <c r="T12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25" t="str">
        <f>IF(Table1[[#This Row],[Customer Rating]]&gt;=9,"Promoter",IF(Table1[[#This Row],[Customer Rating]]&gt;=7,"Passive","Detractor"))</f>
        <v>Detractor</v>
      </c>
    </row>
    <row r="126" spans="1:21" ht="14.25" customHeight="1" x14ac:dyDescent="0.3">
      <c r="A126" s="3" t="s">
        <v>161</v>
      </c>
      <c r="B126" s="3" t="s">
        <v>26</v>
      </c>
      <c r="C126" s="3" t="s">
        <v>27</v>
      </c>
      <c r="D126" s="14">
        <v>45958</v>
      </c>
      <c r="E126" s="11">
        <f>1</f>
        <v>1</v>
      </c>
      <c r="F126" s="14">
        <v>45963</v>
      </c>
      <c r="G126" s="11">
        <f>IF(Table1[[#This Row],[Pre-Booking Date]]&lt;&gt;"",1,0)</f>
        <v>1</v>
      </c>
      <c r="H126" s="4">
        <v>45965</v>
      </c>
      <c r="I126" s="11">
        <f>IF(Table1[[#This Row],[Booking Date]]&lt;&gt;"",1,0)</f>
        <v>1</v>
      </c>
      <c r="J126" s="30">
        <v>45971</v>
      </c>
      <c r="K126" s="11">
        <f>IF(Table1[[#This Row],[Delivery Date]]&lt;&gt;"",1,0)</f>
        <v>1</v>
      </c>
      <c r="L126" s="3" t="s">
        <v>2</v>
      </c>
      <c r="M126" s="3">
        <f>IF(Table1[[#This Row],[Cancellation Status]]&lt;&gt;"Yes",1,0)</f>
        <v>1</v>
      </c>
      <c r="O126" s="30">
        <v>45991</v>
      </c>
      <c r="P126" s="3">
        <v>5</v>
      </c>
      <c r="Q126" s="3">
        <v>2</v>
      </c>
      <c r="R126" s="3">
        <v>6</v>
      </c>
      <c r="S126" s="3">
        <v>5</v>
      </c>
      <c r="T12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26" t="str">
        <f>IF(Table1[[#This Row],[Customer Rating]]&gt;=9,"Promoter",IF(Table1[[#This Row],[Customer Rating]]&gt;=7,"Passive","Detractor"))</f>
        <v>Detractor</v>
      </c>
    </row>
    <row r="127" spans="1:21" ht="14.25" customHeight="1" x14ac:dyDescent="0.3">
      <c r="A127" s="3" t="s">
        <v>162</v>
      </c>
      <c r="B127" s="3" t="s">
        <v>32</v>
      </c>
      <c r="C127" s="3" t="s">
        <v>30</v>
      </c>
      <c r="D127" s="14">
        <v>45958</v>
      </c>
      <c r="E127" s="11">
        <f>1</f>
        <v>1</v>
      </c>
      <c r="F127" s="14">
        <v>45963</v>
      </c>
      <c r="G127" s="11">
        <f>IF(Table1[[#This Row],[Pre-Booking Date]]&lt;&gt;"",1,0)</f>
        <v>1</v>
      </c>
      <c r="H127" s="4">
        <v>45964</v>
      </c>
      <c r="I127" s="11">
        <f>IF(Table1[[#This Row],[Booking Date]]&lt;&gt;"",1,0)</f>
        <v>1</v>
      </c>
      <c r="J127" s="30">
        <v>45966</v>
      </c>
      <c r="K127" s="11">
        <f>IF(Table1[[#This Row],[Delivery Date]]&lt;&gt;"",1,0)</f>
        <v>1</v>
      </c>
      <c r="L127" s="3" t="s">
        <v>2</v>
      </c>
      <c r="M127" s="3">
        <f>IF(Table1[[#This Row],[Cancellation Status]]&lt;&gt;"Yes",1,0)</f>
        <v>1</v>
      </c>
      <c r="O127" s="30">
        <v>45989</v>
      </c>
      <c r="P127" s="3">
        <v>5</v>
      </c>
      <c r="Q127" s="3">
        <v>1</v>
      </c>
      <c r="R127" s="3">
        <v>2</v>
      </c>
      <c r="S127" s="3">
        <v>1</v>
      </c>
      <c r="T12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27" t="str">
        <f>IF(Table1[[#This Row],[Customer Rating]]&gt;=9,"Promoter",IF(Table1[[#This Row],[Customer Rating]]&gt;=7,"Passive","Detractor"))</f>
        <v>Detractor</v>
      </c>
    </row>
    <row r="128" spans="1:21" ht="14.25" customHeight="1" x14ac:dyDescent="0.3">
      <c r="A128" s="3" t="s">
        <v>163</v>
      </c>
      <c r="B128" s="3" t="s">
        <v>26</v>
      </c>
      <c r="C128" s="3" t="s">
        <v>30</v>
      </c>
      <c r="D128" s="14">
        <v>45958</v>
      </c>
      <c r="E128" s="11">
        <f>1</f>
        <v>1</v>
      </c>
      <c r="F128" s="14">
        <v>45963</v>
      </c>
      <c r="G128" s="11">
        <f>IF(Table1[[#This Row],[Pre-Booking Date]]&lt;&gt;"",1,0)</f>
        <v>1</v>
      </c>
      <c r="H128" s="4">
        <v>45965</v>
      </c>
      <c r="I128" s="11">
        <f>IF(Table1[[#This Row],[Booking Date]]&lt;&gt;"",1,0)</f>
        <v>1</v>
      </c>
      <c r="J128" s="30">
        <v>45969</v>
      </c>
      <c r="K128" s="11">
        <f>IF(Table1[[#This Row],[Delivery Date]]&lt;&gt;"",1,0)</f>
        <v>1</v>
      </c>
      <c r="L128" s="3" t="s">
        <v>2</v>
      </c>
      <c r="M128" s="3">
        <f>IF(Table1[[#This Row],[Cancellation Status]]&lt;&gt;"Yes",1,0)</f>
        <v>1</v>
      </c>
      <c r="O128" s="30">
        <v>45981</v>
      </c>
      <c r="P128" s="3">
        <v>5</v>
      </c>
      <c r="Q128" s="3">
        <v>2</v>
      </c>
      <c r="R128" s="3">
        <v>4</v>
      </c>
      <c r="S128" s="3">
        <v>0</v>
      </c>
      <c r="T12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28" t="str">
        <f>IF(Table1[[#This Row],[Customer Rating]]&gt;=9,"Promoter",IF(Table1[[#This Row],[Customer Rating]]&gt;=7,"Passive","Detractor"))</f>
        <v>Detractor</v>
      </c>
    </row>
    <row r="129" spans="1:21" ht="14.25" customHeight="1" x14ac:dyDescent="0.3">
      <c r="A129" s="3" t="s">
        <v>164</v>
      </c>
      <c r="B129" s="3" t="s">
        <v>26</v>
      </c>
      <c r="C129" s="3" t="s">
        <v>30</v>
      </c>
      <c r="D129" s="14">
        <v>45958</v>
      </c>
      <c r="E129" s="11">
        <f>1</f>
        <v>1</v>
      </c>
      <c r="F129" s="14">
        <v>45963</v>
      </c>
      <c r="G129" s="11">
        <f>IF(Table1[[#This Row],[Pre-Booking Date]]&lt;&gt;"",1,0)</f>
        <v>1</v>
      </c>
      <c r="H129" s="4">
        <v>45966</v>
      </c>
      <c r="I129" s="11">
        <f>IF(Table1[[#This Row],[Booking Date]]&lt;&gt;"",1,0)</f>
        <v>1</v>
      </c>
      <c r="J129" s="30">
        <v>45972</v>
      </c>
      <c r="K129" s="11">
        <f>IF(Table1[[#This Row],[Delivery Date]]&lt;&gt;"",1,0)</f>
        <v>1</v>
      </c>
      <c r="L129" s="3" t="s">
        <v>2</v>
      </c>
      <c r="M129" s="3">
        <f>IF(Table1[[#This Row],[Cancellation Status]]&lt;&gt;"Yes",1,0)</f>
        <v>1</v>
      </c>
      <c r="O129" s="30">
        <v>46000</v>
      </c>
      <c r="P129" s="3">
        <v>5</v>
      </c>
      <c r="Q129" s="3">
        <v>3</v>
      </c>
      <c r="R129" s="3">
        <v>6</v>
      </c>
      <c r="S129" s="3">
        <v>1</v>
      </c>
      <c r="T12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29" t="str">
        <f>IF(Table1[[#This Row],[Customer Rating]]&gt;=9,"Promoter",IF(Table1[[#This Row],[Customer Rating]]&gt;=7,"Passive","Detractor"))</f>
        <v>Detractor</v>
      </c>
    </row>
    <row r="130" spans="1:21" ht="14.25" customHeight="1" x14ac:dyDescent="0.3">
      <c r="A130" s="3" t="s">
        <v>165</v>
      </c>
      <c r="B130" s="3" t="s">
        <v>32</v>
      </c>
      <c r="C130" s="3" t="s">
        <v>27</v>
      </c>
      <c r="D130" s="14">
        <v>45957</v>
      </c>
      <c r="E130" s="11">
        <f>1</f>
        <v>1</v>
      </c>
      <c r="F130" s="14">
        <v>45961</v>
      </c>
      <c r="G130" s="11">
        <f>IF(Table1[[#This Row],[Pre-Booking Date]]&lt;&gt;"",1,0)</f>
        <v>1</v>
      </c>
      <c r="H130" s="4">
        <v>45965</v>
      </c>
      <c r="I130" s="11">
        <f>IF(Table1[[#This Row],[Booking Date]]&lt;&gt;"",1,0)</f>
        <v>1</v>
      </c>
      <c r="J130" s="30">
        <v>45968</v>
      </c>
      <c r="K130" s="11">
        <f>IF(Table1[[#This Row],[Delivery Date]]&lt;&gt;"",1,0)</f>
        <v>1</v>
      </c>
      <c r="L130" s="3" t="s">
        <v>2</v>
      </c>
      <c r="M130" s="3">
        <f>IF(Table1[[#This Row],[Cancellation Status]]&lt;&gt;"Yes",1,0)</f>
        <v>1</v>
      </c>
      <c r="O130" s="30">
        <v>45983</v>
      </c>
      <c r="P130" s="3">
        <v>4</v>
      </c>
      <c r="Q130" s="3">
        <v>4</v>
      </c>
      <c r="R130" s="3">
        <v>3</v>
      </c>
      <c r="S130" s="3">
        <v>9</v>
      </c>
      <c r="T13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30" t="str">
        <f>IF(Table1[[#This Row],[Customer Rating]]&gt;=9,"Promoter",IF(Table1[[#This Row],[Customer Rating]]&gt;=7,"Passive","Detractor"))</f>
        <v>Promoter</v>
      </c>
    </row>
    <row r="131" spans="1:21" ht="14.25" customHeight="1" x14ac:dyDescent="0.3">
      <c r="A131" s="3" t="s">
        <v>166</v>
      </c>
      <c r="B131" s="3" t="s">
        <v>39</v>
      </c>
      <c r="C131" s="3" t="s">
        <v>27</v>
      </c>
      <c r="D131" s="14">
        <v>45957</v>
      </c>
      <c r="E131" s="11">
        <f>1</f>
        <v>1</v>
      </c>
      <c r="F131" s="14">
        <v>45960</v>
      </c>
      <c r="G131" s="11">
        <f>IF(Table1[[#This Row],[Pre-Booking Date]]&lt;&gt;"",1,0)</f>
        <v>1</v>
      </c>
      <c r="H131" s="4">
        <v>45963</v>
      </c>
      <c r="I131" s="11">
        <f>IF(Table1[[#This Row],[Booking Date]]&lt;&gt;"",1,0)</f>
        <v>1</v>
      </c>
      <c r="J131" s="30">
        <v>45969</v>
      </c>
      <c r="K131" s="11">
        <f>IF(Table1[[#This Row],[Delivery Date]]&lt;&gt;"",1,0)</f>
        <v>1</v>
      </c>
      <c r="L131" s="3" t="s">
        <v>2</v>
      </c>
      <c r="M131" s="3">
        <f>IF(Table1[[#This Row],[Cancellation Status]]&lt;&gt;"Yes",1,0)</f>
        <v>1</v>
      </c>
      <c r="O131" s="30">
        <v>45998</v>
      </c>
      <c r="P131" s="3">
        <v>3</v>
      </c>
      <c r="Q131" s="3">
        <v>3</v>
      </c>
      <c r="R131" s="3">
        <v>6</v>
      </c>
      <c r="S131" s="3">
        <v>2</v>
      </c>
      <c r="T13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31" t="str">
        <f>IF(Table1[[#This Row],[Customer Rating]]&gt;=9,"Promoter",IF(Table1[[#This Row],[Customer Rating]]&gt;=7,"Passive","Detractor"))</f>
        <v>Detractor</v>
      </c>
    </row>
    <row r="132" spans="1:21" ht="14.25" customHeight="1" x14ac:dyDescent="0.3">
      <c r="A132" s="3" t="s">
        <v>167</v>
      </c>
      <c r="B132" s="3" t="s">
        <v>29</v>
      </c>
      <c r="C132" s="3" t="s">
        <v>27</v>
      </c>
      <c r="D132" s="14">
        <v>45957</v>
      </c>
      <c r="E132" s="11">
        <f>1</f>
        <v>1</v>
      </c>
      <c r="F132" s="14">
        <v>45961</v>
      </c>
      <c r="G132" s="11">
        <f>IF(Table1[[#This Row],[Pre-Booking Date]]&lt;&gt;"",1,0)</f>
        <v>1</v>
      </c>
      <c r="H132" s="4">
        <v>45966</v>
      </c>
      <c r="I132" s="11">
        <f>IF(Table1[[#This Row],[Booking Date]]&lt;&gt;"",1,0)</f>
        <v>1</v>
      </c>
      <c r="J132" s="30">
        <v>45970</v>
      </c>
      <c r="K132" s="11">
        <f>IF(Table1[[#This Row],[Delivery Date]]&lt;&gt;"",1,0)</f>
        <v>1</v>
      </c>
      <c r="L132" s="3" t="s">
        <v>2</v>
      </c>
      <c r="M132" s="3">
        <f>IF(Table1[[#This Row],[Cancellation Status]]&lt;&gt;"Yes",1,0)</f>
        <v>1</v>
      </c>
      <c r="O132" s="30">
        <v>45984</v>
      </c>
      <c r="P132" s="3">
        <v>4</v>
      </c>
      <c r="Q132" s="3">
        <v>5</v>
      </c>
      <c r="R132" s="3">
        <v>4</v>
      </c>
      <c r="S132" s="3">
        <v>3</v>
      </c>
      <c r="T13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32" t="str">
        <f>IF(Table1[[#This Row],[Customer Rating]]&gt;=9,"Promoter",IF(Table1[[#This Row],[Customer Rating]]&gt;=7,"Passive","Detractor"))</f>
        <v>Detractor</v>
      </c>
    </row>
    <row r="133" spans="1:21" ht="14.25" customHeight="1" x14ac:dyDescent="0.3">
      <c r="A133" s="3" t="s">
        <v>168</v>
      </c>
      <c r="B133" s="3" t="s">
        <v>32</v>
      </c>
      <c r="C133" s="3" t="s">
        <v>27</v>
      </c>
      <c r="D133" s="14">
        <v>45957</v>
      </c>
      <c r="E133" s="11">
        <f>1</f>
        <v>1</v>
      </c>
      <c r="F133" s="14">
        <v>45960</v>
      </c>
      <c r="G133" s="11">
        <f>IF(Table1[[#This Row],[Pre-Booking Date]]&lt;&gt;"",1,0)</f>
        <v>1</v>
      </c>
      <c r="H133" s="4">
        <v>45964</v>
      </c>
      <c r="I133" s="11">
        <f>IF(Table1[[#This Row],[Booking Date]]&lt;&gt;"",1,0)</f>
        <v>1</v>
      </c>
      <c r="J133" s="30">
        <v>45969</v>
      </c>
      <c r="K133" s="11">
        <f>IF(Table1[[#This Row],[Delivery Date]]&lt;&gt;"",1,0)</f>
        <v>1</v>
      </c>
      <c r="L133" s="3" t="s">
        <v>3</v>
      </c>
      <c r="M133" s="3">
        <f>IF(Table1[[#This Row],[Cancellation Status]]&lt;&gt;"Yes",1,0)</f>
        <v>0</v>
      </c>
      <c r="N133" s="3" t="s">
        <v>52</v>
      </c>
      <c r="P133" s="3">
        <v>3</v>
      </c>
      <c r="Q133" s="3">
        <v>4</v>
      </c>
      <c r="R133" s="3">
        <v>5</v>
      </c>
      <c r="T13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33" t="str">
        <f>IF(Table1[[#This Row],[Customer Rating]]&gt;=9,"Promoter",IF(Table1[[#This Row],[Customer Rating]]&gt;=7,"Passive","Detractor"))</f>
        <v>Detractor</v>
      </c>
    </row>
    <row r="134" spans="1:21" ht="14.25" customHeight="1" x14ac:dyDescent="0.3">
      <c r="A134" s="3" t="s">
        <v>169</v>
      </c>
      <c r="B134" s="3" t="s">
        <v>29</v>
      </c>
      <c r="C134" s="3" t="s">
        <v>27</v>
      </c>
      <c r="D134" s="14">
        <v>45957</v>
      </c>
      <c r="E134" s="11">
        <f>1</f>
        <v>1</v>
      </c>
      <c r="F134" s="14">
        <v>45960</v>
      </c>
      <c r="G134" s="11">
        <f>IF(Table1[[#This Row],[Pre-Booking Date]]&lt;&gt;"",1,0)</f>
        <v>1</v>
      </c>
      <c r="H134" s="4">
        <v>45962</v>
      </c>
      <c r="I134" s="11">
        <f>IF(Table1[[#This Row],[Booking Date]]&lt;&gt;"",1,0)</f>
        <v>1</v>
      </c>
      <c r="J134" s="30">
        <v>45967</v>
      </c>
      <c r="K134" s="11">
        <f>IF(Table1[[#This Row],[Delivery Date]]&lt;&gt;"",1,0)</f>
        <v>1</v>
      </c>
      <c r="L134" s="3" t="s">
        <v>2</v>
      </c>
      <c r="M134" s="3">
        <f>IF(Table1[[#This Row],[Cancellation Status]]&lt;&gt;"Yes",1,0)</f>
        <v>1</v>
      </c>
      <c r="O134" s="30">
        <v>45990</v>
      </c>
      <c r="P134" s="3">
        <v>3</v>
      </c>
      <c r="Q134" s="3">
        <v>2</v>
      </c>
      <c r="R134" s="3">
        <v>5</v>
      </c>
      <c r="S134" s="3">
        <v>5</v>
      </c>
      <c r="T13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34" t="str">
        <f>IF(Table1[[#This Row],[Customer Rating]]&gt;=9,"Promoter",IF(Table1[[#This Row],[Customer Rating]]&gt;=7,"Passive","Detractor"))</f>
        <v>Detractor</v>
      </c>
    </row>
    <row r="135" spans="1:21" ht="14.25" customHeight="1" x14ac:dyDescent="0.3">
      <c r="A135" s="3" t="s">
        <v>170</v>
      </c>
      <c r="B135" s="3" t="s">
        <v>26</v>
      </c>
      <c r="C135" s="3" t="s">
        <v>27</v>
      </c>
      <c r="D135" s="14">
        <v>45957</v>
      </c>
      <c r="E135" s="11">
        <f>1</f>
        <v>1</v>
      </c>
      <c r="F135" s="14">
        <v>45961</v>
      </c>
      <c r="G135" s="11">
        <f>IF(Table1[[#This Row],[Pre-Booking Date]]&lt;&gt;"",1,0)</f>
        <v>1</v>
      </c>
      <c r="H135" s="4">
        <v>45964</v>
      </c>
      <c r="I135" s="11">
        <f>IF(Table1[[#This Row],[Booking Date]]&lt;&gt;"",1,0)</f>
        <v>1</v>
      </c>
      <c r="J135" s="30">
        <v>45969</v>
      </c>
      <c r="K135" s="11">
        <f>IF(Table1[[#This Row],[Delivery Date]]&lt;&gt;"",1,0)</f>
        <v>1</v>
      </c>
      <c r="L135" s="3" t="s">
        <v>2</v>
      </c>
      <c r="M135" s="3">
        <f>IF(Table1[[#This Row],[Cancellation Status]]&lt;&gt;"Yes",1,0)</f>
        <v>1</v>
      </c>
      <c r="O135" s="30">
        <v>45998</v>
      </c>
      <c r="P135" s="3">
        <v>4</v>
      </c>
      <c r="Q135" s="3">
        <v>3</v>
      </c>
      <c r="R135" s="3">
        <v>5</v>
      </c>
      <c r="S135" s="3">
        <v>4</v>
      </c>
      <c r="T13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35" t="str">
        <f>IF(Table1[[#This Row],[Customer Rating]]&gt;=9,"Promoter",IF(Table1[[#This Row],[Customer Rating]]&gt;=7,"Passive","Detractor"))</f>
        <v>Detractor</v>
      </c>
    </row>
    <row r="136" spans="1:21" ht="14.25" customHeight="1" x14ac:dyDescent="0.3">
      <c r="A136" s="3" t="s">
        <v>171</v>
      </c>
      <c r="B136" s="3" t="s">
        <v>26</v>
      </c>
      <c r="C136" s="3" t="s">
        <v>30</v>
      </c>
      <c r="D136" s="14">
        <v>45957</v>
      </c>
      <c r="E136" s="11">
        <f>1</f>
        <v>1</v>
      </c>
      <c r="F136" s="14">
        <v>45960</v>
      </c>
      <c r="G136" s="11">
        <f>IF(Table1[[#This Row],[Pre-Booking Date]]&lt;&gt;"",1,0)</f>
        <v>1</v>
      </c>
      <c r="H136" s="4">
        <v>45962</v>
      </c>
      <c r="I136" s="11">
        <f>IF(Table1[[#This Row],[Booking Date]]&lt;&gt;"",1,0)</f>
        <v>1</v>
      </c>
      <c r="J136" s="30">
        <v>45968</v>
      </c>
      <c r="K136" s="11">
        <f>IF(Table1[[#This Row],[Delivery Date]]&lt;&gt;"",1,0)</f>
        <v>1</v>
      </c>
      <c r="L136" s="3" t="s">
        <v>2</v>
      </c>
      <c r="M136" s="3">
        <f>IF(Table1[[#This Row],[Cancellation Status]]&lt;&gt;"Yes",1,0)</f>
        <v>1</v>
      </c>
      <c r="O136" s="30">
        <v>45979</v>
      </c>
      <c r="P136" s="3">
        <v>3</v>
      </c>
      <c r="Q136" s="3">
        <v>2</v>
      </c>
      <c r="R136" s="3">
        <v>6</v>
      </c>
      <c r="S136" s="3">
        <v>2</v>
      </c>
      <c r="T13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36" t="str">
        <f>IF(Table1[[#This Row],[Customer Rating]]&gt;=9,"Promoter",IF(Table1[[#This Row],[Customer Rating]]&gt;=7,"Passive","Detractor"))</f>
        <v>Detractor</v>
      </c>
    </row>
    <row r="137" spans="1:21" ht="14.25" customHeight="1" x14ac:dyDescent="0.3">
      <c r="A137" s="3" t="s">
        <v>172</v>
      </c>
      <c r="B137" s="3" t="s">
        <v>29</v>
      </c>
      <c r="C137" s="3" t="s">
        <v>30</v>
      </c>
      <c r="D137" s="14">
        <v>45957</v>
      </c>
      <c r="E137" s="11">
        <f>1</f>
        <v>1</v>
      </c>
      <c r="F137" s="14">
        <v>45958</v>
      </c>
      <c r="G137" s="11">
        <f>IF(Table1[[#This Row],[Pre-Booking Date]]&lt;&gt;"",1,0)</f>
        <v>1</v>
      </c>
      <c r="H137" s="4">
        <v>45963</v>
      </c>
      <c r="I137" s="11">
        <f>IF(Table1[[#This Row],[Booking Date]]&lt;&gt;"",1,0)</f>
        <v>1</v>
      </c>
      <c r="J137" s="30">
        <v>45967</v>
      </c>
      <c r="K137" s="11">
        <f>IF(Table1[[#This Row],[Delivery Date]]&lt;&gt;"",1,0)</f>
        <v>1</v>
      </c>
      <c r="L137" s="3" t="s">
        <v>3</v>
      </c>
      <c r="M137" s="3">
        <f>IF(Table1[[#This Row],[Cancellation Status]]&lt;&gt;"Yes",1,0)</f>
        <v>0</v>
      </c>
      <c r="N137" s="3" t="s">
        <v>55</v>
      </c>
      <c r="P137" s="3">
        <v>1</v>
      </c>
      <c r="Q137" s="3">
        <v>5</v>
      </c>
      <c r="R137" s="3">
        <v>4</v>
      </c>
      <c r="T13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37" t="str">
        <f>IF(Table1[[#This Row],[Customer Rating]]&gt;=9,"Promoter",IF(Table1[[#This Row],[Customer Rating]]&gt;=7,"Passive","Detractor"))</f>
        <v>Detractor</v>
      </c>
    </row>
    <row r="138" spans="1:21" ht="14.25" customHeight="1" x14ac:dyDescent="0.3">
      <c r="A138" s="3" t="s">
        <v>173</v>
      </c>
      <c r="B138" s="3" t="s">
        <v>29</v>
      </c>
      <c r="C138" s="3" t="s">
        <v>27</v>
      </c>
      <c r="D138" s="14">
        <v>45957</v>
      </c>
      <c r="E138" s="11">
        <f>1</f>
        <v>1</v>
      </c>
      <c r="F138" s="14">
        <v>45960</v>
      </c>
      <c r="G138" s="11">
        <f>IF(Table1[[#This Row],[Pre-Booking Date]]&lt;&gt;"",1,0)</f>
        <v>1</v>
      </c>
      <c r="H138" s="4">
        <v>45962</v>
      </c>
      <c r="I138" s="11">
        <f>IF(Table1[[#This Row],[Booking Date]]&lt;&gt;"",1,0)</f>
        <v>1</v>
      </c>
      <c r="J138" s="30">
        <v>45965</v>
      </c>
      <c r="K138" s="11">
        <f>IF(Table1[[#This Row],[Delivery Date]]&lt;&gt;"",1,0)</f>
        <v>1</v>
      </c>
      <c r="L138" s="3" t="s">
        <v>2</v>
      </c>
      <c r="M138" s="3">
        <f>IF(Table1[[#This Row],[Cancellation Status]]&lt;&gt;"Yes",1,0)</f>
        <v>1</v>
      </c>
      <c r="O138" s="30">
        <v>45984</v>
      </c>
      <c r="P138" s="3">
        <v>3</v>
      </c>
      <c r="Q138" s="3">
        <v>2</v>
      </c>
      <c r="R138" s="3">
        <v>3</v>
      </c>
      <c r="S138" s="3">
        <v>6</v>
      </c>
      <c r="T13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38" t="str">
        <f>IF(Table1[[#This Row],[Customer Rating]]&gt;=9,"Promoter",IF(Table1[[#This Row],[Customer Rating]]&gt;=7,"Passive","Detractor"))</f>
        <v>Detractor</v>
      </c>
    </row>
    <row r="139" spans="1:21" ht="14.25" customHeight="1" x14ac:dyDescent="0.3">
      <c r="A139" s="3" t="s">
        <v>174</v>
      </c>
      <c r="B139" s="3" t="s">
        <v>26</v>
      </c>
      <c r="C139" s="3" t="s">
        <v>33</v>
      </c>
      <c r="D139" s="14">
        <v>45957</v>
      </c>
      <c r="E139" s="11">
        <f>1</f>
        <v>1</v>
      </c>
      <c r="G139" s="12">
        <f>IF(Table1[[#This Row],[Pre-Booking Date]]&lt;&gt;"",1,0)</f>
        <v>0</v>
      </c>
      <c r="I139" s="12">
        <f>IF(Table1[[#This Row],[Booking Date]]&lt;&gt;"",1,0)</f>
        <v>0</v>
      </c>
      <c r="K139" s="12">
        <f>IF(Table1[[#This Row],[Delivery Date]]&lt;&gt;"",1,0)</f>
        <v>0</v>
      </c>
      <c r="L139" s="3" t="s">
        <v>3</v>
      </c>
      <c r="M139" s="3">
        <f>IF(Table1[[#This Row],[Cancellation Status]]&lt;&gt;"Yes",1,0)</f>
        <v>0</v>
      </c>
      <c r="N139" s="3" t="s">
        <v>55</v>
      </c>
      <c r="T13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39" t="str">
        <f>IF(Table1[[#This Row],[Customer Rating]]&gt;=9,"Promoter",IF(Table1[[#This Row],[Customer Rating]]&gt;=7,"Passive","Detractor"))</f>
        <v>Detractor</v>
      </c>
    </row>
    <row r="140" spans="1:21" ht="14.25" customHeight="1" x14ac:dyDescent="0.3">
      <c r="A140" s="3" t="s">
        <v>175</v>
      </c>
      <c r="B140" s="3" t="s">
        <v>29</v>
      </c>
      <c r="C140" s="3" t="s">
        <v>27</v>
      </c>
      <c r="D140" s="14">
        <v>45957</v>
      </c>
      <c r="E140" s="11">
        <f>1</f>
        <v>1</v>
      </c>
      <c r="F140" s="14">
        <v>45960</v>
      </c>
      <c r="G140" s="11">
        <f>IF(Table1[[#This Row],[Pre-Booking Date]]&lt;&gt;"",1,0)</f>
        <v>1</v>
      </c>
      <c r="H140" s="4">
        <v>45965</v>
      </c>
      <c r="I140" s="11">
        <f>IF(Table1[[#This Row],[Booking Date]]&lt;&gt;"",1,0)</f>
        <v>1</v>
      </c>
      <c r="J140" s="30">
        <v>45968</v>
      </c>
      <c r="K140" s="11">
        <f>IF(Table1[[#This Row],[Delivery Date]]&lt;&gt;"",1,0)</f>
        <v>1</v>
      </c>
      <c r="L140" s="3" t="s">
        <v>2</v>
      </c>
      <c r="M140" s="3">
        <f>IF(Table1[[#This Row],[Cancellation Status]]&lt;&gt;"Yes",1,0)</f>
        <v>1</v>
      </c>
      <c r="O140" s="30">
        <v>45991</v>
      </c>
      <c r="P140" s="3">
        <v>3</v>
      </c>
      <c r="Q140" s="3">
        <v>5</v>
      </c>
      <c r="R140" s="3">
        <v>3</v>
      </c>
      <c r="S140" s="3">
        <v>3</v>
      </c>
      <c r="T14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40" t="str">
        <f>IF(Table1[[#This Row],[Customer Rating]]&gt;=9,"Promoter",IF(Table1[[#This Row],[Customer Rating]]&gt;=7,"Passive","Detractor"))</f>
        <v>Detractor</v>
      </c>
    </row>
    <row r="141" spans="1:21" ht="14.25" customHeight="1" x14ac:dyDescent="0.3">
      <c r="A141" s="3" t="s">
        <v>176</v>
      </c>
      <c r="B141" s="3" t="s">
        <v>32</v>
      </c>
      <c r="C141" s="3" t="s">
        <v>33</v>
      </c>
      <c r="D141" s="14">
        <v>45957</v>
      </c>
      <c r="E141" s="11">
        <f>1</f>
        <v>1</v>
      </c>
      <c r="G141" s="12">
        <f>IF(Table1[[#This Row],[Pre-Booking Date]]&lt;&gt;"",1,0)</f>
        <v>0</v>
      </c>
      <c r="I141" s="12">
        <f>IF(Table1[[#This Row],[Booking Date]]&lt;&gt;"",1,0)</f>
        <v>0</v>
      </c>
      <c r="K141" s="12">
        <f>IF(Table1[[#This Row],[Delivery Date]]&lt;&gt;"",1,0)</f>
        <v>0</v>
      </c>
      <c r="L141" s="3" t="s">
        <v>3</v>
      </c>
      <c r="M141" s="3">
        <f>IF(Table1[[#This Row],[Cancellation Status]]&lt;&gt;"Yes",1,0)</f>
        <v>0</v>
      </c>
      <c r="N141" s="3" t="s">
        <v>52</v>
      </c>
      <c r="T14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41" t="str">
        <f>IF(Table1[[#This Row],[Customer Rating]]&gt;=9,"Promoter",IF(Table1[[#This Row],[Customer Rating]]&gt;=7,"Passive","Detractor"))</f>
        <v>Detractor</v>
      </c>
    </row>
    <row r="142" spans="1:21" ht="14.25" customHeight="1" x14ac:dyDescent="0.3">
      <c r="A142" s="3" t="s">
        <v>177</v>
      </c>
      <c r="B142" s="3" t="s">
        <v>39</v>
      </c>
      <c r="C142" s="3" t="s">
        <v>27</v>
      </c>
      <c r="D142" s="14">
        <v>45957</v>
      </c>
      <c r="E142" s="11">
        <f>1</f>
        <v>1</v>
      </c>
      <c r="F142" s="14">
        <v>45959</v>
      </c>
      <c r="G142" s="11">
        <f>IF(Table1[[#This Row],[Pre-Booking Date]]&lt;&gt;"",1,0)</f>
        <v>1</v>
      </c>
      <c r="H142" s="4">
        <v>45961</v>
      </c>
      <c r="I142" s="11">
        <f>IF(Table1[[#This Row],[Booking Date]]&lt;&gt;"",1,0)</f>
        <v>1</v>
      </c>
      <c r="J142" s="30">
        <v>45968</v>
      </c>
      <c r="K142" s="11">
        <f>IF(Table1[[#This Row],[Delivery Date]]&lt;&gt;"",1,0)</f>
        <v>1</v>
      </c>
      <c r="L142" s="3" t="s">
        <v>2</v>
      </c>
      <c r="M142" s="3">
        <f>IF(Table1[[#This Row],[Cancellation Status]]&lt;&gt;"Yes",1,0)</f>
        <v>1</v>
      </c>
      <c r="O142" s="30">
        <v>45996</v>
      </c>
      <c r="P142" s="3">
        <v>2</v>
      </c>
      <c r="Q142" s="3">
        <v>2</v>
      </c>
      <c r="R142" s="3">
        <v>7</v>
      </c>
      <c r="S142" s="3">
        <v>5</v>
      </c>
      <c r="T14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42" t="str">
        <f>IF(Table1[[#This Row],[Customer Rating]]&gt;=9,"Promoter",IF(Table1[[#This Row],[Customer Rating]]&gt;=7,"Passive","Detractor"))</f>
        <v>Detractor</v>
      </c>
    </row>
    <row r="143" spans="1:21" ht="14.25" customHeight="1" x14ac:dyDescent="0.3">
      <c r="A143" s="3" t="s">
        <v>178</v>
      </c>
      <c r="B143" s="3" t="s">
        <v>26</v>
      </c>
      <c r="C143" s="3" t="s">
        <v>30</v>
      </c>
      <c r="D143" s="14">
        <v>45957</v>
      </c>
      <c r="E143" s="11">
        <f>1</f>
        <v>1</v>
      </c>
      <c r="F143" s="14">
        <v>45961</v>
      </c>
      <c r="G143" s="11">
        <f>IF(Table1[[#This Row],[Pre-Booking Date]]&lt;&gt;"",1,0)</f>
        <v>1</v>
      </c>
      <c r="H143" s="4">
        <v>45963</v>
      </c>
      <c r="I143" s="11">
        <f>IF(Table1[[#This Row],[Booking Date]]&lt;&gt;"",1,0)</f>
        <v>1</v>
      </c>
      <c r="J143" s="30">
        <v>45970</v>
      </c>
      <c r="K143" s="11">
        <f>IF(Table1[[#This Row],[Delivery Date]]&lt;&gt;"",1,0)</f>
        <v>1</v>
      </c>
      <c r="L143" s="3" t="s">
        <v>2</v>
      </c>
      <c r="M143" s="3">
        <f>IF(Table1[[#This Row],[Cancellation Status]]&lt;&gt;"Yes",1,0)</f>
        <v>1</v>
      </c>
      <c r="O143" s="30">
        <v>45988</v>
      </c>
      <c r="P143" s="3">
        <v>4</v>
      </c>
      <c r="Q143" s="3">
        <v>2</v>
      </c>
      <c r="R143" s="3">
        <v>7</v>
      </c>
      <c r="S143" s="3">
        <v>0</v>
      </c>
      <c r="T14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43" t="str">
        <f>IF(Table1[[#This Row],[Customer Rating]]&gt;=9,"Promoter",IF(Table1[[#This Row],[Customer Rating]]&gt;=7,"Passive","Detractor"))</f>
        <v>Detractor</v>
      </c>
    </row>
    <row r="144" spans="1:21" ht="14.25" customHeight="1" x14ac:dyDescent="0.3">
      <c r="A144" s="3" t="s">
        <v>179</v>
      </c>
      <c r="B144" s="3" t="s">
        <v>39</v>
      </c>
      <c r="C144" s="3" t="s">
        <v>27</v>
      </c>
      <c r="D144" s="14">
        <v>45957</v>
      </c>
      <c r="E144" s="11">
        <f>1</f>
        <v>1</v>
      </c>
      <c r="F144" s="14">
        <v>45961</v>
      </c>
      <c r="G144" s="11">
        <f>IF(Table1[[#This Row],[Pre-Booking Date]]&lt;&gt;"",1,0)</f>
        <v>1</v>
      </c>
      <c r="H144" s="4">
        <v>45966</v>
      </c>
      <c r="I144" s="11">
        <f>IF(Table1[[#This Row],[Booking Date]]&lt;&gt;"",1,0)</f>
        <v>1</v>
      </c>
      <c r="J144" s="30">
        <v>45969</v>
      </c>
      <c r="K144" s="11">
        <f>IF(Table1[[#This Row],[Delivery Date]]&lt;&gt;"",1,0)</f>
        <v>1</v>
      </c>
      <c r="L144" s="3" t="s">
        <v>2</v>
      </c>
      <c r="M144" s="3">
        <f>IF(Table1[[#This Row],[Cancellation Status]]&lt;&gt;"Yes",1,0)</f>
        <v>1</v>
      </c>
      <c r="O144" s="30">
        <v>45994</v>
      </c>
      <c r="P144" s="3">
        <v>4</v>
      </c>
      <c r="Q144" s="3">
        <v>5</v>
      </c>
      <c r="R144" s="3">
        <v>3</v>
      </c>
      <c r="S144" s="3">
        <v>2</v>
      </c>
      <c r="T14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44" t="str">
        <f>IF(Table1[[#This Row],[Customer Rating]]&gt;=9,"Promoter",IF(Table1[[#This Row],[Customer Rating]]&gt;=7,"Passive","Detractor"))</f>
        <v>Detractor</v>
      </c>
    </row>
    <row r="145" spans="1:21" ht="14.25" customHeight="1" x14ac:dyDescent="0.3">
      <c r="A145" s="3" t="s">
        <v>180</v>
      </c>
      <c r="B145" s="3" t="s">
        <v>26</v>
      </c>
      <c r="C145" s="3" t="s">
        <v>33</v>
      </c>
      <c r="D145" s="14">
        <v>45957</v>
      </c>
      <c r="E145" s="11">
        <f>1</f>
        <v>1</v>
      </c>
      <c r="G145" s="12">
        <f>IF(Table1[[#This Row],[Pre-Booking Date]]&lt;&gt;"",1,0)</f>
        <v>0</v>
      </c>
      <c r="I145" s="12">
        <f>IF(Table1[[#This Row],[Booking Date]]&lt;&gt;"",1,0)</f>
        <v>0</v>
      </c>
      <c r="K145" s="12">
        <f>IF(Table1[[#This Row],[Delivery Date]]&lt;&gt;"",1,0)</f>
        <v>0</v>
      </c>
      <c r="L145" s="3" t="s">
        <v>3</v>
      </c>
      <c r="M145" s="3">
        <f>IF(Table1[[#This Row],[Cancellation Status]]&lt;&gt;"Yes",1,0)</f>
        <v>0</v>
      </c>
      <c r="N145" s="3" t="s">
        <v>52</v>
      </c>
      <c r="T14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45" t="str">
        <f>IF(Table1[[#This Row],[Customer Rating]]&gt;=9,"Promoter",IF(Table1[[#This Row],[Customer Rating]]&gt;=7,"Passive","Detractor"))</f>
        <v>Detractor</v>
      </c>
    </row>
    <row r="146" spans="1:21" ht="14.25" customHeight="1" x14ac:dyDescent="0.3">
      <c r="A146" s="3" t="s">
        <v>181</v>
      </c>
      <c r="B146" s="3" t="s">
        <v>29</v>
      </c>
      <c r="C146" s="3" t="s">
        <v>27</v>
      </c>
      <c r="D146" s="14">
        <v>45957</v>
      </c>
      <c r="E146" s="11">
        <f>1</f>
        <v>1</v>
      </c>
      <c r="F146" s="14">
        <v>45958</v>
      </c>
      <c r="G146" s="11">
        <f>IF(Table1[[#This Row],[Pre-Booking Date]]&lt;&gt;"",1,0)</f>
        <v>1</v>
      </c>
      <c r="H146" s="4">
        <v>45963</v>
      </c>
      <c r="I146" s="11">
        <f>IF(Table1[[#This Row],[Booking Date]]&lt;&gt;"",1,0)</f>
        <v>1</v>
      </c>
      <c r="J146" s="30">
        <v>45969</v>
      </c>
      <c r="K146" s="11">
        <f>IF(Table1[[#This Row],[Delivery Date]]&lt;&gt;"",1,0)</f>
        <v>1</v>
      </c>
      <c r="L146" s="3" t="s">
        <v>2</v>
      </c>
      <c r="M146" s="3">
        <f>IF(Table1[[#This Row],[Cancellation Status]]&lt;&gt;"Yes",1,0)</f>
        <v>1</v>
      </c>
      <c r="O146" s="30">
        <v>45983</v>
      </c>
      <c r="P146" s="3">
        <v>1</v>
      </c>
      <c r="Q146" s="3">
        <v>5</v>
      </c>
      <c r="R146" s="3">
        <v>6</v>
      </c>
      <c r="S146" s="3">
        <v>1</v>
      </c>
      <c r="T14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46" t="str">
        <f>IF(Table1[[#This Row],[Customer Rating]]&gt;=9,"Promoter",IF(Table1[[#This Row],[Customer Rating]]&gt;=7,"Passive","Detractor"))</f>
        <v>Detractor</v>
      </c>
    </row>
    <row r="147" spans="1:21" ht="14.25" customHeight="1" x14ac:dyDescent="0.3">
      <c r="A147" s="3" t="s">
        <v>182</v>
      </c>
      <c r="B147" s="3" t="s">
        <v>39</v>
      </c>
      <c r="C147" s="3" t="s">
        <v>30</v>
      </c>
      <c r="D147" s="14">
        <v>45957</v>
      </c>
      <c r="E147" s="11">
        <f>1</f>
        <v>1</v>
      </c>
      <c r="F147" s="14">
        <v>45961</v>
      </c>
      <c r="G147" s="11">
        <f>IF(Table1[[#This Row],[Pre-Booking Date]]&lt;&gt;"",1,0)</f>
        <v>1</v>
      </c>
      <c r="H147" s="4">
        <v>45963</v>
      </c>
      <c r="I147" s="11">
        <f>IF(Table1[[#This Row],[Booking Date]]&lt;&gt;"",1,0)</f>
        <v>1</v>
      </c>
      <c r="J147" s="30">
        <v>45966</v>
      </c>
      <c r="K147" s="11">
        <f>IF(Table1[[#This Row],[Delivery Date]]&lt;&gt;"",1,0)</f>
        <v>1</v>
      </c>
      <c r="L147" s="3" t="s">
        <v>2</v>
      </c>
      <c r="M147" s="3">
        <f>IF(Table1[[#This Row],[Cancellation Status]]&lt;&gt;"Yes",1,0)</f>
        <v>1</v>
      </c>
      <c r="O147" s="30">
        <v>45994</v>
      </c>
      <c r="P147" s="3">
        <v>4</v>
      </c>
      <c r="Q147" s="3">
        <v>2</v>
      </c>
      <c r="R147" s="3">
        <v>3</v>
      </c>
      <c r="S147" s="3">
        <v>4</v>
      </c>
      <c r="T14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47" t="str">
        <f>IF(Table1[[#This Row],[Customer Rating]]&gt;=9,"Promoter",IF(Table1[[#This Row],[Customer Rating]]&gt;=7,"Passive","Detractor"))</f>
        <v>Detractor</v>
      </c>
    </row>
    <row r="148" spans="1:21" ht="14.25" customHeight="1" x14ac:dyDescent="0.3">
      <c r="A148" s="3" t="s">
        <v>183</v>
      </c>
      <c r="B148" s="3" t="s">
        <v>32</v>
      </c>
      <c r="C148" s="3" t="s">
        <v>27</v>
      </c>
      <c r="D148" s="14">
        <v>45957</v>
      </c>
      <c r="E148" s="11">
        <f>1</f>
        <v>1</v>
      </c>
      <c r="F148" s="14">
        <v>45960</v>
      </c>
      <c r="G148" s="11">
        <f>IF(Table1[[#This Row],[Pre-Booking Date]]&lt;&gt;"",1,0)</f>
        <v>1</v>
      </c>
      <c r="H148" s="4">
        <v>45962</v>
      </c>
      <c r="I148" s="11">
        <f>IF(Table1[[#This Row],[Booking Date]]&lt;&gt;"",1,0)</f>
        <v>1</v>
      </c>
      <c r="J148" s="30">
        <v>45964</v>
      </c>
      <c r="K148" s="11">
        <f>IF(Table1[[#This Row],[Delivery Date]]&lt;&gt;"",1,0)</f>
        <v>1</v>
      </c>
      <c r="L148" s="3" t="s">
        <v>2</v>
      </c>
      <c r="M148" s="3">
        <f>IF(Table1[[#This Row],[Cancellation Status]]&lt;&gt;"Yes",1,0)</f>
        <v>1</v>
      </c>
      <c r="O148" s="30">
        <v>45992</v>
      </c>
      <c r="P148" s="3">
        <v>3</v>
      </c>
      <c r="Q148" s="3">
        <v>2</v>
      </c>
      <c r="R148" s="3">
        <v>2</v>
      </c>
      <c r="S148" s="3">
        <v>1</v>
      </c>
      <c r="T14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48" t="str">
        <f>IF(Table1[[#This Row],[Customer Rating]]&gt;=9,"Promoter",IF(Table1[[#This Row],[Customer Rating]]&gt;=7,"Passive","Detractor"))</f>
        <v>Detractor</v>
      </c>
    </row>
    <row r="149" spans="1:21" ht="14.25" customHeight="1" x14ac:dyDescent="0.3">
      <c r="A149" s="3" t="s">
        <v>184</v>
      </c>
      <c r="B149" s="3" t="s">
        <v>32</v>
      </c>
      <c r="C149" s="3" t="s">
        <v>33</v>
      </c>
      <c r="D149" s="14">
        <v>45957</v>
      </c>
      <c r="E149" s="11">
        <f>1</f>
        <v>1</v>
      </c>
      <c r="G149" s="12">
        <f>IF(Table1[[#This Row],[Pre-Booking Date]]&lt;&gt;"",1,0)</f>
        <v>0</v>
      </c>
      <c r="I149" s="12">
        <f>IF(Table1[[#This Row],[Booking Date]]&lt;&gt;"",1,0)</f>
        <v>0</v>
      </c>
      <c r="K149" s="12">
        <f>IF(Table1[[#This Row],[Delivery Date]]&lt;&gt;"",1,0)</f>
        <v>0</v>
      </c>
      <c r="L149" s="3" t="s">
        <v>3</v>
      </c>
      <c r="M149" s="3">
        <f>IF(Table1[[#This Row],[Cancellation Status]]&lt;&gt;"Yes",1,0)</f>
        <v>0</v>
      </c>
      <c r="N149" s="3" t="s">
        <v>37</v>
      </c>
      <c r="T14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49" t="str">
        <f>IF(Table1[[#This Row],[Customer Rating]]&gt;=9,"Promoter",IF(Table1[[#This Row],[Customer Rating]]&gt;=7,"Passive","Detractor"))</f>
        <v>Detractor</v>
      </c>
    </row>
    <row r="150" spans="1:21" ht="14.25" customHeight="1" x14ac:dyDescent="0.3">
      <c r="A150" s="3" t="s">
        <v>185</v>
      </c>
      <c r="B150" s="3" t="s">
        <v>39</v>
      </c>
      <c r="C150" s="3" t="s">
        <v>30</v>
      </c>
      <c r="D150" s="14">
        <v>45957</v>
      </c>
      <c r="E150" s="11">
        <f>1</f>
        <v>1</v>
      </c>
      <c r="F150" s="14">
        <v>45962</v>
      </c>
      <c r="G150" s="11">
        <f>IF(Table1[[#This Row],[Pre-Booking Date]]&lt;&gt;"",1,0)</f>
        <v>1</v>
      </c>
      <c r="H150" s="4">
        <v>45963</v>
      </c>
      <c r="I150" s="11">
        <f>IF(Table1[[#This Row],[Booking Date]]&lt;&gt;"",1,0)</f>
        <v>1</v>
      </c>
      <c r="J150" s="30">
        <v>45965</v>
      </c>
      <c r="K150" s="11">
        <f>IF(Table1[[#This Row],[Delivery Date]]&lt;&gt;"",1,0)</f>
        <v>1</v>
      </c>
      <c r="L150" s="3" t="s">
        <v>3</v>
      </c>
      <c r="M150" s="3">
        <f>IF(Table1[[#This Row],[Cancellation Status]]&lt;&gt;"Yes",1,0)</f>
        <v>0</v>
      </c>
      <c r="N150" s="3" t="s">
        <v>52</v>
      </c>
      <c r="P150" s="3">
        <v>5</v>
      </c>
      <c r="Q150" s="3">
        <v>1</v>
      </c>
      <c r="R150" s="3">
        <v>2</v>
      </c>
      <c r="T15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50" t="str">
        <f>IF(Table1[[#This Row],[Customer Rating]]&gt;=9,"Promoter",IF(Table1[[#This Row],[Customer Rating]]&gt;=7,"Passive","Detractor"))</f>
        <v>Detractor</v>
      </c>
    </row>
    <row r="151" spans="1:21" ht="14.25" customHeight="1" x14ac:dyDescent="0.3">
      <c r="A151" s="3" t="s">
        <v>186</v>
      </c>
      <c r="B151" s="3" t="s">
        <v>32</v>
      </c>
      <c r="C151" s="3" t="s">
        <v>27</v>
      </c>
      <c r="D151" s="14">
        <v>45957</v>
      </c>
      <c r="E151" s="11">
        <f>1</f>
        <v>1</v>
      </c>
      <c r="F151" s="14">
        <v>45960</v>
      </c>
      <c r="G151" s="11">
        <f>IF(Table1[[#This Row],[Pre-Booking Date]]&lt;&gt;"",1,0)</f>
        <v>1</v>
      </c>
      <c r="H151" s="4">
        <v>45962</v>
      </c>
      <c r="I151" s="11">
        <f>IF(Table1[[#This Row],[Booking Date]]&lt;&gt;"",1,0)</f>
        <v>1</v>
      </c>
      <c r="J151" s="30">
        <v>45968</v>
      </c>
      <c r="K151" s="11">
        <f>IF(Table1[[#This Row],[Delivery Date]]&lt;&gt;"",1,0)</f>
        <v>1</v>
      </c>
      <c r="L151" s="3" t="s">
        <v>2</v>
      </c>
      <c r="M151" s="3">
        <f>IF(Table1[[#This Row],[Cancellation Status]]&lt;&gt;"Yes",1,0)</f>
        <v>1</v>
      </c>
      <c r="O151" s="30">
        <v>45994</v>
      </c>
      <c r="P151" s="3">
        <v>3</v>
      </c>
      <c r="Q151" s="3">
        <v>2</v>
      </c>
      <c r="R151" s="3">
        <v>6</v>
      </c>
      <c r="S151" s="3">
        <v>7</v>
      </c>
      <c r="T15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51" t="str">
        <f>IF(Table1[[#This Row],[Customer Rating]]&gt;=9,"Promoter",IF(Table1[[#This Row],[Customer Rating]]&gt;=7,"Passive","Detractor"))</f>
        <v>Passive</v>
      </c>
    </row>
    <row r="152" spans="1:21" ht="14.25" customHeight="1" x14ac:dyDescent="0.3">
      <c r="A152" s="3" t="s">
        <v>187</v>
      </c>
      <c r="B152" s="3" t="s">
        <v>29</v>
      </c>
      <c r="C152" s="3" t="s">
        <v>30</v>
      </c>
      <c r="D152" s="14">
        <v>45957</v>
      </c>
      <c r="E152" s="11">
        <f>1</f>
        <v>1</v>
      </c>
      <c r="F152" s="14">
        <v>45962</v>
      </c>
      <c r="G152" s="11">
        <f>IF(Table1[[#This Row],[Pre-Booking Date]]&lt;&gt;"",1,0)</f>
        <v>1</v>
      </c>
      <c r="H152" s="4">
        <v>45966</v>
      </c>
      <c r="I152" s="11">
        <f>IF(Table1[[#This Row],[Booking Date]]&lt;&gt;"",1,0)</f>
        <v>1</v>
      </c>
      <c r="J152" s="30">
        <v>45968</v>
      </c>
      <c r="K152" s="11">
        <f>IF(Table1[[#This Row],[Delivery Date]]&lt;&gt;"",1,0)</f>
        <v>1</v>
      </c>
      <c r="L152" s="3" t="s">
        <v>2</v>
      </c>
      <c r="M152" s="3">
        <f>IF(Table1[[#This Row],[Cancellation Status]]&lt;&gt;"Yes",1,0)</f>
        <v>1</v>
      </c>
      <c r="O152" s="30">
        <v>45983</v>
      </c>
      <c r="P152" s="3">
        <v>5</v>
      </c>
      <c r="Q152" s="3">
        <v>4</v>
      </c>
      <c r="R152" s="3">
        <v>2</v>
      </c>
      <c r="S152" s="3">
        <v>4</v>
      </c>
      <c r="T15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52" t="str">
        <f>IF(Table1[[#This Row],[Customer Rating]]&gt;=9,"Promoter",IF(Table1[[#This Row],[Customer Rating]]&gt;=7,"Passive","Detractor"))</f>
        <v>Detractor</v>
      </c>
    </row>
    <row r="153" spans="1:21" ht="14.25" customHeight="1" x14ac:dyDescent="0.3">
      <c r="A153" s="3" t="s">
        <v>188</v>
      </c>
      <c r="B153" s="3" t="s">
        <v>26</v>
      </c>
      <c r="C153" s="3" t="s">
        <v>33</v>
      </c>
      <c r="D153" s="14">
        <v>45957</v>
      </c>
      <c r="E153" s="11">
        <f>1</f>
        <v>1</v>
      </c>
      <c r="G153" s="12">
        <f>IF(Table1[[#This Row],[Pre-Booking Date]]&lt;&gt;"",1,0)</f>
        <v>0</v>
      </c>
      <c r="I153" s="12">
        <f>IF(Table1[[#This Row],[Booking Date]]&lt;&gt;"",1,0)</f>
        <v>0</v>
      </c>
      <c r="K153" s="12">
        <f>IF(Table1[[#This Row],[Delivery Date]]&lt;&gt;"",1,0)</f>
        <v>0</v>
      </c>
      <c r="L153" s="3" t="s">
        <v>3</v>
      </c>
      <c r="M153" s="3">
        <f>IF(Table1[[#This Row],[Cancellation Status]]&lt;&gt;"Yes",1,0)</f>
        <v>0</v>
      </c>
      <c r="N153" s="3" t="s">
        <v>42</v>
      </c>
      <c r="T15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53" t="str">
        <f>IF(Table1[[#This Row],[Customer Rating]]&gt;=9,"Promoter",IF(Table1[[#This Row],[Customer Rating]]&gt;=7,"Passive","Detractor"))</f>
        <v>Detractor</v>
      </c>
    </row>
    <row r="154" spans="1:21" ht="14.25" customHeight="1" x14ac:dyDescent="0.3">
      <c r="A154" s="3" t="s">
        <v>189</v>
      </c>
      <c r="B154" s="3" t="s">
        <v>39</v>
      </c>
      <c r="C154" s="3" t="s">
        <v>33</v>
      </c>
      <c r="D154" s="14">
        <v>45957</v>
      </c>
      <c r="E154" s="11">
        <f>1</f>
        <v>1</v>
      </c>
      <c r="G154" s="12">
        <f>IF(Table1[[#This Row],[Pre-Booking Date]]&lt;&gt;"",1,0)</f>
        <v>0</v>
      </c>
      <c r="I154" s="12">
        <f>IF(Table1[[#This Row],[Booking Date]]&lt;&gt;"",1,0)</f>
        <v>0</v>
      </c>
      <c r="K154" s="12">
        <f>IF(Table1[[#This Row],[Delivery Date]]&lt;&gt;"",1,0)</f>
        <v>0</v>
      </c>
      <c r="L154" s="3" t="s">
        <v>3</v>
      </c>
      <c r="M154" s="3">
        <f>IF(Table1[[#This Row],[Cancellation Status]]&lt;&gt;"Yes",1,0)</f>
        <v>0</v>
      </c>
      <c r="N154" s="3" t="s">
        <v>55</v>
      </c>
      <c r="T15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54" t="str">
        <f>IF(Table1[[#This Row],[Customer Rating]]&gt;=9,"Promoter",IF(Table1[[#This Row],[Customer Rating]]&gt;=7,"Passive","Detractor"))</f>
        <v>Detractor</v>
      </c>
    </row>
    <row r="155" spans="1:21" ht="14.25" customHeight="1" x14ac:dyDescent="0.3">
      <c r="A155" s="3" t="s">
        <v>190</v>
      </c>
      <c r="B155" s="3" t="s">
        <v>29</v>
      </c>
      <c r="C155" s="3" t="s">
        <v>27</v>
      </c>
      <c r="D155" s="14">
        <v>45957</v>
      </c>
      <c r="E155" s="11">
        <f>1</f>
        <v>1</v>
      </c>
      <c r="F155" s="14">
        <v>45960</v>
      </c>
      <c r="G155" s="11">
        <f>IF(Table1[[#This Row],[Pre-Booking Date]]&lt;&gt;"",1,0)</f>
        <v>1</v>
      </c>
      <c r="H155" s="4">
        <v>45964</v>
      </c>
      <c r="I155" s="11">
        <f>IF(Table1[[#This Row],[Booking Date]]&lt;&gt;"",1,0)</f>
        <v>1</v>
      </c>
      <c r="J155" s="30">
        <v>45969</v>
      </c>
      <c r="K155" s="11">
        <f>IF(Table1[[#This Row],[Delivery Date]]&lt;&gt;"",1,0)</f>
        <v>1</v>
      </c>
      <c r="L155" s="3" t="s">
        <v>2</v>
      </c>
      <c r="M155" s="3">
        <f>IF(Table1[[#This Row],[Cancellation Status]]&lt;&gt;"Yes",1,0)</f>
        <v>1</v>
      </c>
      <c r="O155" s="30">
        <v>45991</v>
      </c>
      <c r="P155" s="3">
        <v>3</v>
      </c>
      <c r="Q155" s="3">
        <v>4</v>
      </c>
      <c r="R155" s="3">
        <v>5</v>
      </c>
      <c r="S155" s="3">
        <v>5</v>
      </c>
      <c r="T15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55" t="str">
        <f>IF(Table1[[#This Row],[Customer Rating]]&gt;=9,"Promoter",IF(Table1[[#This Row],[Customer Rating]]&gt;=7,"Passive","Detractor"))</f>
        <v>Detractor</v>
      </c>
    </row>
    <row r="156" spans="1:21" ht="14.25" customHeight="1" x14ac:dyDescent="0.3">
      <c r="A156" s="3" t="s">
        <v>191</v>
      </c>
      <c r="B156" s="3" t="s">
        <v>29</v>
      </c>
      <c r="C156" s="3" t="s">
        <v>27</v>
      </c>
      <c r="D156" s="14">
        <v>45957</v>
      </c>
      <c r="E156" s="11">
        <f>1</f>
        <v>1</v>
      </c>
      <c r="F156" s="14">
        <v>45958</v>
      </c>
      <c r="G156" s="11">
        <f>IF(Table1[[#This Row],[Pre-Booking Date]]&lt;&gt;"",1,0)</f>
        <v>1</v>
      </c>
      <c r="H156" s="4">
        <v>45961</v>
      </c>
      <c r="I156" s="11">
        <f>IF(Table1[[#This Row],[Booking Date]]&lt;&gt;"",1,0)</f>
        <v>1</v>
      </c>
      <c r="J156" s="30">
        <v>45966</v>
      </c>
      <c r="K156" s="11">
        <f>IF(Table1[[#This Row],[Delivery Date]]&lt;&gt;"",1,0)</f>
        <v>1</v>
      </c>
      <c r="L156" s="3" t="s">
        <v>2</v>
      </c>
      <c r="M156" s="3">
        <f>IF(Table1[[#This Row],[Cancellation Status]]&lt;&gt;"Yes",1,0)</f>
        <v>1</v>
      </c>
      <c r="O156" s="30">
        <v>45977</v>
      </c>
      <c r="P156" s="3">
        <v>1</v>
      </c>
      <c r="Q156" s="3">
        <v>3</v>
      </c>
      <c r="R156" s="3">
        <v>5</v>
      </c>
      <c r="S156" s="3">
        <v>2</v>
      </c>
      <c r="T15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56" t="str">
        <f>IF(Table1[[#This Row],[Customer Rating]]&gt;=9,"Promoter",IF(Table1[[#This Row],[Customer Rating]]&gt;=7,"Passive","Detractor"))</f>
        <v>Detractor</v>
      </c>
    </row>
    <row r="157" spans="1:21" ht="14.25" customHeight="1" x14ac:dyDescent="0.3">
      <c r="A157" s="3" t="s">
        <v>192</v>
      </c>
      <c r="B157" s="3" t="s">
        <v>29</v>
      </c>
      <c r="C157" s="3" t="s">
        <v>27</v>
      </c>
      <c r="D157" s="14">
        <v>45957</v>
      </c>
      <c r="E157" s="11">
        <f>1</f>
        <v>1</v>
      </c>
      <c r="F157" s="14">
        <v>45960</v>
      </c>
      <c r="G157" s="11">
        <f>IF(Table1[[#This Row],[Pre-Booking Date]]&lt;&gt;"",1,0)</f>
        <v>1</v>
      </c>
      <c r="H157" s="4">
        <v>45964</v>
      </c>
      <c r="I157" s="11">
        <f>IF(Table1[[#This Row],[Booking Date]]&lt;&gt;"",1,0)</f>
        <v>1</v>
      </c>
      <c r="J157" s="30">
        <v>45971</v>
      </c>
      <c r="K157" s="11">
        <f>IF(Table1[[#This Row],[Delivery Date]]&lt;&gt;"",1,0)</f>
        <v>1</v>
      </c>
      <c r="L157" s="3" t="s">
        <v>2</v>
      </c>
      <c r="M157" s="3">
        <f>IF(Table1[[#This Row],[Cancellation Status]]&lt;&gt;"Yes",1,0)</f>
        <v>1</v>
      </c>
      <c r="O157" s="30">
        <v>45997</v>
      </c>
      <c r="P157" s="3">
        <v>3</v>
      </c>
      <c r="Q157" s="3">
        <v>4</v>
      </c>
      <c r="R157" s="3">
        <v>7</v>
      </c>
      <c r="S157" s="3">
        <v>2</v>
      </c>
      <c r="T15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57" t="str">
        <f>IF(Table1[[#This Row],[Customer Rating]]&gt;=9,"Promoter",IF(Table1[[#This Row],[Customer Rating]]&gt;=7,"Passive","Detractor"))</f>
        <v>Detractor</v>
      </c>
    </row>
    <row r="158" spans="1:21" ht="14.25" customHeight="1" x14ac:dyDescent="0.3">
      <c r="A158" s="3" t="s">
        <v>193</v>
      </c>
      <c r="B158" s="3" t="s">
        <v>29</v>
      </c>
      <c r="C158" s="3" t="s">
        <v>27</v>
      </c>
      <c r="D158" s="14">
        <v>45957</v>
      </c>
      <c r="E158" s="11">
        <f>1</f>
        <v>1</v>
      </c>
      <c r="F158" s="14">
        <v>45959</v>
      </c>
      <c r="G158" s="11">
        <f>IF(Table1[[#This Row],[Pre-Booking Date]]&lt;&gt;"",1,0)</f>
        <v>1</v>
      </c>
      <c r="H158" s="4">
        <v>45961</v>
      </c>
      <c r="I158" s="11">
        <f>IF(Table1[[#This Row],[Booking Date]]&lt;&gt;"",1,0)</f>
        <v>1</v>
      </c>
      <c r="J158" s="30">
        <v>45966</v>
      </c>
      <c r="K158" s="11">
        <f>IF(Table1[[#This Row],[Delivery Date]]&lt;&gt;"",1,0)</f>
        <v>1</v>
      </c>
      <c r="L158" s="3" t="s">
        <v>2</v>
      </c>
      <c r="M158" s="3">
        <f>IF(Table1[[#This Row],[Cancellation Status]]&lt;&gt;"Yes",1,0)</f>
        <v>1</v>
      </c>
      <c r="O158" s="30">
        <v>45985</v>
      </c>
      <c r="P158" s="3">
        <v>2</v>
      </c>
      <c r="Q158" s="3">
        <v>2</v>
      </c>
      <c r="R158" s="3">
        <v>5</v>
      </c>
      <c r="S158" s="3">
        <v>4</v>
      </c>
      <c r="T15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58" t="str">
        <f>IF(Table1[[#This Row],[Customer Rating]]&gt;=9,"Promoter",IF(Table1[[#This Row],[Customer Rating]]&gt;=7,"Passive","Detractor"))</f>
        <v>Detractor</v>
      </c>
    </row>
    <row r="159" spans="1:21" ht="14.25" customHeight="1" x14ac:dyDescent="0.3">
      <c r="A159" s="3" t="s">
        <v>194</v>
      </c>
      <c r="B159" s="3" t="s">
        <v>26</v>
      </c>
      <c r="C159" s="3" t="s">
        <v>30</v>
      </c>
      <c r="D159" s="14">
        <v>45957</v>
      </c>
      <c r="E159" s="11">
        <f>1</f>
        <v>1</v>
      </c>
      <c r="F159" s="14">
        <v>45961</v>
      </c>
      <c r="G159" s="11">
        <f>IF(Table1[[#This Row],[Pre-Booking Date]]&lt;&gt;"",1,0)</f>
        <v>1</v>
      </c>
      <c r="H159" s="4">
        <v>45963</v>
      </c>
      <c r="I159" s="11">
        <f>IF(Table1[[#This Row],[Booking Date]]&lt;&gt;"",1,0)</f>
        <v>1</v>
      </c>
      <c r="J159" s="30">
        <v>45968</v>
      </c>
      <c r="K159" s="11">
        <f>IF(Table1[[#This Row],[Delivery Date]]&lt;&gt;"",1,0)</f>
        <v>1</v>
      </c>
      <c r="L159" s="3" t="s">
        <v>2</v>
      </c>
      <c r="M159" s="3">
        <f>IF(Table1[[#This Row],[Cancellation Status]]&lt;&gt;"Yes",1,0)</f>
        <v>1</v>
      </c>
      <c r="O159" s="30">
        <v>45993</v>
      </c>
      <c r="P159" s="3">
        <v>4</v>
      </c>
      <c r="Q159" s="3">
        <v>2</v>
      </c>
      <c r="R159" s="3">
        <v>5</v>
      </c>
      <c r="S159" s="3">
        <v>7</v>
      </c>
      <c r="T15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59" t="str">
        <f>IF(Table1[[#This Row],[Customer Rating]]&gt;=9,"Promoter",IF(Table1[[#This Row],[Customer Rating]]&gt;=7,"Passive","Detractor"))</f>
        <v>Passive</v>
      </c>
    </row>
    <row r="160" spans="1:21" ht="14.25" customHeight="1" x14ac:dyDescent="0.3">
      <c r="A160" s="3" t="s">
        <v>195</v>
      </c>
      <c r="B160" s="3" t="s">
        <v>39</v>
      </c>
      <c r="C160" s="3" t="s">
        <v>27</v>
      </c>
      <c r="D160" s="14">
        <v>45956</v>
      </c>
      <c r="E160" s="11">
        <f>1</f>
        <v>1</v>
      </c>
      <c r="F160" s="14">
        <v>45957</v>
      </c>
      <c r="G160" s="11">
        <f>IF(Table1[[#This Row],[Pre-Booking Date]]&lt;&gt;"",1,0)</f>
        <v>1</v>
      </c>
      <c r="H160" s="4">
        <v>45962</v>
      </c>
      <c r="I160" s="11">
        <f>IF(Table1[[#This Row],[Booking Date]]&lt;&gt;"",1,0)</f>
        <v>1</v>
      </c>
      <c r="J160" s="30">
        <v>45964</v>
      </c>
      <c r="K160" s="11">
        <f>IF(Table1[[#This Row],[Delivery Date]]&lt;&gt;"",1,0)</f>
        <v>1</v>
      </c>
      <c r="L160" s="3" t="s">
        <v>2</v>
      </c>
      <c r="M160" s="3">
        <f>IF(Table1[[#This Row],[Cancellation Status]]&lt;&gt;"Yes",1,0)</f>
        <v>1</v>
      </c>
      <c r="O160" s="30">
        <v>45979</v>
      </c>
      <c r="P160" s="3">
        <v>1</v>
      </c>
      <c r="Q160" s="3">
        <v>5</v>
      </c>
      <c r="R160" s="3">
        <v>2</v>
      </c>
      <c r="S160" s="3">
        <v>4</v>
      </c>
      <c r="T16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60" t="str">
        <f>IF(Table1[[#This Row],[Customer Rating]]&gt;=9,"Promoter",IF(Table1[[#This Row],[Customer Rating]]&gt;=7,"Passive","Detractor"))</f>
        <v>Detractor</v>
      </c>
    </row>
    <row r="161" spans="1:21" ht="14.25" customHeight="1" x14ac:dyDescent="0.3">
      <c r="A161" s="3" t="s">
        <v>196</v>
      </c>
      <c r="B161" s="3" t="s">
        <v>32</v>
      </c>
      <c r="C161" s="3" t="s">
        <v>30</v>
      </c>
      <c r="D161" s="14">
        <v>45956</v>
      </c>
      <c r="E161" s="11">
        <f>1</f>
        <v>1</v>
      </c>
      <c r="F161" s="14">
        <v>45961</v>
      </c>
      <c r="G161" s="11">
        <f>IF(Table1[[#This Row],[Pre-Booking Date]]&lt;&gt;"",1,0)</f>
        <v>1</v>
      </c>
      <c r="H161" s="4">
        <v>45965</v>
      </c>
      <c r="I161" s="11">
        <f>IF(Table1[[#This Row],[Booking Date]]&lt;&gt;"",1,0)</f>
        <v>1</v>
      </c>
      <c r="J161" s="30">
        <v>45971</v>
      </c>
      <c r="K161" s="11">
        <f>IF(Table1[[#This Row],[Delivery Date]]&lt;&gt;"",1,0)</f>
        <v>1</v>
      </c>
      <c r="L161" s="3" t="s">
        <v>2</v>
      </c>
      <c r="M161" s="3">
        <f>IF(Table1[[#This Row],[Cancellation Status]]&lt;&gt;"Yes",1,0)</f>
        <v>1</v>
      </c>
      <c r="O161" s="30">
        <v>45992</v>
      </c>
      <c r="P161" s="3">
        <v>5</v>
      </c>
      <c r="Q161" s="3">
        <v>4</v>
      </c>
      <c r="R161" s="3">
        <v>6</v>
      </c>
      <c r="S161" s="3">
        <v>9</v>
      </c>
      <c r="T16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61" t="str">
        <f>IF(Table1[[#This Row],[Customer Rating]]&gt;=9,"Promoter",IF(Table1[[#This Row],[Customer Rating]]&gt;=7,"Passive","Detractor"))</f>
        <v>Promoter</v>
      </c>
    </row>
    <row r="162" spans="1:21" ht="14.25" customHeight="1" x14ac:dyDescent="0.3">
      <c r="A162" s="3" t="s">
        <v>197</v>
      </c>
      <c r="B162" s="3" t="s">
        <v>26</v>
      </c>
      <c r="C162" s="3" t="s">
        <v>30</v>
      </c>
      <c r="D162" s="14">
        <v>45956</v>
      </c>
      <c r="E162" s="11">
        <f>1</f>
        <v>1</v>
      </c>
      <c r="F162" s="14">
        <v>45957</v>
      </c>
      <c r="G162" s="11">
        <f>IF(Table1[[#This Row],[Pre-Booking Date]]&lt;&gt;"",1,0)</f>
        <v>1</v>
      </c>
      <c r="H162" s="4">
        <v>45961</v>
      </c>
      <c r="I162" s="11">
        <f>IF(Table1[[#This Row],[Booking Date]]&lt;&gt;"",1,0)</f>
        <v>1</v>
      </c>
      <c r="J162" s="30">
        <v>45966</v>
      </c>
      <c r="K162" s="11">
        <f>IF(Table1[[#This Row],[Delivery Date]]&lt;&gt;"",1,0)</f>
        <v>1</v>
      </c>
      <c r="L162" s="3" t="s">
        <v>2</v>
      </c>
      <c r="M162" s="3">
        <f>IF(Table1[[#This Row],[Cancellation Status]]&lt;&gt;"Yes",1,0)</f>
        <v>1</v>
      </c>
      <c r="O162" s="30">
        <v>45983</v>
      </c>
      <c r="P162" s="3">
        <v>1</v>
      </c>
      <c r="Q162" s="3">
        <v>4</v>
      </c>
      <c r="R162" s="3">
        <v>5</v>
      </c>
      <c r="S162" s="3">
        <v>8</v>
      </c>
      <c r="T16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62" t="str">
        <f>IF(Table1[[#This Row],[Customer Rating]]&gt;=9,"Promoter",IF(Table1[[#This Row],[Customer Rating]]&gt;=7,"Passive","Detractor"))</f>
        <v>Passive</v>
      </c>
    </row>
    <row r="163" spans="1:21" ht="14.25" customHeight="1" x14ac:dyDescent="0.3">
      <c r="A163" s="3" t="s">
        <v>198</v>
      </c>
      <c r="B163" s="3" t="s">
        <v>32</v>
      </c>
      <c r="C163" s="3" t="s">
        <v>33</v>
      </c>
      <c r="D163" s="14">
        <v>45956</v>
      </c>
      <c r="E163" s="11">
        <f>1</f>
        <v>1</v>
      </c>
      <c r="G163" s="12">
        <f>IF(Table1[[#This Row],[Pre-Booking Date]]&lt;&gt;"",1,0)</f>
        <v>0</v>
      </c>
      <c r="I163" s="12">
        <f>IF(Table1[[#This Row],[Booking Date]]&lt;&gt;"",1,0)</f>
        <v>0</v>
      </c>
      <c r="K163" s="12">
        <f>IF(Table1[[#This Row],[Delivery Date]]&lt;&gt;"",1,0)</f>
        <v>0</v>
      </c>
      <c r="L163" s="3" t="s">
        <v>3</v>
      </c>
      <c r="M163" s="3">
        <f>IF(Table1[[#This Row],[Cancellation Status]]&lt;&gt;"Yes",1,0)</f>
        <v>0</v>
      </c>
      <c r="N163" s="3" t="s">
        <v>52</v>
      </c>
      <c r="T16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63" t="str">
        <f>IF(Table1[[#This Row],[Customer Rating]]&gt;=9,"Promoter",IF(Table1[[#This Row],[Customer Rating]]&gt;=7,"Passive","Detractor"))</f>
        <v>Detractor</v>
      </c>
    </row>
    <row r="164" spans="1:21" ht="14.25" customHeight="1" x14ac:dyDescent="0.3">
      <c r="A164" s="3" t="s">
        <v>199</v>
      </c>
      <c r="B164" s="3" t="s">
        <v>32</v>
      </c>
      <c r="C164" s="3" t="s">
        <v>30</v>
      </c>
      <c r="D164" s="14">
        <v>45956</v>
      </c>
      <c r="E164" s="11">
        <f>1</f>
        <v>1</v>
      </c>
      <c r="F164" s="14">
        <v>45961</v>
      </c>
      <c r="G164" s="11">
        <f>IF(Table1[[#This Row],[Pre-Booking Date]]&lt;&gt;"",1,0)</f>
        <v>1</v>
      </c>
      <c r="H164" s="4">
        <v>45962</v>
      </c>
      <c r="I164" s="11">
        <f>IF(Table1[[#This Row],[Booking Date]]&lt;&gt;"",1,0)</f>
        <v>1</v>
      </c>
      <c r="J164" s="30">
        <v>45966</v>
      </c>
      <c r="K164" s="11">
        <f>IF(Table1[[#This Row],[Delivery Date]]&lt;&gt;"",1,0)</f>
        <v>1</v>
      </c>
      <c r="L164" s="3" t="s">
        <v>2</v>
      </c>
      <c r="M164" s="3">
        <f>IF(Table1[[#This Row],[Cancellation Status]]&lt;&gt;"Yes",1,0)</f>
        <v>1</v>
      </c>
      <c r="O164" s="30">
        <v>45993</v>
      </c>
      <c r="P164" s="3">
        <v>5</v>
      </c>
      <c r="Q164" s="3">
        <v>1</v>
      </c>
      <c r="R164" s="3">
        <v>4</v>
      </c>
      <c r="S164" s="3">
        <v>2</v>
      </c>
      <c r="T16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64" t="str">
        <f>IF(Table1[[#This Row],[Customer Rating]]&gt;=9,"Promoter",IF(Table1[[#This Row],[Customer Rating]]&gt;=7,"Passive","Detractor"))</f>
        <v>Detractor</v>
      </c>
    </row>
    <row r="165" spans="1:21" ht="14.25" customHeight="1" x14ac:dyDescent="0.3">
      <c r="A165" s="3" t="s">
        <v>200</v>
      </c>
      <c r="B165" s="3" t="s">
        <v>29</v>
      </c>
      <c r="C165" s="3" t="s">
        <v>33</v>
      </c>
      <c r="D165" s="14">
        <v>45956</v>
      </c>
      <c r="E165" s="11">
        <f>1</f>
        <v>1</v>
      </c>
      <c r="G165" s="12">
        <f>IF(Table1[[#This Row],[Pre-Booking Date]]&lt;&gt;"",1,0)</f>
        <v>0</v>
      </c>
      <c r="I165" s="12">
        <f>IF(Table1[[#This Row],[Booking Date]]&lt;&gt;"",1,0)</f>
        <v>0</v>
      </c>
      <c r="K165" s="12">
        <f>IF(Table1[[#This Row],[Delivery Date]]&lt;&gt;"",1,0)</f>
        <v>0</v>
      </c>
      <c r="L165" s="3" t="s">
        <v>3</v>
      </c>
      <c r="M165" s="3">
        <f>IF(Table1[[#This Row],[Cancellation Status]]&lt;&gt;"Yes",1,0)</f>
        <v>0</v>
      </c>
      <c r="N165" s="3" t="s">
        <v>37</v>
      </c>
      <c r="T16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65" t="str">
        <f>IF(Table1[[#This Row],[Customer Rating]]&gt;=9,"Promoter",IF(Table1[[#This Row],[Customer Rating]]&gt;=7,"Passive","Detractor"))</f>
        <v>Detractor</v>
      </c>
    </row>
    <row r="166" spans="1:21" ht="14.25" customHeight="1" x14ac:dyDescent="0.3">
      <c r="A166" s="3" t="s">
        <v>201</v>
      </c>
      <c r="B166" s="3" t="s">
        <v>32</v>
      </c>
      <c r="C166" s="3" t="s">
        <v>30</v>
      </c>
      <c r="D166" s="14">
        <v>45956</v>
      </c>
      <c r="E166" s="11">
        <f>1</f>
        <v>1</v>
      </c>
      <c r="F166" s="14">
        <v>45961</v>
      </c>
      <c r="G166" s="11">
        <f>IF(Table1[[#This Row],[Pre-Booking Date]]&lt;&gt;"",1,0)</f>
        <v>1</v>
      </c>
      <c r="H166" s="4">
        <v>45963</v>
      </c>
      <c r="I166" s="11">
        <f>IF(Table1[[#This Row],[Booking Date]]&lt;&gt;"",1,0)</f>
        <v>1</v>
      </c>
      <c r="J166" s="30">
        <v>45966</v>
      </c>
      <c r="K166" s="11">
        <f>IF(Table1[[#This Row],[Delivery Date]]&lt;&gt;"",1,0)</f>
        <v>1</v>
      </c>
      <c r="L166" s="3" t="s">
        <v>3</v>
      </c>
      <c r="M166" s="3">
        <f>IF(Table1[[#This Row],[Cancellation Status]]&lt;&gt;"Yes",1,0)</f>
        <v>0</v>
      </c>
      <c r="N166" s="3" t="s">
        <v>37</v>
      </c>
      <c r="P166" s="3">
        <v>5</v>
      </c>
      <c r="Q166" s="3">
        <v>2</v>
      </c>
      <c r="R166" s="3">
        <v>3</v>
      </c>
      <c r="T16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66" t="str">
        <f>IF(Table1[[#This Row],[Customer Rating]]&gt;=9,"Promoter",IF(Table1[[#This Row],[Customer Rating]]&gt;=7,"Passive","Detractor"))</f>
        <v>Detractor</v>
      </c>
    </row>
    <row r="167" spans="1:21" ht="14.25" customHeight="1" x14ac:dyDescent="0.3">
      <c r="A167" s="3" t="s">
        <v>202</v>
      </c>
      <c r="B167" s="3" t="s">
        <v>26</v>
      </c>
      <c r="C167" s="3" t="s">
        <v>33</v>
      </c>
      <c r="D167" s="14">
        <v>45956</v>
      </c>
      <c r="E167" s="11">
        <f>1</f>
        <v>1</v>
      </c>
      <c r="G167" s="12">
        <f>IF(Table1[[#This Row],[Pre-Booking Date]]&lt;&gt;"",1,0)</f>
        <v>0</v>
      </c>
      <c r="I167" s="12">
        <f>IF(Table1[[#This Row],[Booking Date]]&lt;&gt;"",1,0)</f>
        <v>0</v>
      </c>
      <c r="K167" s="12">
        <f>IF(Table1[[#This Row],[Delivery Date]]&lt;&gt;"",1,0)</f>
        <v>0</v>
      </c>
      <c r="L167" s="3" t="s">
        <v>3</v>
      </c>
      <c r="M167" s="3">
        <f>IF(Table1[[#This Row],[Cancellation Status]]&lt;&gt;"Yes",1,0)</f>
        <v>0</v>
      </c>
      <c r="N167" s="3" t="s">
        <v>52</v>
      </c>
      <c r="T16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67" t="str">
        <f>IF(Table1[[#This Row],[Customer Rating]]&gt;=9,"Promoter",IF(Table1[[#This Row],[Customer Rating]]&gt;=7,"Passive","Detractor"))</f>
        <v>Detractor</v>
      </c>
    </row>
    <row r="168" spans="1:21" ht="14.25" customHeight="1" x14ac:dyDescent="0.3">
      <c r="A168" s="3" t="s">
        <v>203</v>
      </c>
      <c r="B168" s="3" t="s">
        <v>29</v>
      </c>
      <c r="C168" s="3" t="s">
        <v>33</v>
      </c>
      <c r="D168" s="14">
        <v>45956</v>
      </c>
      <c r="E168" s="11">
        <f>1</f>
        <v>1</v>
      </c>
      <c r="G168" s="12">
        <f>IF(Table1[[#This Row],[Pre-Booking Date]]&lt;&gt;"",1,0)</f>
        <v>0</v>
      </c>
      <c r="I168" s="12">
        <f>IF(Table1[[#This Row],[Booking Date]]&lt;&gt;"",1,0)</f>
        <v>0</v>
      </c>
      <c r="K168" s="12">
        <f>IF(Table1[[#This Row],[Delivery Date]]&lt;&gt;"",1,0)</f>
        <v>0</v>
      </c>
      <c r="L168" s="3" t="s">
        <v>3</v>
      </c>
      <c r="M168" s="3">
        <f>IF(Table1[[#This Row],[Cancellation Status]]&lt;&gt;"Yes",1,0)</f>
        <v>0</v>
      </c>
      <c r="N168" s="3" t="s">
        <v>52</v>
      </c>
      <c r="T16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68" t="str">
        <f>IF(Table1[[#This Row],[Customer Rating]]&gt;=9,"Promoter",IF(Table1[[#This Row],[Customer Rating]]&gt;=7,"Passive","Detractor"))</f>
        <v>Detractor</v>
      </c>
    </row>
    <row r="169" spans="1:21" ht="14.25" customHeight="1" x14ac:dyDescent="0.3">
      <c r="A169" s="3" t="s">
        <v>204</v>
      </c>
      <c r="B169" s="3" t="s">
        <v>39</v>
      </c>
      <c r="C169" s="3" t="s">
        <v>27</v>
      </c>
      <c r="D169" s="14">
        <v>45956</v>
      </c>
      <c r="E169" s="11">
        <f>1</f>
        <v>1</v>
      </c>
      <c r="F169" s="14">
        <v>45959</v>
      </c>
      <c r="G169" s="11">
        <f>IF(Table1[[#This Row],[Pre-Booking Date]]&lt;&gt;"",1,0)</f>
        <v>1</v>
      </c>
      <c r="H169" s="4">
        <v>45964</v>
      </c>
      <c r="I169" s="11">
        <f>IF(Table1[[#This Row],[Booking Date]]&lt;&gt;"",1,0)</f>
        <v>1</v>
      </c>
      <c r="J169" s="30">
        <v>45970</v>
      </c>
      <c r="K169" s="11">
        <f>IF(Table1[[#This Row],[Delivery Date]]&lt;&gt;"",1,0)</f>
        <v>1</v>
      </c>
      <c r="L169" s="3" t="s">
        <v>3</v>
      </c>
      <c r="M169" s="3">
        <f>IF(Table1[[#This Row],[Cancellation Status]]&lt;&gt;"Yes",1,0)</f>
        <v>0</v>
      </c>
      <c r="N169" s="3" t="s">
        <v>52</v>
      </c>
      <c r="P169" s="3">
        <v>3</v>
      </c>
      <c r="Q169" s="3">
        <v>5</v>
      </c>
      <c r="R169" s="3">
        <v>6</v>
      </c>
      <c r="T16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69" t="str">
        <f>IF(Table1[[#This Row],[Customer Rating]]&gt;=9,"Promoter",IF(Table1[[#This Row],[Customer Rating]]&gt;=7,"Passive","Detractor"))</f>
        <v>Detractor</v>
      </c>
    </row>
    <row r="170" spans="1:21" ht="14.25" customHeight="1" x14ac:dyDescent="0.3">
      <c r="A170" s="3" t="s">
        <v>205</v>
      </c>
      <c r="B170" s="3" t="s">
        <v>29</v>
      </c>
      <c r="C170" s="3" t="s">
        <v>33</v>
      </c>
      <c r="D170" s="14">
        <v>45956</v>
      </c>
      <c r="E170" s="11">
        <f>1</f>
        <v>1</v>
      </c>
      <c r="G170" s="12">
        <f>IF(Table1[[#This Row],[Pre-Booking Date]]&lt;&gt;"",1,0)</f>
        <v>0</v>
      </c>
      <c r="I170" s="12">
        <f>IF(Table1[[#This Row],[Booking Date]]&lt;&gt;"",1,0)</f>
        <v>0</v>
      </c>
      <c r="K170" s="12">
        <f>IF(Table1[[#This Row],[Delivery Date]]&lt;&gt;"",1,0)</f>
        <v>0</v>
      </c>
      <c r="L170" s="3" t="s">
        <v>3</v>
      </c>
      <c r="M170" s="3">
        <f>IF(Table1[[#This Row],[Cancellation Status]]&lt;&gt;"Yes",1,0)</f>
        <v>0</v>
      </c>
      <c r="N170" s="3" t="s">
        <v>52</v>
      </c>
      <c r="T17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70" t="str">
        <f>IF(Table1[[#This Row],[Customer Rating]]&gt;=9,"Promoter",IF(Table1[[#This Row],[Customer Rating]]&gt;=7,"Passive","Detractor"))</f>
        <v>Detractor</v>
      </c>
    </row>
    <row r="171" spans="1:21" ht="14.25" customHeight="1" x14ac:dyDescent="0.3">
      <c r="A171" s="3" t="s">
        <v>206</v>
      </c>
      <c r="B171" s="3" t="s">
        <v>32</v>
      </c>
      <c r="C171" s="3" t="s">
        <v>27</v>
      </c>
      <c r="D171" s="14">
        <v>45956</v>
      </c>
      <c r="E171" s="11">
        <f>1</f>
        <v>1</v>
      </c>
      <c r="F171" s="14">
        <v>45958</v>
      </c>
      <c r="G171" s="11">
        <f>IF(Table1[[#This Row],[Pre-Booking Date]]&lt;&gt;"",1,0)</f>
        <v>1</v>
      </c>
      <c r="H171" s="4">
        <v>45961</v>
      </c>
      <c r="I171" s="11">
        <f>IF(Table1[[#This Row],[Booking Date]]&lt;&gt;"",1,0)</f>
        <v>1</v>
      </c>
      <c r="J171" s="30">
        <v>45968</v>
      </c>
      <c r="K171" s="11">
        <f>IF(Table1[[#This Row],[Delivery Date]]&lt;&gt;"",1,0)</f>
        <v>1</v>
      </c>
      <c r="L171" s="3" t="s">
        <v>3</v>
      </c>
      <c r="M171" s="3">
        <f>IF(Table1[[#This Row],[Cancellation Status]]&lt;&gt;"Yes",1,0)</f>
        <v>0</v>
      </c>
      <c r="N171" s="3" t="s">
        <v>37</v>
      </c>
      <c r="P171" s="3">
        <v>2</v>
      </c>
      <c r="Q171" s="3">
        <v>3</v>
      </c>
      <c r="R171" s="3">
        <v>7</v>
      </c>
      <c r="T17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71" t="str">
        <f>IF(Table1[[#This Row],[Customer Rating]]&gt;=9,"Promoter",IF(Table1[[#This Row],[Customer Rating]]&gt;=7,"Passive","Detractor"))</f>
        <v>Detractor</v>
      </c>
    </row>
    <row r="172" spans="1:21" ht="14.25" customHeight="1" x14ac:dyDescent="0.3">
      <c r="A172" s="3" t="s">
        <v>207</v>
      </c>
      <c r="B172" s="3" t="s">
        <v>26</v>
      </c>
      <c r="C172" s="3" t="s">
        <v>30</v>
      </c>
      <c r="D172" s="14">
        <v>45956</v>
      </c>
      <c r="E172" s="11">
        <f>1</f>
        <v>1</v>
      </c>
      <c r="F172" s="14">
        <v>45961</v>
      </c>
      <c r="G172" s="11">
        <f>IF(Table1[[#This Row],[Pre-Booking Date]]&lt;&gt;"",1,0)</f>
        <v>1</v>
      </c>
      <c r="H172" s="4">
        <v>45962</v>
      </c>
      <c r="I172" s="11">
        <f>IF(Table1[[#This Row],[Booking Date]]&lt;&gt;"",1,0)</f>
        <v>1</v>
      </c>
      <c r="J172" s="30">
        <v>45967</v>
      </c>
      <c r="K172" s="11">
        <f>IF(Table1[[#This Row],[Delivery Date]]&lt;&gt;"",1,0)</f>
        <v>1</v>
      </c>
      <c r="L172" s="3" t="s">
        <v>2</v>
      </c>
      <c r="M172" s="3">
        <f>IF(Table1[[#This Row],[Cancellation Status]]&lt;&gt;"Yes",1,0)</f>
        <v>1</v>
      </c>
      <c r="O172" s="30">
        <v>45992</v>
      </c>
      <c r="P172" s="3">
        <v>5</v>
      </c>
      <c r="Q172" s="3">
        <v>1</v>
      </c>
      <c r="R172" s="3">
        <v>5</v>
      </c>
      <c r="S172" s="3">
        <v>7</v>
      </c>
      <c r="T17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72" t="str">
        <f>IF(Table1[[#This Row],[Customer Rating]]&gt;=9,"Promoter",IF(Table1[[#This Row],[Customer Rating]]&gt;=7,"Passive","Detractor"))</f>
        <v>Passive</v>
      </c>
    </row>
    <row r="173" spans="1:21" ht="14.25" customHeight="1" x14ac:dyDescent="0.3">
      <c r="A173" s="3" t="s">
        <v>208</v>
      </c>
      <c r="B173" s="3" t="s">
        <v>39</v>
      </c>
      <c r="C173" s="3" t="s">
        <v>27</v>
      </c>
      <c r="D173" s="14">
        <v>45956</v>
      </c>
      <c r="E173" s="11">
        <f>1</f>
        <v>1</v>
      </c>
      <c r="F173" s="14">
        <v>45957</v>
      </c>
      <c r="G173" s="11">
        <f>IF(Table1[[#This Row],[Pre-Booking Date]]&lt;&gt;"",1,0)</f>
        <v>1</v>
      </c>
      <c r="H173" s="4">
        <v>45962</v>
      </c>
      <c r="I173" s="11">
        <f>IF(Table1[[#This Row],[Booking Date]]&lt;&gt;"",1,0)</f>
        <v>1</v>
      </c>
      <c r="J173" s="30">
        <v>45964</v>
      </c>
      <c r="K173" s="11">
        <f>IF(Table1[[#This Row],[Delivery Date]]&lt;&gt;"",1,0)</f>
        <v>1</v>
      </c>
      <c r="L173" s="3" t="s">
        <v>2</v>
      </c>
      <c r="M173" s="3">
        <f>IF(Table1[[#This Row],[Cancellation Status]]&lt;&gt;"Yes",1,0)</f>
        <v>1</v>
      </c>
      <c r="O173" s="30">
        <v>45989</v>
      </c>
      <c r="P173" s="3">
        <v>1</v>
      </c>
      <c r="Q173" s="3">
        <v>5</v>
      </c>
      <c r="R173" s="3">
        <v>2</v>
      </c>
      <c r="S173" s="3">
        <v>10</v>
      </c>
      <c r="T17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73" t="str">
        <f>IF(Table1[[#This Row],[Customer Rating]]&gt;=9,"Promoter",IF(Table1[[#This Row],[Customer Rating]]&gt;=7,"Passive","Detractor"))</f>
        <v>Promoter</v>
      </c>
    </row>
    <row r="174" spans="1:21" ht="14.25" customHeight="1" x14ac:dyDescent="0.3">
      <c r="A174" s="3" t="s">
        <v>209</v>
      </c>
      <c r="B174" s="3" t="s">
        <v>39</v>
      </c>
      <c r="C174" s="3" t="s">
        <v>27</v>
      </c>
      <c r="D174" s="14">
        <v>45956</v>
      </c>
      <c r="E174" s="11">
        <f>1</f>
        <v>1</v>
      </c>
      <c r="F174" s="14">
        <v>45961</v>
      </c>
      <c r="G174" s="11">
        <f>IF(Table1[[#This Row],[Pre-Booking Date]]&lt;&gt;"",1,0)</f>
        <v>1</v>
      </c>
      <c r="H174" s="4">
        <v>45964</v>
      </c>
      <c r="I174" s="11">
        <f>IF(Table1[[#This Row],[Booking Date]]&lt;&gt;"",1,0)</f>
        <v>1</v>
      </c>
      <c r="J174" s="30">
        <v>45966</v>
      </c>
      <c r="K174" s="11">
        <f>IF(Table1[[#This Row],[Delivery Date]]&lt;&gt;"",1,0)</f>
        <v>1</v>
      </c>
      <c r="L174" s="3" t="s">
        <v>2</v>
      </c>
      <c r="M174" s="3">
        <f>IF(Table1[[#This Row],[Cancellation Status]]&lt;&gt;"Yes",1,0)</f>
        <v>1</v>
      </c>
      <c r="O174" s="30">
        <v>45992</v>
      </c>
      <c r="P174" s="3">
        <v>5</v>
      </c>
      <c r="Q174" s="3">
        <v>3</v>
      </c>
      <c r="R174" s="3">
        <v>2</v>
      </c>
      <c r="S174" s="3">
        <v>1</v>
      </c>
      <c r="T17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74" t="str">
        <f>IF(Table1[[#This Row],[Customer Rating]]&gt;=9,"Promoter",IF(Table1[[#This Row],[Customer Rating]]&gt;=7,"Passive","Detractor"))</f>
        <v>Detractor</v>
      </c>
    </row>
    <row r="175" spans="1:21" ht="14.25" customHeight="1" x14ac:dyDescent="0.3">
      <c r="A175" s="3" t="s">
        <v>210</v>
      </c>
      <c r="B175" s="3" t="s">
        <v>39</v>
      </c>
      <c r="C175" s="3" t="s">
        <v>27</v>
      </c>
      <c r="D175" s="14">
        <v>45956</v>
      </c>
      <c r="E175" s="11">
        <f>1</f>
        <v>1</v>
      </c>
      <c r="F175" s="14">
        <v>45958</v>
      </c>
      <c r="G175" s="11">
        <f>IF(Table1[[#This Row],[Pre-Booking Date]]&lt;&gt;"",1,0)</f>
        <v>1</v>
      </c>
      <c r="H175" s="4">
        <v>45960</v>
      </c>
      <c r="I175" s="11">
        <f>IF(Table1[[#This Row],[Booking Date]]&lt;&gt;"",1,0)</f>
        <v>1</v>
      </c>
      <c r="J175" s="30">
        <v>45966</v>
      </c>
      <c r="K175" s="11">
        <f>IF(Table1[[#This Row],[Delivery Date]]&lt;&gt;"",1,0)</f>
        <v>1</v>
      </c>
      <c r="L175" s="3" t="s">
        <v>2</v>
      </c>
      <c r="M175" s="3">
        <f>IF(Table1[[#This Row],[Cancellation Status]]&lt;&gt;"Yes",1,0)</f>
        <v>1</v>
      </c>
      <c r="O175" s="30">
        <v>45996</v>
      </c>
      <c r="P175" s="3">
        <v>2</v>
      </c>
      <c r="Q175" s="3">
        <v>2</v>
      </c>
      <c r="R175" s="3">
        <v>6</v>
      </c>
      <c r="S175" s="3">
        <v>5</v>
      </c>
      <c r="T17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75" t="str">
        <f>IF(Table1[[#This Row],[Customer Rating]]&gt;=9,"Promoter",IF(Table1[[#This Row],[Customer Rating]]&gt;=7,"Passive","Detractor"))</f>
        <v>Detractor</v>
      </c>
    </row>
    <row r="176" spans="1:21" ht="14.25" customHeight="1" x14ac:dyDescent="0.3">
      <c r="A176" s="3" t="s">
        <v>211</v>
      </c>
      <c r="B176" s="3" t="s">
        <v>32</v>
      </c>
      <c r="C176" s="3" t="s">
        <v>27</v>
      </c>
      <c r="D176" s="14">
        <v>45956</v>
      </c>
      <c r="E176" s="11">
        <f>1</f>
        <v>1</v>
      </c>
      <c r="F176" s="14">
        <v>45959</v>
      </c>
      <c r="G176" s="11">
        <f>IF(Table1[[#This Row],[Pre-Booking Date]]&lt;&gt;"",1,0)</f>
        <v>1</v>
      </c>
      <c r="H176" s="4">
        <v>45961</v>
      </c>
      <c r="I176" s="11">
        <f>IF(Table1[[#This Row],[Booking Date]]&lt;&gt;"",1,0)</f>
        <v>1</v>
      </c>
      <c r="J176" s="30">
        <v>45963</v>
      </c>
      <c r="K176" s="11">
        <f>IF(Table1[[#This Row],[Delivery Date]]&lt;&gt;"",1,0)</f>
        <v>1</v>
      </c>
      <c r="L176" s="3" t="s">
        <v>2</v>
      </c>
      <c r="M176" s="3">
        <f>IF(Table1[[#This Row],[Cancellation Status]]&lt;&gt;"Yes",1,0)</f>
        <v>1</v>
      </c>
      <c r="O176" s="30">
        <v>45979</v>
      </c>
      <c r="P176" s="3">
        <v>3</v>
      </c>
      <c r="Q176" s="3">
        <v>2</v>
      </c>
      <c r="R176" s="3">
        <v>2</v>
      </c>
      <c r="S176" s="3">
        <v>8</v>
      </c>
      <c r="T17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76" t="str">
        <f>IF(Table1[[#This Row],[Customer Rating]]&gt;=9,"Promoter",IF(Table1[[#This Row],[Customer Rating]]&gt;=7,"Passive","Detractor"))</f>
        <v>Passive</v>
      </c>
    </row>
    <row r="177" spans="1:21" ht="14.25" customHeight="1" x14ac:dyDescent="0.3">
      <c r="A177" s="3" t="s">
        <v>212</v>
      </c>
      <c r="B177" s="3" t="s">
        <v>26</v>
      </c>
      <c r="C177" s="3" t="s">
        <v>27</v>
      </c>
      <c r="D177" s="14">
        <v>45956</v>
      </c>
      <c r="E177" s="11">
        <f>1</f>
        <v>1</v>
      </c>
      <c r="F177" s="14">
        <v>45957</v>
      </c>
      <c r="G177" s="11">
        <f>IF(Table1[[#This Row],[Pre-Booking Date]]&lt;&gt;"",1,0)</f>
        <v>1</v>
      </c>
      <c r="H177" s="4">
        <v>45960</v>
      </c>
      <c r="I177" s="11">
        <f>IF(Table1[[#This Row],[Booking Date]]&lt;&gt;"",1,0)</f>
        <v>1</v>
      </c>
      <c r="J177" s="30">
        <v>45963</v>
      </c>
      <c r="K177" s="11">
        <f>IF(Table1[[#This Row],[Delivery Date]]&lt;&gt;"",1,0)</f>
        <v>1</v>
      </c>
      <c r="L177" s="3" t="s">
        <v>3</v>
      </c>
      <c r="M177" s="3">
        <f>IF(Table1[[#This Row],[Cancellation Status]]&lt;&gt;"Yes",1,0)</f>
        <v>0</v>
      </c>
      <c r="N177" s="3" t="s">
        <v>37</v>
      </c>
      <c r="P177" s="3">
        <v>1</v>
      </c>
      <c r="Q177" s="3">
        <v>3</v>
      </c>
      <c r="R177" s="3">
        <v>3</v>
      </c>
      <c r="T17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77" t="str">
        <f>IF(Table1[[#This Row],[Customer Rating]]&gt;=9,"Promoter",IF(Table1[[#This Row],[Customer Rating]]&gt;=7,"Passive","Detractor"))</f>
        <v>Detractor</v>
      </c>
    </row>
    <row r="178" spans="1:21" ht="14.25" customHeight="1" x14ac:dyDescent="0.3">
      <c r="A178" s="3" t="s">
        <v>213</v>
      </c>
      <c r="B178" s="3" t="s">
        <v>29</v>
      </c>
      <c r="C178" s="3" t="s">
        <v>30</v>
      </c>
      <c r="D178" s="14">
        <v>45956</v>
      </c>
      <c r="E178" s="11">
        <f>1</f>
        <v>1</v>
      </c>
      <c r="F178" s="14">
        <v>45960</v>
      </c>
      <c r="G178" s="11">
        <f>IF(Table1[[#This Row],[Pre-Booking Date]]&lt;&gt;"",1,0)</f>
        <v>1</v>
      </c>
      <c r="H178" s="4">
        <v>45962</v>
      </c>
      <c r="I178" s="11">
        <f>IF(Table1[[#This Row],[Booking Date]]&lt;&gt;"",1,0)</f>
        <v>1</v>
      </c>
      <c r="J178" s="30">
        <v>45966</v>
      </c>
      <c r="K178" s="11">
        <f>IF(Table1[[#This Row],[Delivery Date]]&lt;&gt;"",1,0)</f>
        <v>1</v>
      </c>
      <c r="L178" s="3" t="s">
        <v>2</v>
      </c>
      <c r="M178" s="3">
        <f>IF(Table1[[#This Row],[Cancellation Status]]&lt;&gt;"Yes",1,0)</f>
        <v>1</v>
      </c>
      <c r="O178" s="30">
        <v>45994</v>
      </c>
      <c r="P178" s="3">
        <v>4</v>
      </c>
      <c r="Q178" s="3">
        <v>2</v>
      </c>
      <c r="R178" s="3">
        <v>4</v>
      </c>
      <c r="S178" s="3">
        <v>8</v>
      </c>
      <c r="T17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78" t="str">
        <f>IF(Table1[[#This Row],[Customer Rating]]&gt;=9,"Promoter",IF(Table1[[#This Row],[Customer Rating]]&gt;=7,"Passive","Detractor"))</f>
        <v>Passive</v>
      </c>
    </row>
    <row r="179" spans="1:21" ht="14.25" customHeight="1" x14ac:dyDescent="0.3">
      <c r="A179" s="3" t="s">
        <v>214</v>
      </c>
      <c r="B179" s="3" t="s">
        <v>29</v>
      </c>
      <c r="C179" s="3" t="s">
        <v>33</v>
      </c>
      <c r="D179" s="14">
        <v>45956</v>
      </c>
      <c r="E179" s="11">
        <f>1</f>
        <v>1</v>
      </c>
      <c r="G179" s="12">
        <f>IF(Table1[[#This Row],[Pre-Booking Date]]&lt;&gt;"",1,0)</f>
        <v>0</v>
      </c>
      <c r="I179" s="12">
        <f>IF(Table1[[#This Row],[Booking Date]]&lt;&gt;"",1,0)</f>
        <v>0</v>
      </c>
      <c r="K179" s="12">
        <f>IF(Table1[[#This Row],[Delivery Date]]&lt;&gt;"",1,0)</f>
        <v>0</v>
      </c>
      <c r="L179" s="3" t="s">
        <v>3</v>
      </c>
      <c r="M179" s="3">
        <f>IF(Table1[[#This Row],[Cancellation Status]]&lt;&gt;"Yes",1,0)</f>
        <v>0</v>
      </c>
      <c r="N179" s="3" t="s">
        <v>52</v>
      </c>
      <c r="T17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79" t="str">
        <f>IF(Table1[[#This Row],[Customer Rating]]&gt;=9,"Promoter",IF(Table1[[#This Row],[Customer Rating]]&gt;=7,"Passive","Detractor"))</f>
        <v>Detractor</v>
      </c>
    </row>
    <row r="180" spans="1:21" ht="14.25" customHeight="1" x14ac:dyDescent="0.3">
      <c r="A180" s="3" t="s">
        <v>215</v>
      </c>
      <c r="B180" s="3" t="s">
        <v>29</v>
      </c>
      <c r="C180" s="3" t="s">
        <v>30</v>
      </c>
      <c r="D180" s="14">
        <v>45956</v>
      </c>
      <c r="E180" s="11">
        <f>1</f>
        <v>1</v>
      </c>
      <c r="F180" s="14">
        <v>45961</v>
      </c>
      <c r="G180" s="11">
        <f>IF(Table1[[#This Row],[Pre-Booking Date]]&lt;&gt;"",1,0)</f>
        <v>1</v>
      </c>
      <c r="H180" s="4">
        <v>45962</v>
      </c>
      <c r="I180" s="11">
        <f>IF(Table1[[#This Row],[Booking Date]]&lt;&gt;"",1,0)</f>
        <v>1</v>
      </c>
      <c r="J180" s="30">
        <v>45968</v>
      </c>
      <c r="K180" s="11">
        <f>IF(Table1[[#This Row],[Delivery Date]]&lt;&gt;"",1,0)</f>
        <v>1</v>
      </c>
      <c r="L180" s="3" t="s">
        <v>2</v>
      </c>
      <c r="M180" s="3">
        <f>IF(Table1[[#This Row],[Cancellation Status]]&lt;&gt;"Yes",1,0)</f>
        <v>1</v>
      </c>
      <c r="O180" s="30">
        <v>45988</v>
      </c>
      <c r="P180" s="3">
        <v>5</v>
      </c>
      <c r="Q180" s="3">
        <v>1</v>
      </c>
      <c r="R180" s="3">
        <v>6</v>
      </c>
      <c r="S180" s="3">
        <v>7</v>
      </c>
      <c r="T18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80" t="str">
        <f>IF(Table1[[#This Row],[Customer Rating]]&gt;=9,"Promoter",IF(Table1[[#This Row],[Customer Rating]]&gt;=7,"Passive","Detractor"))</f>
        <v>Passive</v>
      </c>
    </row>
    <row r="181" spans="1:21" ht="14.25" customHeight="1" x14ac:dyDescent="0.3">
      <c r="A181" s="3" t="s">
        <v>216</v>
      </c>
      <c r="B181" s="3" t="s">
        <v>39</v>
      </c>
      <c r="C181" s="3" t="s">
        <v>30</v>
      </c>
      <c r="D181" s="14">
        <v>45956</v>
      </c>
      <c r="E181" s="11">
        <f>1</f>
        <v>1</v>
      </c>
      <c r="F181" s="14">
        <v>45960</v>
      </c>
      <c r="G181" s="11">
        <f>IF(Table1[[#This Row],[Pre-Booking Date]]&lt;&gt;"",1,0)</f>
        <v>1</v>
      </c>
      <c r="H181" s="4">
        <v>45961</v>
      </c>
      <c r="I181" s="11">
        <f>IF(Table1[[#This Row],[Booking Date]]&lt;&gt;"",1,0)</f>
        <v>1</v>
      </c>
      <c r="J181" s="30">
        <v>45963</v>
      </c>
      <c r="K181" s="11">
        <f>IF(Table1[[#This Row],[Delivery Date]]&lt;&gt;"",1,0)</f>
        <v>1</v>
      </c>
      <c r="L181" s="3" t="s">
        <v>2</v>
      </c>
      <c r="M181" s="3">
        <f>IF(Table1[[#This Row],[Cancellation Status]]&lt;&gt;"Yes",1,0)</f>
        <v>1</v>
      </c>
      <c r="O181" s="30">
        <v>45993</v>
      </c>
      <c r="P181" s="3">
        <v>4</v>
      </c>
      <c r="Q181" s="3">
        <v>1</v>
      </c>
      <c r="R181" s="3">
        <v>2</v>
      </c>
      <c r="S181" s="3">
        <v>7</v>
      </c>
      <c r="T18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81" t="str">
        <f>IF(Table1[[#This Row],[Customer Rating]]&gt;=9,"Promoter",IF(Table1[[#This Row],[Customer Rating]]&gt;=7,"Passive","Detractor"))</f>
        <v>Passive</v>
      </c>
    </row>
    <row r="182" spans="1:21" ht="14.25" customHeight="1" x14ac:dyDescent="0.3">
      <c r="A182" s="3" t="s">
        <v>217</v>
      </c>
      <c r="B182" s="3" t="s">
        <v>32</v>
      </c>
      <c r="C182" s="3" t="s">
        <v>27</v>
      </c>
      <c r="D182" s="14">
        <v>45956</v>
      </c>
      <c r="E182" s="11">
        <f>1</f>
        <v>1</v>
      </c>
      <c r="F182" s="14">
        <v>45958</v>
      </c>
      <c r="G182" s="11">
        <f>IF(Table1[[#This Row],[Pre-Booking Date]]&lt;&gt;"",1,0)</f>
        <v>1</v>
      </c>
      <c r="H182" s="4">
        <v>45961</v>
      </c>
      <c r="I182" s="11">
        <f>IF(Table1[[#This Row],[Booking Date]]&lt;&gt;"",1,0)</f>
        <v>1</v>
      </c>
      <c r="J182" s="30">
        <v>45964</v>
      </c>
      <c r="K182" s="11">
        <f>IF(Table1[[#This Row],[Delivery Date]]&lt;&gt;"",1,0)</f>
        <v>1</v>
      </c>
      <c r="L182" s="3" t="s">
        <v>2</v>
      </c>
      <c r="M182" s="3">
        <f>IF(Table1[[#This Row],[Cancellation Status]]&lt;&gt;"Yes",1,0)</f>
        <v>1</v>
      </c>
      <c r="O182" s="30">
        <v>45987</v>
      </c>
      <c r="P182" s="3">
        <v>2</v>
      </c>
      <c r="Q182" s="3">
        <v>3</v>
      </c>
      <c r="R182" s="3">
        <v>3</v>
      </c>
      <c r="S182" s="3">
        <v>8</v>
      </c>
      <c r="T18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82" t="str">
        <f>IF(Table1[[#This Row],[Customer Rating]]&gt;=9,"Promoter",IF(Table1[[#This Row],[Customer Rating]]&gt;=7,"Passive","Detractor"))</f>
        <v>Passive</v>
      </c>
    </row>
    <row r="183" spans="1:21" ht="14.25" customHeight="1" x14ac:dyDescent="0.3">
      <c r="A183" s="3" t="s">
        <v>218</v>
      </c>
      <c r="B183" s="3" t="s">
        <v>29</v>
      </c>
      <c r="C183" s="3" t="s">
        <v>27</v>
      </c>
      <c r="D183" s="14">
        <v>45956</v>
      </c>
      <c r="E183" s="11">
        <f>1</f>
        <v>1</v>
      </c>
      <c r="F183" s="14">
        <v>45960</v>
      </c>
      <c r="G183" s="11">
        <f>IF(Table1[[#This Row],[Pre-Booking Date]]&lt;&gt;"",1,0)</f>
        <v>1</v>
      </c>
      <c r="H183" s="4">
        <v>45965</v>
      </c>
      <c r="I183" s="11">
        <f>IF(Table1[[#This Row],[Booking Date]]&lt;&gt;"",1,0)</f>
        <v>1</v>
      </c>
      <c r="J183" s="30">
        <v>45968</v>
      </c>
      <c r="K183" s="11">
        <f>IF(Table1[[#This Row],[Delivery Date]]&lt;&gt;"",1,0)</f>
        <v>1</v>
      </c>
      <c r="L183" s="3" t="s">
        <v>2</v>
      </c>
      <c r="M183" s="3">
        <f>IF(Table1[[#This Row],[Cancellation Status]]&lt;&gt;"Yes",1,0)</f>
        <v>1</v>
      </c>
      <c r="O183" s="30">
        <v>45978</v>
      </c>
      <c r="P183" s="3">
        <v>4</v>
      </c>
      <c r="Q183" s="3">
        <v>5</v>
      </c>
      <c r="R183" s="3">
        <v>3</v>
      </c>
      <c r="S183" s="3">
        <v>0</v>
      </c>
      <c r="T18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83" t="str">
        <f>IF(Table1[[#This Row],[Customer Rating]]&gt;=9,"Promoter",IF(Table1[[#This Row],[Customer Rating]]&gt;=7,"Passive","Detractor"))</f>
        <v>Detractor</v>
      </c>
    </row>
    <row r="184" spans="1:21" ht="14.25" customHeight="1" x14ac:dyDescent="0.3">
      <c r="A184" s="3" t="s">
        <v>219</v>
      </c>
      <c r="B184" s="3" t="s">
        <v>26</v>
      </c>
      <c r="C184" s="3" t="s">
        <v>27</v>
      </c>
      <c r="D184" s="14">
        <v>45956</v>
      </c>
      <c r="E184" s="11">
        <f>1</f>
        <v>1</v>
      </c>
      <c r="F184" s="14">
        <v>45960</v>
      </c>
      <c r="G184" s="11">
        <f>IF(Table1[[#This Row],[Pre-Booking Date]]&lt;&gt;"",1,0)</f>
        <v>1</v>
      </c>
      <c r="H184" s="4">
        <v>45963</v>
      </c>
      <c r="I184" s="11">
        <f>IF(Table1[[#This Row],[Booking Date]]&lt;&gt;"",1,0)</f>
        <v>1</v>
      </c>
      <c r="J184" s="30">
        <v>45965</v>
      </c>
      <c r="K184" s="11">
        <f>IF(Table1[[#This Row],[Delivery Date]]&lt;&gt;"",1,0)</f>
        <v>1</v>
      </c>
      <c r="L184" s="3" t="s">
        <v>2</v>
      </c>
      <c r="M184" s="3">
        <f>IF(Table1[[#This Row],[Cancellation Status]]&lt;&gt;"Yes",1,0)</f>
        <v>1</v>
      </c>
      <c r="O184" s="30">
        <v>45982</v>
      </c>
      <c r="P184" s="3">
        <v>4</v>
      </c>
      <c r="Q184" s="3">
        <v>3</v>
      </c>
      <c r="R184" s="3">
        <v>2</v>
      </c>
      <c r="S184" s="3">
        <v>4</v>
      </c>
      <c r="T18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84" t="str">
        <f>IF(Table1[[#This Row],[Customer Rating]]&gt;=9,"Promoter",IF(Table1[[#This Row],[Customer Rating]]&gt;=7,"Passive","Detractor"))</f>
        <v>Detractor</v>
      </c>
    </row>
    <row r="185" spans="1:21" ht="14.25" customHeight="1" x14ac:dyDescent="0.3">
      <c r="A185" s="3" t="s">
        <v>220</v>
      </c>
      <c r="B185" s="3" t="s">
        <v>29</v>
      </c>
      <c r="C185" s="3" t="s">
        <v>30</v>
      </c>
      <c r="D185" s="14">
        <v>45956</v>
      </c>
      <c r="E185" s="11">
        <f>1</f>
        <v>1</v>
      </c>
      <c r="F185" s="14">
        <v>45961</v>
      </c>
      <c r="G185" s="11">
        <f>IF(Table1[[#This Row],[Pre-Booking Date]]&lt;&gt;"",1,0)</f>
        <v>1</v>
      </c>
      <c r="H185" s="4">
        <v>45964</v>
      </c>
      <c r="I185" s="11">
        <f>IF(Table1[[#This Row],[Booking Date]]&lt;&gt;"",1,0)</f>
        <v>1</v>
      </c>
      <c r="J185" s="30">
        <v>45969</v>
      </c>
      <c r="K185" s="11">
        <f>IF(Table1[[#This Row],[Delivery Date]]&lt;&gt;"",1,0)</f>
        <v>1</v>
      </c>
      <c r="L185" s="3" t="s">
        <v>2</v>
      </c>
      <c r="M185" s="3">
        <f>IF(Table1[[#This Row],[Cancellation Status]]&lt;&gt;"Yes",1,0)</f>
        <v>1</v>
      </c>
      <c r="O185" s="30">
        <v>45982</v>
      </c>
      <c r="P185" s="3">
        <v>5</v>
      </c>
      <c r="Q185" s="3">
        <v>3</v>
      </c>
      <c r="R185" s="3">
        <v>5</v>
      </c>
      <c r="S185" s="3">
        <v>7</v>
      </c>
      <c r="T18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85" t="str">
        <f>IF(Table1[[#This Row],[Customer Rating]]&gt;=9,"Promoter",IF(Table1[[#This Row],[Customer Rating]]&gt;=7,"Passive","Detractor"))</f>
        <v>Passive</v>
      </c>
    </row>
    <row r="186" spans="1:21" ht="14.25" customHeight="1" x14ac:dyDescent="0.3">
      <c r="A186" s="3" t="s">
        <v>221</v>
      </c>
      <c r="B186" s="3" t="s">
        <v>32</v>
      </c>
      <c r="C186" s="3" t="s">
        <v>27</v>
      </c>
      <c r="D186" s="14">
        <v>45956</v>
      </c>
      <c r="E186" s="11">
        <f>1</f>
        <v>1</v>
      </c>
      <c r="F186" s="14">
        <v>45959</v>
      </c>
      <c r="G186" s="11">
        <f>IF(Table1[[#This Row],[Pre-Booking Date]]&lt;&gt;"",1,0)</f>
        <v>1</v>
      </c>
      <c r="H186" s="4">
        <v>45963</v>
      </c>
      <c r="I186" s="11">
        <f>IF(Table1[[#This Row],[Booking Date]]&lt;&gt;"",1,0)</f>
        <v>1</v>
      </c>
      <c r="J186" s="30">
        <v>45970</v>
      </c>
      <c r="K186" s="11">
        <f>IF(Table1[[#This Row],[Delivery Date]]&lt;&gt;"",1,0)</f>
        <v>1</v>
      </c>
      <c r="L186" s="3" t="s">
        <v>2</v>
      </c>
      <c r="M186" s="3">
        <f>IF(Table1[[#This Row],[Cancellation Status]]&lt;&gt;"Yes",1,0)</f>
        <v>1</v>
      </c>
      <c r="O186" s="30">
        <v>45999</v>
      </c>
      <c r="P186" s="3">
        <v>3</v>
      </c>
      <c r="Q186" s="3">
        <v>4</v>
      </c>
      <c r="R186" s="3">
        <v>7</v>
      </c>
      <c r="S186" s="3">
        <v>8</v>
      </c>
      <c r="T18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86" t="str">
        <f>IF(Table1[[#This Row],[Customer Rating]]&gt;=9,"Promoter",IF(Table1[[#This Row],[Customer Rating]]&gt;=7,"Passive","Detractor"))</f>
        <v>Passive</v>
      </c>
    </row>
    <row r="187" spans="1:21" ht="14.25" customHeight="1" x14ac:dyDescent="0.3">
      <c r="A187" s="3" t="s">
        <v>222</v>
      </c>
      <c r="B187" s="3" t="s">
        <v>32</v>
      </c>
      <c r="C187" s="3" t="s">
        <v>30</v>
      </c>
      <c r="D187" s="14">
        <v>45956</v>
      </c>
      <c r="E187" s="11">
        <f>1</f>
        <v>1</v>
      </c>
      <c r="F187" s="14">
        <v>45959</v>
      </c>
      <c r="G187" s="11">
        <f>IF(Table1[[#This Row],[Pre-Booking Date]]&lt;&gt;"",1,0)</f>
        <v>1</v>
      </c>
      <c r="H187" s="4">
        <v>45961</v>
      </c>
      <c r="I187" s="11">
        <f>IF(Table1[[#This Row],[Booking Date]]&lt;&gt;"",1,0)</f>
        <v>1</v>
      </c>
      <c r="J187" s="30">
        <v>45965</v>
      </c>
      <c r="K187" s="11">
        <f>IF(Table1[[#This Row],[Delivery Date]]&lt;&gt;"",1,0)</f>
        <v>1</v>
      </c>
      <c r="L187" s="3" t="s">
        <v>2</v>
      </c>
      <c r="M187" s="3">
        <f>IF(Table1[[#This Row],[Cancellation Status]]&lt;&gt;"Yes",1,0)</f>
        <v>1</v>
      </c>
      <c r="O187" s="30">
        <v>45981</v>
      </c>
      <c r="P187" s="3">
        <v>3</v>
      </c>
      <c r="Q187" s="3">
        <v>2</v>
      </c>
      <c r="R187" s="3">
        <v>4</v>
      </c>
      <c r="S187" s="3">
        <v>3</v>
      </c>
      <c r="T18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87" t="str">
        <f>IF(Table1[[#This Row],[Customer Rating]]&gt;=9,"Promoter",IF(Table1[[#This Row],[Customer Rating]]&gt;=7,"Passive","Detractor"))</f>
        <v>Detractor</v>
      </c>
    </row>
    <row r="188" spans="1:21" ht="14.25" customHeight="1" x14ac:dyDescent="0.3">
      <c r="A188" s="3" t="s">
        <v>223</v>
      </c>
      <c r="B188" s="3" t="s">
        <v>29</v>
      </c>
      <c r="C188" s="3" t="s">
        <v>33</v>
      </c>
      <c r="D188" s="14">
        <v>45956</v>
      </c>
      <c r="E188" s="11">
        <f>1</f>
        <v>1</v>
      </c>
      <c r="G188" s="12">
        <f>IF(Table1[[#This Row],[Pre-Booking Date]]&lt;&gt;"",1,0)</f>
        <v>0</v>
      </c>
      <c r="I188" s="12">
        <f>IF(Table1[[#This Row],[Booking Date]]&lt;&gt;"",1,0)</f>
        <v>0</v>
      </c>
      <c r="K188" s="12">
        <f>IF(Table1[[#This Row],[Delivery Date]]&lt;&gt;"",1,0)</f>
        <v>0</v>
      </c>
      <c r="L188" s="3" t="s">
        <v>3</v>
      </c>
      <c r="M188" s="3">
        <f>IF(Table1[[#This Row],[Cancellation Status]]&lt;&gt;"Yes",1,0)</f>
        <v>0</v>
      </c>
      <c r="N188" s="3" t="s">
        <v>42</v>
      </c>
      <c r="T18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88" t="str">
        <f>IF(Table1[[#This Row],[Customer Rating]]&gt;=9,"Promoter",IF(Table1[[#This Row],[Customer Rating]]&gt;=7,"Passive","Detractor"))</f>
        <v>Detractor</v>
      </c>
    </row>
    <row r="189" spans="1:21" ht="14.25" customHeight="1" x14ac:dyDescent="0.3">
      <c r="A189" s="3" t="s">
        <v>224</v>
      </c>
      <c r="B189" s="3" t="s">
        <v>32</v>
      </c>
      <c r="C189" s="3" t="s">
        <v>27</v>
      </c>
      <c r="D189" s="14">
        <v>45956</v>
      </c>
      <c r="E189" s="11">
        <f>1</f>
        <v>1</v>
      </c>
      <c r="F189" s="14">
        <v>45961</v>
      </c>
      <c r="G189" s="11">
        <f>IF(Table1[[#This Row],[Pre-Booking Date]]&lt;&gt;"",1,0)</f>
        <v>1</v>
      </c>
      <c r="H189" s="4">
        <v>45965</v>
      </c>
      <c r="I189" s="11">
        <f>IF(Table1[[#This Row],[Booking Date]]&lt;&gt;"",1,0)</f>
        <v>1</v>
      </c>
      <c r="J189" s="30">
        <v>45968</v>
      </c>
      <c r="K189" s="11">
        <f>IF(Table1[[#This Row],[Delivery Date]]&lt;&gt;"",1,0)</f>
        <v>1</v>
      </c>
      <c r="L189" s="3" t="s">
        <v>2</v>
      </c>
      <c r="M189" s="3">
        <f>IF(Table1[[#This Row],[Cancellation Status]]&lt;&gt;"Yes",1,0)</f>
        <v>1</v>
      </c>
      <c r="O189" s="30">
        <v>45993</v>
      </c>
      <c r="P189" s="3">
        <v>5</v>
      </c>
      <c r="Q189" s="3">
        <v>4</v>
      </c>
      <c r="R189" s="3">
        <v>3</v>
      </c>
      <c r="S189" s="3">
        <v>10</v>
      </c>
      <c r="T18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89" t="str">
        <f>IF(Table1[[#This Row],[Customer Rating]]&gt;=9,"Promoter",IF(Table1[[#This Row],[Customer Rating]]&gt;=7,"Passive","Detractor"))</f>
        <v>Promoter</v>
      </c>
    </row>
    <row r="190" spans="1:21" ht="14.25" customHeight="1" x14ac:dyDescent="0.3">
      <c r="A190" s="3" t="s">
        <v>225</v>
      </c>
      <c r="B190" s="3" t="s">
        <v>26</v>
      </c>
      <c r="C190" s="3" t="s">
        <v>27</v>
      </c>
      <c r="D190" s="14">
        <v>45956</v>
      </c>
      <c r="E190" s="11">
        <f>1</f>
        <v>1</v>
      </c>
      <c r="F190" s="14">
        <v>45961</v>
      </c>
      <c r="G190" s="11">
        <f>IF(Table1[[#This Row],[Pre-Booking Date]]&lt;&gt;"",1,0)</f>
        <v>1</v>
      </c>
      <c r="H190" s="4">
        <v>45966</v>
      </c>
      <c r="I190" s="11">
        <f>IF(Table1[[#This Row],[Booking Date]]&lt;&gt;"",1,0)</f>
        <v>1</v>
      </c>
      <c r="J190" s="30">
        <v>45972</v>
      </c>
      <c r="K190" s="11">
        <f>IF(Table1[[#This Row],[Delivery Date]]&lt;&gt;"",1,0)</f>
        <v>1</v>
      </c>
      <c r="L190" s="3" t="s">
        <v>2</v>
      </c>
      <c r="M190" s="3">
        <f>IF(Table1[[#This Row],[Cancellation Status]]&lt;&gt;"Yes",1,0)</f>
        <v>1</v>
      </c>
      <c r="O190" s="30">
        <v>45989</v>
      </c>
      <c r="P190" s="3">
        <v>5</v>
      </c>
      <c r="Q190" s="3">
        <v>5</v>
      </c>
      <c r="R190" s="3">
        <v>6</v>
      </c>
      <c r="S190" s="3">
        <v>2</v>
      </c>
      <c r="T19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90" t="str">
        <f>IF(Table1[[#This Row],[Customer Rating]]&gt;=9,"Promoter",IF(Table1[[#This Row],[Customer Rating]]&gt;=7,"Passive","Detractor"))</f>
        <v>Detractor</v>
      </c>
    </row>
    <row r="191" spans="1:21" ht="14.25" customHeight="1" x14ac:dyDescent="0.3">
      <c r="A191" s="3" t="s">
        <v>226</v>
      </c>
      <c r="B191" s="3" t="s">
        <v>29</v>
      </c>
      <c r="C191" s="3" t="s">
        <v>27</v>
      </c>
      <c r="D191" s="14">
        <v>45956</v>
      </c>
      <c r="E191" s="11">
        <f>1</f>
        <v>1</v>
      </c>
      <c r="F191" s="14">
        <v>45960</v>
      </c>
      <c r="G191" s="11">
        <f>IF(Table1[[#This Row],[Pre-Booking Date]]&lt;&gt;"",1,0)</f>
        <v>1</v>
      </c>
      <c r="H191" s="4">
        <v>45965</v>
      </c>
      <c r="I191" s="11">
        <f>IF(Table1[[#This Row],[Booking Date]]&lt;&gt;"",1,0)</f>
        <v>1</v>
      </c>
      <c r="J191" s="30">
        <v>45968</v>
      </c>
      <c r="K191" s="11">
        <f>IF(Table1[[#This Row],[Delivery Date]]&lt;&gt;"",1,0)</f>
        <v>1</v>
      </c>
      <c r="L191" s="3" t="s">
        <v>2</v>
      </c>
      <c r="M191" s="3">
        <f>IF(Table1[[#This Row],[Cancellation Status]]&lt;&gt;"Yes",1,0)</f>
        <v>1</v>
      </c>
      <c r="O191" s="30">
        <v>45992</v>
      </c>
      <c r="P191" s="3">
        <v>4</v>
      </c>
      <c r="Q191" s="3">
        <v>5</v>
      </c>
      <c r="R191" s="3">
        <v>3</v>
      </c>
      <c r="S191" s="3">
        <v>4</v>
      </c>
      <c r="T19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91" t="str">
        <f>IF(Table1[[#This Row],[Customer Rating]]&gt;=9,"Promoter",IF(Table1[[#This Row],[Customer Rating]]&gt;=7,"Passive","Detractor"))</f>
        <v>Detractor</v>
      </c>
    </row>
    <row r="192" spans="1:21" ht="14.25" customHeight="1" x14ac:dyDescent="0.3">
      <c r="A192" s="3" t="s">
        <v>227</v>
      </c>
      <c r="B192" s="3" t="s">
        <v>39</v>
      </c>
      <c r="C192" s="3" t="s">
        <v>33</v>
      </c>
      <c r="D192" s="14">
        <v>45956</v>
      </c>
      <c r="E192" s="11">
        <f>1</f>
        <v>1</v>
      </c>
      <c r="G192" s="12">
        <f>IF(Table1[[#This Row],[Pre-Booking Date]]&lt;&gt;"",1,0)</f>
        <v>0</v>
      </c>
      <c r="I192" s="12">
        <f>IF(Table1[[#This Row],[Booking Date]]&lt;&gt;"",1,0)</f>
        <v>0</v>
      </c>
      <c r="K192" s="12">
        <f>IF(Table1[[#This Row],[Delivery Date]]&lt;&gt;"",1,0)</f>
        <v>0</v>
      </c>
      <c r="L192" s="3" t="s">
        <v>3</v>
      </c>
      <c r="M192" s="3">
        <f>IF(Table1[[#This Row],[Cancellation Status]]&lt;&gt;"Yes",1,0)</f>
        <v>0</v>
      </c>
      <c r="N192" s="3" t="s">
        <v>34</v>
      </c>
      <c r="T19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92" t="str">
        <f>IF(Table1[[#This Row],[Customer Rating]]&gt;=9,"Promoter",IF(Table1[[#This Row],[Customer Rating]]&gt;=7,"Passive","Detractor"))</f>
        <v>Detractor</v>
      </c>
    </row>
    <row r="193" spans="1:21" ht="14.25" customHeight="1" x14ac:dyDescent="0.3">
      <c r="A193" s="3" t="s">
        <v>228</v>
      </c>
      <c r="B193" s="3" t="s">
        <v>29</v>
      </c>
      <c r="C193" s="3" t="s">
        <v>30</v>
      </c>
      <c r="D193" s="14">
        <v>45956</v>
      </c>
      <c r="E193" s="11">
        <f>1</f>
        <v>1</v>
      </c>
      <c r="F193" s="14">
        <v>45961</v>
      </c>
      <c r="G193" s="11">
        <f>IF(Table1[[#This Row],[Pre-Booking Date]]&lt;&gt;"",1,0)</f>
        <v>1</v>
      </c>
      <c r="H193" s="4">
        <v>45962</v>
      </c>
      <c r="I193" s="11">
        <f>IF(Table1[[#This Row],[Booking Date]]&lt;&gt;"",1,0)</f>
        <v>1</v>
      </c>
      <c r="J193" s="30">
        <v>45966</v>
      </c>
      <c r="K193" s="11">
        <f>IF(Table1[[#This Row],[Delivery Date]]&lt;&gt;"",1,0)</f>
        <v>1</v>
      </c>
      <c r="L193" s="3" t="s">
        <v>2</v>
      </c>
      <c r="M193" s="3">
        <f>IF(Table1[[#This Row],[Cancellation Status]]&lt;&gt;"Yes",1,0)</f>
        <v>1</v>
      </c>
      <c r="O193" s="30">
        <v>45989</v>
      </c>
      <c r="P193" s="3">
        <v>5</v>
      </c>
      <c r="Q193" s="3">
        <v>1</v>
      </c>
      <c r="R193" s="3">
        <v>4</v>
      </c>
      <c r="S193" s="3">
        <v>2</v>
      </c>
      <c r="T19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93" t="str">
        <f>IF(Table1[[#This Row],[Customer Rating]]&gt;=9,"Promoter",IF(Table1[[#This Row],[Customer Rating]]&gt;=7,"Passive","Detractor"))</f>
        <v>Detractor</v>
      </c>
    </row>
    <row r="194" spans="1:21" ht="14.25" customHeight="1" x14ac:dyDescent="0.3">
      <c r="A194" s="3" t="s">
        <v>229</v>
      </c>
      <c r="B194" s="3" t="s">
        <v>26</v>
      </c>
      <c r="C194" s="3" t="s">
        <v>27</v>
      </c>
      <c r="D194" s="14">
        <v>45955</v>
      </c>
      <c r="E194" s="11">
        <f>1</f>
        <v>1</v>
      </c>
      <c r="F194" s="14">
        <v>45960</v>
      </c>
      <c r="G194" s="11">
        <f>IF(Table1[[#This Row],[Pre-Booking Date]]&lt;&gt;"",1,0)</f>
        <v>1</v>
      </c>
      <c r="H194" s="4">
        <v>45962</v>
      </c>
      <c r="I194" s="11">
        <f>IF(Table1[[#This Row],[Booking Date]]&lt;&gt;"",1,0)</f>
        <v>1</v>
      </c>
      <c r="J194" s="30">
        <v>45968</v>
      </c>
      <c r="K194" s="11">
        <f>IF(Table1[[#This Row],[Delivery Date]]&lt;&gt;"",1,0)</f>
        <v>1</v>
      </c>
      <c r="L194" s="3" t="s">
        <v>2</v>
      </c>
      <c r="M194" s="3">
        <f>IF(Table1[[#This Row],[Cancellation Status]]&lt;&gt;"Yes",1,0)</f>
        <v>1</v>
      </c>
      <c r="O194" s="30">
        <v>45978</v>
      </c>
      <c r="P194" s="3">
        <v>5</v>
      </c>
      <c r="Q194" s="3">
        <v>2</v>
      </c>
      <c r="R194" s="3">
        <v>6</v>
      </c>
      <c r="S194" s="3">
        <v>3</v>
      </c>
      <c r="T19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94" t="str">
        <f>IF(Table1[[#This Row],[Customer Rating]]&gt;=9,"Promoter",IF(Table1[[#This Row],[Customer Rating]]&gt;=7,"Passive","Detractor"))</f>
        <v>Detractor</v>
      </c>
    </row>
    <row r="195" spans="1:21" ht="14.25" customHeight="1" x14ac:dyDescent="0.3">
      <c r="A195" s="3" t="s">
        <v>230</v>
      </c>
      <c r="B195" s="3" t="s">
        <v>26</v>
      </c>
      <c r="C195" s="3" t="s">
        <v>27</v>
      </c>
      <c r="D195" s="14">
        <v>45955</v>
      </c>
      <c r="E195" s="11">
        <f>1</f>
        <v>1</v>
      </c>
      <c r="F195" s="14">
        <v>45957</v>
      </c>
      <c r="G195" s="11">
        <f>IF(Table1[[#This Row],[Pre-Booking Date]]&lt;&gt;"",1,0)</f>
        <v>1</v>
      </c>
      <c r="H195" s="4">
        <v>45962</v>
      </c>
      <c r="I195" s="11">
        <f>IF(Table1[[#This Row],[Booking Date]]&lt;&gt;"",1,0)</f>
        <v>1</v>
      </c>
      <c r="J195" s="30">
        <v>45967</v>
      </c>
      <c r="K195" s="11">
        <f>IF(Table1[[#This Row],[Delivery Date]]&lt;&gt;"",1,0)</f>
        <v>1</v>
      </c>
      <c r="L195" s="3" t="s">
        <v>2</v>
      </c>
      <c r="M195" s="3">
        <f>IF(Table1[[#This Row],[Cancellation Status]]&lt;&gt;"Yes",1,0)</f>
        <v>1</v>
      </c>
      <c r="O195" s="30">
        <v>45987</v>
      </c>
      <c r="P195" s="3">
        <v>2</v>
      </c>
      <c r="Q195" s="3">
        <v>5</v>
      </c>
      <c r="R195" s="3">
        <v>5</v>
      </c>
      <c r="S195" s="3">
        <v>5</v>
      </c>
      <c r="T19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95" t="str">
        <f>IF(Table1[[#This Row],[Customer Rating]]&gt;=9,"Promoter",IF(Table1[[#This Row],[Customer Rating]]&gt;=7,"Passive","Detractor"))</f>
        <v>Detractor</v>
      </c>
    </row>
    <row r="196" spans="1:21" ht="14.25" customHeight="1" x14ac:dyDescent="0.3">
      <c r="A196" s="3" t="s">
        <v>231</v>
      </c>
      <c r="B196" s="3" t="s">
        <v>39</v>
      </c>
      <c r="C196" s="3" t="s">
        <v>33</v>
      </c>
      <c r="D196" s="14">
        <v>45955</v>
      </c>
      <c r="E196" s="11">
        <f>1</f>
        <v>1</v>
      </c>
      <c r="G196" s="12">
        <f>IF(Table1[[#This Row],[Pre-Booking Date]]&lt;&gt;"",1,0)</f>
        <v>0</v>
      </c>
      <c r="I196" s="12">
        <f>IF(Table1[[#This Row],[Booking Date]]&lt;&gt;"",1,0)</f>
        <v>0</v>
      </c>
      <c r="K196" s="12">
        <f>IF(Table1[[#This Row],[Delivery Date]]&lt;&gt;"",1,0)</f>
        <v>0</v>
      </c>
      <c r="L196" s="3" t="s">
        <v>3</v>
      </c>
      <c r="M196" s="3">
        <f>IF(Table1[[#This Row],[Cancellation Status]]&lt;&gt;"Yes",1,0)</f>
        <v>0</v>
      </c>
      <c r="N196" s="3" t="s">
        <v>52</v>
      </c>
      <c r="T19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96" t="str">
        <f>IF(Table1[[#This Row],[Customer Rating]]&gt;=9,"Promoter",IF(Table1[[#This Row],[Customer Rating]]&gt;=7,"Passive","Detractor"))</f>
        <v>Detractor</v>
      </c>
    </row>
    <row r="197" spans="1:21" ht="14.25" customHeight="1" x14ac:dyDescent="0.3">
      <c r="A197" s="3" t="s">
        <v>232</v>
      </c>
      <c r="B197" s="3" t="s">
        <v>26</v>
      </c>
      <c r="C197" s="3" t="s">
        <v>27</v>
      </c>
      <c r="D197" s="14">
        <v>45955</v>
      </c>
      <c r="E197" s="11">
        <f>1</f>
        <v>1</v>
      </c>
      <c r="F197" s="14">
        <v>45959</v>
      </c>
      <c r="G197" s="11">
        <f>IF(Table1[[#This Row],[Pre-Booking Date]]&lt;&gt;"",1,0)</f>
        <v>1</v>
      </c>
      <c r="H197" s="4">
        <v>45961</v>
      </c>
      <c r="I197" s="11">
        <f>IF(Table1[[#This Row],[Booking Date]]&lt;&gt;"",1,0)</f>
        <v>1</v>
      </c>
      <c r="J197" s="30">
        <v>45967</v>
      </c>
      <c r="K197" s="11">
        <f>IF(Table1[[#This Row],[Delivery Date]]&lt;&gt;"",1,0)</f>
        <v>1</v>
      </c>
      <c r="L197" s="3" t="s">
        <v>2</v>
      </c>
      <c r="M197" s="3">
        <f>IF(Table1[[#This Row],[Cancellation Status]]&lt;&gt;"Yes",1,0)</f>
        <v>1</v>
      </c>
      <c r="O197" s="30">
        <v>45985</v>
      </c>
      <c r="P197" s="3">
        <v>4</v>
      </c>
      <c r="Q197" s="3">
        <v>2</v>
      </c>
      <c r="R197" s="3">
        <v>6</v>
      </c>
      <c r="S197" s="3">
        <v>4</v>
      </c>
      <c r="T19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97" t="str">
        <f>IF(Table1[[#This Row],[Customer Rating]]&gt;=9,"Promoter",IF(Table1[[#This Row],[Customer Rating]]&gt;=7,"Passive","Detractor"))</f>
        <v>Detractor</v>
      </c>
    </row>
    <row r="198" spans="1:21" ht="14.25" customHeight="1" x14ac:dyDescent="0.3">
      <c r="A198" s="3" t="s">
        <v>233</v>
      </c>
      <c r="B198" s="3" t="s">
        <v>32</v>
      </c>
      <c r="C198" s="3" t="s">
        <v>33</v>
      </c>
      <c r="D198" s="14">
        <v>45955</v>
      </c>
      <c r="E198" s="11">
        <f>1</f>
        <v>1</v>
      </c>
      <c r="G198" s="12">
        <f>IF(Table1[[#This Row],[Pre-Booking Date]]&lt;&gt;"",1,0)</f>
        <v>0</v>
      </c>
      <c r="I198" s="12">
        <f>IF(Table1[[#This Row],[Booking Date]]&lt;&gt;"",1,0)</f>
        <v>0</v>
      </c>
      <c r="K198" s="12">
        <f>IF(Table1[[#This Row],[Delivery Date]]&lt;&gt;"",1,0)</f>
        <v>0</v>
      </c>
      <c r="L198" s="3" t="s">
        <v>3</v>
      </c>
      <c r="M198" s="3">
        <f>IF(Table1[[#This Row],[Cancellation Status]]&lt;&gt;"Yes",1,0)</f>
        <v>0</v>
      </c>
      <c r="N198" s="3" t="s">
        <v>55</v>
      </c>
      <c r="T19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198" t="str">
        <f>IF(Table1[[#This Row],[Customer Rating]]&gt;=9,"Promoter",IF(Table1[[#This Row],[Customer Rating]]&gt;=7,"Passive","Detractor"))</f>
        <v>Detractor</v>
      </c>
    </row>
    <row r="199" spans="1:21" ht="14.25" customHeight="1" x14ac:dyDescent="0.3">
      <c r="A199" s="3" t="s">
        <v>234</v>
      </c>
      <c r="B199" s="3" t="s">
        <v>26</v>
      </c>
      <c r="C199" s="3" t="s">
        <v>27</v>
      </c>
      <c r="D199" s="14">
        <v>45955</v>
      </c>
      <c r="E199" s="11">
        <f>1</f>
        <v>1</v>
      </c>
      <c r="F199" s="14">
        <v>45957</v>
      </c>
      <c r="G199" s="11">
        <f>IF(Table1[[#This Row],[Pre-Booking Date]]&lt;&gt;"",1,0)</f>
        <v>1</v>
      </c>
      <c r="H199" s="4">
        <v>45959</v>
      </c>
      <c r="I199" s="11">
        <f>IF(Table1[[#This Row],[Booking Date]]&lt;&gt;"",1,0)</f>
        <v>1</v>
      </c>
      <c r="J199" s="30">
        <v>45965</v>
      </c>
      <c r="K199" s="11">
        <f>IF(Table1[[#This Row],[Delivery Date]]&lt;&gt;"",1,0)</f>
        <v>1</v>
      </c>
      <c r="L199" s="3" t="s">
        <v>2</v>
      </c>
      <c r="M199" s="3">
        <f>IF(Table1[[#This Row],[Cancellation Status]]&lt;&gt;"Yes",1,0)</f>
        <v>1</v>
      </c>
      <c r="O199" s="30">
        <v>45976</v>
      </c>
      <c r="P199" s="3">
        <v>2</v>
      </c>
      <c r="Q199" s="3">
        <v>2</v>
      </c>
      <c r="R199" s="3">
        <v>6</v>
      </c>
      <c r="S199" s="3">
        <v>3</v>
      </c>
      <c r="T19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99" t="str">
        <f>IF(Table1[[#This Row],[Customer Rating]]&gt;=9,"Promoter",IF(Table1[[#This Row],[Customer Rating]]&gt;=7,"Passive","Detractor"))</f>
        <v>Detractor</v>
      </c>
    </row>
    <row r="200" spans="1:21" ht="14.25" customHeight="1" x14ac:dyDescent="0.3">
      <c r="A200" s="3" t="s">
        <v>235</v>
      </c>
      <c r="B200" s="3" t="s">
        <v>29</v>
      </c>
      <c r="C200" s="3" t="s">
        <v>27</v>
      </c>
      <c r="D200" s="14">
        <v>45955</v>
      </c>
      <c r="E200" s="11">
        <f>1</f>
        <v>1</v>
      </c>
      <c r="F200" s="14">
        <v>45956</v>
      </c>
      <c r="G200" s="11">
        <f>IF(Table1[[#This Row],[Pre-Booking Date]]&lt;&gt;"",1,0)</f>
        <v>1</v>
      </c>
      <c r="H200" s="4">
        <v>45960</v>
      </c>
      <c r="I200" s="11">
        <f>IF(Table1[[#This Row],[Booking Date]]&lt;&gt;"",1,0)</f>
        <v>1</v>
      </c>
      <c r="J200" s="30">
        <v>45967</v>
      </c>
      <c r="K200" s="11">
        <f>IF(Table1[[#This Row],[Delivery Date]]&lt;&gt;"",1,0)</f>
        <v>1</v>
      </c>
      <c r="L200" s="3" t="s">
        <v>2</v>
      </c>
      <c r="M200" s="3">
        <f>IF(Table1[[#This Row],[Cancellation Status]]&lt;&gt;"Yes",1,0)</f>
        <v>1</v>
      </c>
      <c r="O200" s="30">
        <v>45983</v>
      </c>
      <c r="P200" s="3">
        <v>1</v>
      </c>
      <c r="Q200" s="3">
        <v>4</v>
      </c>
      <c r="R200" s="3">
        <v>7</v>
      </c>
      <c r="S200" s="3">
        <v>8</v>
      </c>
      <c r="T20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00" t="str">
        <f>IF(Table1[[#This Row],[Customer Rating]]&gt;=9,"Promoter",IF(Table1[[#This Row],[Customer Rating]]&gt;=7,"Passive","Detractor"))</f>
        <v>Passive</v>
      </c>
    </row>
    <row r="201" spans="1:21" ht="14.25" customHeight="1" x14ac:dyDescent="0.3">
      <c r="A201" s="3" t="s">
        <v>236</v>
      </c>
      <c r="B201" s="3" t="s">
        <v>32</v>
      </c>
      <c r="C201" s="3" t="s">
        <v>30</v>
      </c>
      <c r="D201" s="14">
        <v>45955</v>
      </c>
      <c r="E201" s="11">
        <f>1</f>
        <v>1</v>
      </c>
      <c r="F201" s="14">
        <v>45958</v>
      </c>
      <c r="G201" s="11">
        <f>IF(Table1[[#This Row],[Pre-Booking Date]]&lt;&gt;"",1,0)</f>
        <v>1</v>
      </c>
      <c r="H201" s="4">
        <v>45960</v>
      </c>
      <c r="I201" s="11">
        <f>IF(Table1[[#This Row],[Booking Date]]&lt;&gt;"",1,0)</f>
        <v>1</v>
      </c>
      <c r="J201" s="30">
        <v>45966</v>
      </c>
      <c r="K201" s="11">
        <f>IF(Table1[[#This Row],[Delivery Date]]&lt;&gt;"",1,0)</f>
        <v>1</v>
      </c>
      <c r="L201" s="3" t="s">
        <v>2</v>
      </c>
      <c r="M201" s="3">
        <f>IF(Table1[[#This Row],[Cancellation Status]]&lt;&gt;"Yes",1,0)</f>
        <v>1</v>
      </c>
      <c r="O201" s="30">
        <v>45985</v>
      </c>
      <c r="P201" s="3">
        <v>3</v>
      </c>
      <c r="Q201" s="3">
        <v>2</v>
      </c>
      <c r="R201" s="3">
        <v>6</v>
      </c>
      <c r="S201" s="3">
        <v>2</v>
      </c>
      <c r="T20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01" t="str">
        <f>IF(Table1[[#This Row],[Customer Rating]]&gt;=9,"Promoter",IF(Table1[[#This Row],[Customer Rating]]&gt;=7,"Passive","Detractor"))</f>
        <v>Detractor</v>
      </c>
    </row>
    <row r="202" spans="1:21" ht="14.25" customHeight="1" x14ac:dyDescent="0.3">
      <c r="A202" s="3" t="s">
        <v>237</v>
      </c>
      <c r="B202" s="3" t="s">
        <v>39</v>
      </c>
      <c r="C202" s="3" t="s">
        <v>27</v>
      </c>
      <c r="D202" s="14">
        <v>45955</v>
      </c>
      <c r="E202" s="11">
        <f>1</f>
        <v>1</v>
      </c>
      <c r="F202" s="14">
        <v>45958</v>
      </c>
      <c r="G202" s="11">
        <f>IF(Table1[[#This Row],[Pre-Booking Date]]&lt;&gt;"",1,0)</f>
        <v>1</v>
      </c>
      <c r="H202" s="4">
        <v>45962</v>
      </c>
      <c r="I202" s="11">
        <f>IF(Table1[[#This Row],[Booking Date]]&lt;&gt;"",1,0)</f>
        <v>1</v>
      </c>
      <c r="J202" s="30">
        <v>45968</v>
      </c>
      <c r="K202" s="11">
        <f>IF(Table1[[#This Row],[Delivery Date]]&lt;&gt;"",1,0)</f>
        <v>1</v>
      </c>
      <c r="L202" s="3" t="s">
        <v>2</v>
      </c>
      <c r="M202" s="3">
        <f>IF(Table1[[#This Row],[Cancellation Status]]&lt;&gt;"Yes",1,0)</f>
        <v>1</v>
      </c>
      <c r="O202" s="30">
        <v>45982</v>
      </c>
      <c r="P202" s="3">
        <v>3</v>
      </c>
      <c r="Q202" s="3">
        <v>4</v>
      </c>
      <c r="R202" s="3">
        <v>6</v>
      </c>
      <c r="S202" s="3">
        <v>3</v>
      </c>
      <c r="T20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02" t="str">
        <f>IF(Table1[[#This Row],[Customer Rating]]&gt;=9,"Promoter",IF(Table1[[#This Row],[Customer Rating]]&gt;=7,"Passive","Detractor"))</f>
        <v>Detractor</v>
      </c>
    </row>
    <row r="203" spans="1:21" ht="14.25" customHeight="1" x14ac:dyDescent="0.3">
      <c r="A203" s="3" t="s">
        <v>238</v>
      </c>
      <c r="B203" s="3" t="s">
        <v>32</v>
      </c>
      <c r="C203" s="3" t="s">
        <v>27</v>
      </c>
      <c r="D203" s="14">
        <v>45955</v>
      </c>
      <c r="E203" s="11">
        <f>1</f>
        <v>1</v>
      </c>
      <c r="F203" s="14">
        <v>45959</v>
      </c>
      <c r="G203" s="11">
        <f>IF(Table1[[#This Row],[Pre-Booking Date]]&lt;&gt;"",1,0)</f>
        <v>1</v>
      </c>
      <c r="H203" s="4">
        <v>45960</v>
      </c>
      <c r="I203" s="11">
        <f>IF(Table1[[#This Row],[Booking Date]]&lt;&gt;"",1,0)</f>
        <v>1</v>
      </c>
      <c r="J203" s="30">
        <v>45962</v>
      </c>
      <c r="K203" s="11">
        <f>IF(Table1[[#This Row],[Delivery Date]]&lt;&gt;"",1,0)</f>
        <v>1</v>
      </c>
      <c r="L203" s="3" t="s">
        <v>3</v>
      </c>
      <c r="M203" s="3">
        <f>IF(Table1[[#This Row],[Cancellation Status]]&lt;&gt;"Yes",1,0)</f>
        <v>0</v>
      </c>
      <c r="N203" s="3" t="s">
        <v>42</v>
      </c>
      <c r="P203" s="3">
        <v>4</v>
      </c>
      <c r="Q203" s="3">
        <v>1</v>
      </c>
      <c r="R203" s="3">
        <v>2</v>
      </c>
      <c r="T20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03" t="str">
        <f>IF(Table1[[#This Row],[Customer Rating]]&gt;=9,"Promoter",IF(Table1[[#This Row],[Customer Rating]]&gt;=7,"Passive","Detractor"))</f>
        <v>Detractor</v>
      </c>
    </row>
    <row r="204" spans="1:21" ht="14.25" customHeight="1" x14ac:dyDescent="0.3">
      <c r="A204" s="3" t="s">
        <v>239</v>
      </c>
      <c r="B204" s="3" t="s">
        <v>26</v>
      </c>
      <c r="C204" s="3" t="s">
        <v>30</v>
      </c>
      <c r="D204" s="14">
        <v>45955</v>
      </c>
      <c r="E204" s="11">
        <f>1</f>
        <v>1</v>
      </c>
      <c r="F204" s="14">
        <v>45957</v>
      </c>
      <c r="G204" s="11">
        <f>IF(Table1[[#This Row],[Pre-Booking Date]]&lt;&gt;"",1,0)</f>
        <v>1</v>
      </c>
      <c r="H204" s="4">
        <v>45961</v>
      </c>
      <c r="I204" s="11">
        <f>IF(Table1[[#This Row],[Booking Date]]&lt;&gt;"",1,0)</f>
        <v>1</v>
      </c>
      <c r="J204" s="30">
        <v>45963</v>
      </c>
      <c r="K204" s="11">
        <f>IF(Table1[[#This Row],[Delivery Date]]&lt;&gt;"",1,0)</f>
        <v>1</v>
      </c>
      <c r="L204" s="3" t="s">
        <v>2</v>
      </c>
      <c r="M204" s="3">
        <f>IF(Table1[[#This Row],[Cancellation Status]]&lt;&gt;"Yes",1,0)</f>
        <v>1</v>
      </c>
      <c r="O204" s="30">
        <v>45991</v>
      </c>
      <c r="P204" s="3">
        <v>2</v>
      </c>
      <c r="Q204" s="3">
        <v>4</v>
      </c>
      <c r="R204" s="3">
        <v>2</v>
      </c>
      <c r="S204" s="3">
        <v>10</v>
      </c>
      <c r="T20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04" t="str">
        <f>IF(Table1[[#This Row],[Customer Rating]]&gt;=9,"Promoter",IF(Table1[[#This Row],[Customer Rating]]&gt;=7,"Passive","Detractor"))</f>
        <v>Promoter</v>
      </c>
    </row>
    <row r="205" spans="1:21" ht="14.25" customHeight="1" x14ac:dyDescent="0.3">
      <c r="A205" s="3" t="s">
        <v>240</v>
      </c>
      <c r="B205" s="3" t="s">
        <v>32</v>
      </c>
      <c r="C205" s="3" t="s">
        <v>27</v>
      </c>
      <c r="D205" s="14">
        <v>45955</v>
      </c>
      <c r="E205" s="11">
        <f>1</f>
        <v>1</v>
      </c>
      <c r="F205" s="14">
        <v>45958</v>
      </c>
      <c r="G205" s="11">
        <f>IF(Table1[[#This Row],[Pre-Booking Date]]&lt;&gt;"",1,0)</f>
        <v>1</v>
      </c>
      <c r="H205" s="4">
        <v>45963</v>
      </c>
      <c r="I205" s="11">
        <f>IF(Table1[[#This Row],[Booking Date]]&lt;&gt;"",1,0)</f>
        <v>1</v>
      </c>
      <c r="J205" s="30">
        <v>45966</v>
      </c>
      <c r="K205" s="11">
        <f>IF(Table1[[#This Row],[Delivery Date]]&lt;&gt;"",1,0)</f>
        <v>1</v>
      </c>
      <c r="L205" s="3" t="s">
        <v>2</v>
      </c>
      <c r="M205" s="3">
        <f>IF(Table1[[#This Row],[Cancellation Status]]&lt;&gt;"Yes",1,0)</f>
        <v>1</v>
      </c>
      <c r="O205" s="30">
        <v>45995</v>
      </c>
      <c r="P205" s="3">
        <v>3</v>
      </c>
      <c r="Q205" s="3">
        <v>5</v>
      </c>
      <c r="R205" s="3">
        <v>3</v>
      </c>
      <c r="S205" s="3">
        <v>6</v>
      </c>
      <c r="T20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05" t="str">
        <f>IF(Table1[[#This Row],[Customer Rating]]&gt;=9,"Promoter",IF(Table1[[#This Row],[Customer Rating]]&gt;=7,"Passive","Detractor"))</f>
        <v>Detractor</v>
      </c>
    </row>
    <row r="206" spans="1:21" ht="14.25" customHeight="1" x14ac:dyDescent="0.3">
      <c r="A206" s="3" t="s">
        <v>241</v>
      </c>
      <c r="B206" s="3" t="s">
        <v>26</v>
      </c>
      <c r="C206" s="3" t="s">
        <v>30</v>
      </c>
      <c r="D206" s="14">
        <v>45955</v>
      </c>
      <c r="E206" s="11">
        <f>1</f>
        <v>1</v>
      </c>
      <c r="F206" s="14">
        <v>45958</v>
      </c>
      <c r="G206" s="11">
        <f>IF(Table1[[#This Row],[Pre-Booking Date]]&lt;&gt;"",1,0)</f>
        <v>1</v>
      </c>
      <c r="H206" s="4">
        <v>45962</v>
      </c>
      <c r="I206" s="11">
        <f>IF(Table1[[#This Row],[Booking Date]]&lt;&gt;"",1,0)</f>
        <v>1</v>
      </c>
      <c r="J206" s="30">
        <v>45967</v>
      </c>
      <c r="K206" s="11">
        <f>IF(Table1[[#This Row],[Delivery Date]]&lt;&gt;"",1,0)</f>
        <v>1</v>
      </c>
      <c r="L206" s="3" t="s">
        <v>2</v>
      </c>
      <c r="M206" s="3">
        <f>IF(Table1[[#This Row],[Cancellation Status]]&lt;&gt;"Yes",1,0)</f>
        <v>1</v>
      </c>
      <c r="O206" s="30">
        <v>45985</v>
      </c>
      <c r="P206" s="3">
        <v>3</v>
      </c>
      <c r="Q206" s="3">
        <v>4</v>
      </c>
      <c r="R206" s="3">
        <v>5</v>
      </c>
      <c r="S206" s="3">
        <v>5</v>
      </c>
      <c r="T20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06" t="str">
        <f>IF(Table1[[#This Row],[Customer Rating]]&gt;=9,"Promoter",IF(Table1[[#This Row],[Customer Rating]]&gt;=7,"Passive","Detractor"))</f>
        <v>Detractor</v>
      </c>
    </row>
    <row r="207" spans="1:21" ht="14.25" customHeight="1" x14ac:dyDescent="0.3">
      <c r="A207" s="3" t="s">
        <v>242</v>
      </c>
      <c r="B207" s="3" t="s">
        <v>32</v>
      </c>
      <c r="C207" s="3" t="s">
        <v>27</v>
      </c>
      <c r="D207" s="14">
        <v>45955</v>
      </c>
      <c r="E207" s="11">
        <f>1</f>
        <v>1</v>
      </c>
      <c r="F207" s="14">
        <v>45958</v>
      </c>
      <c r="G207" s="11">
        <f>IF(Table1[[#This Row],[Pre-Booking Date]]&lt;&gt;"",1,0)</f>
        <v>1</v>
      </c>
      <c r="H207" s="4">
        <v>45963</v>
      </c>
      <c r="I207" s="11">
        <f>IF(Table1[[#This Row],[Booking Date]]&lt;&gt;"",1,0)</f>
        <v>1</v>
      </c>
      <c r="J207" s="30">
        <v>45966</v>
      </c>
      <c r="K207" s="11">
        <f>IF(Table1[[#This Row],[Delivery Date]]&lt;&gt;"",1,0)</f>
        <v>1</v>
      </c>
      <c r="L207" s="3" t="s">
        <v>2</v>
      </c>
      <c r="M207" s="3">
        <f>IF(Table1[[#This Row],[Cancellation Status]]&lt;&gt;"Yes",1,0)</f>
        <v>1</v>
      </c>
      <c r="O207" s="30">
        <v>45979</v>
      </c>
      <c r="P207" s="3">
        <v>3</v>
      </c>
      <c r="Q207" s="3">
        <v>5</v>
      </c>
      <c r="R207" s="3">
        <v>3</v>
      </c>
      <c r="S207" s="3">
        <v>10</v>
      </c>
      <c r="T20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07" t="str">
        <f>IF(Table1[[#This Row],[Customer Rating]]&gt;=9,"Promoter",IF(Table1[[#This Row],[Customer Rating]]&gt;=7,"Passive","Detractor"))</f>
        <v>Promoter</v>
      </c>
    </row>
    <row r="208" spans="1:21" ht="14.25" customHeight="1" x14ac:dyDescent="0.3">
      <c r="A208" s="3" t="s">
        <v>243</v>
      </c>
      <c r="B208" s="3" t="s">
        <v>32</v>
      </c>
      <c r="C208" s="3" t="s">
        <v>30</v>
      </c>
      <c r="D208" s="14">
        <v>45955</v>
      </c>
      <c r="E208" s="11">
        <f>1</f>
        <v>1</v>
      </c>
      <c r="F208" s="14">
        <v>45960</v>
      </c>
      <c r="G208" s="11">
        <f>IF(Table1[[#This Row],[Pre-Booking Date]]&lt;&gt;"",1,0)</f>
        <v>1</v>
      </c>
      <c r="H208" s="4">
        <v>45964</v>
      </c>
      <c r="I208" s="11">
        <f>IF(Table1[[#This Row],[Booking Date]]&lt;&gt;"",1,0)</f>
        <v>1</v>
      </c>
      <c r="J208" s="30">
        <v>45966</v>
      </c>
      <c r="K208" s="11">
        <f>IF(Table1[[#This Row],[Delivery Date]]&lt;&gt;"",1,0)</f>
        <v>1</v>
      </c>
      <c r="L208" s="3" t="s">
        <v>3</v>
      </c>
      <c r="M208" s="3">
        <f>IF(Table1[[#This Row],[Cancellation Status]]&lt;&gt;"Yes",1,0)</f>
        <v>0</v>
      </c>
      <c r="N208" s="3" t="s">
        <v>55</v>
      </c>
      <c r="P208" s="3">
        <v>5</v>
      </c>
      <c r="Q208" s="3">
        <v>4</v>
      </c>
      <c r="R208" s="3">
        <v>2</v>
      </c>
      <c r="T20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08" t="str">
        <f>IF(Table1[[#This Row],[Customer Rating]]&gt;=9,"Promoter",IF(Table1[[#This Row],[Customer Rating]]&gt;=7,"Passive","Detractor"))</f>
        <v>Detractor</v>
      </c>
    </row>
    <row r="209" spans="1:21" ht="14.25" customHeight="1" x14ac:dyDescent="0.3">
      <c r="A209" s="3" t="s">
        <v>244</v>
      </c>
      <c r="B209" s="3" t="s">
        <v>29</v>
      </c>
      <c r="C209" s="3" t="s">
        <v>27</v>
      </c>
      <c r="D209" s="14">
        <v>45955</v>
      </c>
      <c r="E209" s="11">
        <f>1</f>
        <v>1</v>
      </c>
      <c r="F209" s="14">
        <v>45956</v>
      </c>
      <c r="G209" s="11">
        <f>IF(Table1[[#This Row],[Pre-Booking Date]]&lt;&gt;"",1,0)</f>
        <v>1</v>
      </c>
      <c r="H209" s="4">
        <v>45959</v>
      </c>
      <c r="I209" s="11">
        <f>IF(Table1[[#This Row],[Booking Date]]&lt;&gt;"",1,0)</f>
        <v>1</v>
      </c>
      <c r="J209" s="30">
        <v>45961</v>
      </c>
      <c r="K209" s="11">
        <f>IF(Table1[[#This Row],[Delivery Date]]&lt;&gt;"",1,0)</f>
        <v>1</v>
      </c>
      <c r="L209" s="3" t="s">
        <v>2</v>
      </c>
      <c r="M209" s="3">
        <f>IF(Table1[[#This Row],[Cancellation Status]]&lt;&gt;"Yes",1,0)</f>
        <v>1</v>
      </c>
      <c r="O209" s="30">
        <v>45979</v>
      </c>
      <c r="P209" s="3">
        <v>1</v>
      </c>
      <c r="Q209" s="3">
        <v>3</v>
      </c>
      <c r="R209" s="3">
        <v>2</v>
      </c>
      <c r="S209" s="3">
        <v>3</v>
      </c>
      <c r="T20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09" t="str">
        <f>IF(Table1[[#This Row],[Customer Rating]]&gt;=9,"Promoter",IF(Table1[[#This Row],[Customer Rating]]&gt;=7,"Passive","Detractor"))</f>
        <v>Detractor</v>
      </c>
    </row>
    <row r="210" spans="1:21" ht="14.25" customHeight="1" x14ac:dyDescent="0.3">
      <c r="A210" s="3" t="s">
        <v>245</v>
      </c>
      <c r="B210" s="3" t="s">
        <v>29</v>
      </c>
      <c r="C210" s="3" t="s">
        <v>27</v>
      </c>
      <c r="D210" s="14">
        <v>45955</v>
      </c>
      <c r="E210" s="11">
        <f>1</f>
        <v>1</v>
      </c>
      <c r="F210" s="14">
        <v>45957</v>
      </c>
      <c r="G210" s="11">
        <f>IF(Table1[[#This Row],[Pre-Booking Date]]&lt;&gt;"",1,0)</f>
        <v>1</v>
      </c>
      <c r="H210" s="4">
        <v>45961</v>
      </c>
      <c r="I210" s="11">
        <f>IF(Table1[[#This Row],[Booking Date]]&lt;&gt;"",1,0)</f>
        <v>1</v>
      </c>
      <c r="J210" s="30">
        <v>45965</v>
      </c>
      <c r="K210" s="11">
        <f>IF(Table1[[#This Row],[Delivery Date]]&lt;&gt;"",1,0)</f>
        <v>1</v>
      </c>
      <c r="L210" s="3" t="s">
        <v>2</v>
      </c>
      <c r="M210" s="3">
        <f>IF(Table1[[#This Row],[Cancellation Status]]&lt;&gt;"Yes",1,0)</f>
        <v>1</v>
      </c>
      <c r="O210" s="30">
        <v>45980</v>
      </c>
      <c r="P210" s="3">
        <v>2</v>
      </c>
      <c r="Q210" s="3">
        <v>4</v>
      </c>
      <c r="R210" s="3">
        <v>4</v>
      </c>
      <c r="S210" s="3">
        <v>0</v>
      </c>
      <c r="T21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10" t="str">
        <f>IF(Table1[[#This Row],[Customer Rating]]&gt;=9,"Promoter",IF(Table1[[#This Row],[Customer Rating]]&gt;=7,"Passive","Detractor"))</f>
        <v>Detractor</v>
      </c>
    </row>
    <row r="211" spans="1:21" ht="14.25" customHeight="1" x14ac:dyDescent="0.3">
      <c r="A211" s="3" t="s">
        <v>246</v>
      </c>
      <c r="B211" s="3" t="s">
        <v>29</v>
      </c>
      <c r="C211" s="3" t="s">
        <v>27</v>
      </c>
      <c r="D211" s="14">
        <v>45955</v>
      </c>
      <c r="E211" s="11">
        <f>1</f>
        <v>1</v>
      </c>
      <c r="F211" s="14">
        <v>45958</v>
      </c>
      <c r="G211" s="11">
        <f>IF(Table1[[#This Row],[Pre-Booking Date]]&lt;&gt;"",1,0)</f>
        <v>1</v>
      </c>
      <c r="H211" s="4">
        <v>45963</v>
      </c>
      <c r="I211" s="11">
        <f>IF(Table1[[#This Row],[Booking Date]]&lt;&gt;"",1,0)</f>
        <v>1</v>
      </c>
      <c r="J211" s="30">
        <v>45965</v>
      </c>
      <c r="K211" s="11">
        <f>IF(Table1[[#This Row],[Delivery Date]]&lt;&gt;"",1,0)</f>
        <v>1</v>
      </c>
      <c r="L211" s="3" t="s">
        <v>3</v>
      </c>
      <c r="M211" s="3">
        <f>IF(Table1[[#This Row],[Cancellation Status]]&lt;&gt;"Yes",1,0)</f>
        <v>0</v>
      </c>
      <c r="N211" s="3" t="s">
        <v>52</v>
      </c>
      <c r="P211" s="3">
        <v>3</v>
      </c>
      <c r="Q211" s="3">
        <v>5</v>
      </c>
      <c r="R211" s="3">
        <v>2</v>
      </c>
      <c r="T21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11" t="str">
        <f>IF(Table1[[#This Row],[Customer Rating]]&gt;=9,"Promoter",IF(Table1[[#This Row],[Customer Rating]]&gt;=7,"Passive","Detractor"))</f>
        <v>Detractor</v>
      </c>
    </row>
    <row r="212" spans="1:21" ht="14.25" customHeight="1" x14ac:dyDescent="0.3">
      <c r="A212" s="3" t="s">
        <v>247</v>
      </c>
      <c r="B212" s="3" t="s">
        <v>32</v>
      </c>
      <c r="C212" s="3" t="s">
        <v>27</v>
      </c>
      <c r="D212" s="14">
        <v>45955</v>
      </c>
      <c r="E212" s="11">
        <f>1</f>
        <v>1</v>
      </c>
      <c r="F212" s="14">
        <v>45956</v>
      </c>
      <c r="G212" s="11">
        <f>IF(Table1[[#This Row],[Pre-Booking Date]]&lt;&gt;"",1,0)</f>
        <v>1</v>
      </c>
      <c r="H212" s="4">
        <v>45959</v>
      </c>
      <c r="I212" s="11">
        <f>IF(Table1[[#This Row],[Booking Date]]&lt;&gt;"",1,0)</f>
        <v>1</v>
      </c>
      <c r="J212" s="30">
        <v>45963</v>
      </c>
      <c r="K212" s="11">
        <f>IF(Table1[[#This Row],[Delivery Date]]&lt;&gt;"",1,0)</f>
        <v>1</v>
      </c>
      <c r="L212" s="3" t="s">
        <v>3</v>
      </c>
      <c r="M212" s="3">
        <f>IF(Table1[[#This Row],[Cancellation Status]]&lt;&gt;"Yes",1,0)</f>
        <v>0</v>
      </c>
      <c r="N212" s="3" t="s">
        <v>52</v>
      </c>
      <c r="P212" s="3">
        <v>1</v>
      </c>
      <c r="Q212" s="3">
        <v>3</v>
      </c>
      <c r="R212" s="3">
        <v>4</v>
      </c>
      <c r="T21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12" t="str">
        <f>IF(Table1[[#This Row],[Customer Rating]]&gt;=9,"Promoter",IF(Table1[[#This Row],[Customer Rating]]&gt;=7,"Passive","Detractor"))</f>
        <v>Detractor</v>
      </c>
    </row>
    <row r="213" spans="1:21" ht="14.25" customHeight="1" x14ac:dyDescent="0.3">
      <c r="A213" s="3" t="s">
        <v>248</v>
      </c>
      <c r="B213" s="3" t="s">
        <v>26</v>
      </c>
      <c r="C213" s="3" t="s">
        <v>33</v>
      </c>
      <c r="D213" s="14">
        <v>45955</v>
      </c>
      <c r="E213" s="11">
        <f>1</f>
        <v>1</v>
      </c>
      <c r="G213" s="12">
        <f>IF(Table1[[#This Row],[Pre-Booking Date]]&lt;&gt;"",1,0)</f>
        <v>0</v>
      </c>
      <c r="I213" s="12">
        <f>IF(Table1[[#This Row],[Booking Date]]&lt;&gt;"",1,0)</f>
        <v>0</v>
      </c>
      <c r="K213" s="12">
        <f>IF(Table1[[#This Row],[Delivery Date]]&lt;&gt;"",1,0)</f>
        <v>0</v>
      </c>
      <c r="L213" s="3" t="s">
        <v>3</v>
      </c>
      <c r="M213" s="3">
        <f>IF(Table1[[#This Row],[Cancellation Status]]&lt;&gt;"Yes",1,0)</f>
        <v>0</v>
      </c>
      <c r="N213" s="3" t="s">
        <v>37</v>
      </c>
      <c r="T21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13" t="str">
        <f>IF(Table1[[#This Row],[Customer Rating]]&gt;=9,"Promoter",IF(Table1[[#This Row],[Customer Rating]]&gt;=7,"Passive","Detractor"))</f>
        <v>Detractor</v>
      </c>
    </row>
    <row r="214" spans="1:21" ht="14.25" customHeight="1" x14ac:dyDescent="0.3">
      <c r="A214" s="3" t="s">
        <v>249</v>
      </c>
      <c r="B214" s="3" t="s">
        <v>32</v>
      </c>
      <c r="C214" s="3" t="s">
        <v>30</v>
      </c>
      <c r="D214" s="14">
        <v>45955</v>
      </c>
      <c r="E214" s="11">
        <f>1</f>
        <v>1</v>
      </c>
      <c r="F214" s="14">
        <v>45956</v>
      </c>
      <c r="G214" s="11">
        <f>IF(Table1[[#This Row],[Pre-Booking Date]]&lt;&gt;"",1,0)</f>
        <v>1</v>
      </c>
      <c r="H214" s="4">
        <v>45960</v>
      </c>
      <c r="I214" s="11">
        <f>IF(Table1[[#This Row],[Booking Date]]&lt;&gt;"",1,0)</f>
        <v>1</v>
      </c>
      <c r="J214" s="30">
        <v>45967</v>
      </c>
      <c r="K214" s="11">
        <f>IF(Table1[[#This Row],[Delivery Date]]&lt;&gt;"",1,0)</f>
        <v>1</v>
      </c>
      <c r="L214" s="3" t="s">
        <v>2</v>
      </c>
      <c r="M214" s="3">
        <f>IF(Table1[[#This Row],[Cancellation Status]]&lt;&gt;"Yes",1,0)</f>
        <v>1</v>
      </c>
      <c r="O214" s="30">
        <v>45993</v>
      </c>
      <c r="P214" s="3">
        <v>1</v>
      </c>
      <c r="Q214" s="3">
        <v>4</v>
      </c>
      <c r="R214" s="3">
        <v>7</v>
      </c>
      <c r="S214" s="3">
        <v>9</v>
      </c>
      <c r="T21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14" t="str">
        <f>IF(Table1[[#This Row],[Customer Rating]]&gt;=9,"Promoter",IF(Table1[[#This Row],[Customer Rating]]&gt;=7,"Passive","Detractor"))</f>
        <v>Promoter</v>
      </c>
    </row>
    <row r="215" spans="1:21" ht="14.25" customHeight="1" x14ac:dyDescent="0.3">
      <c r="A215" s="3" t="s">
        <v>250</v>
      </c>
      <c r="B215" s="3" t="s">
        <v>29</v>
      </c>
      <c r="C215" s="3" t="s">
        <v>27</v>
      </c>
      <c r="D215" s="14">
        <v>45955</v>
      </c>
      <c r="E215" s="11">
        <f>1</f>
        <v>1</v>
      </c>
      <c r="F215" s="14">
        <v>45956</v>
      </c>
      <c r="G215" s="11">
        <f>IF(Table1[[#This Row],[Pre-Booking Date]]&lt;&gt;"",1,0)</f>
        <v>1</v>
      </c>
      <c r="H215" s="4">
        <v>45957</v>
      </c>
      <c r="I215" s="11">
        <f>IF(Table1[[#This Row],[Booking Date]]&lt;&gt;"",1,0)</f>
        <v>1</v>
      </c>
      <c r="J215" s="30">
        <v>45959</v>
      </c>
      <c r="K215" s="11">
        <f>IF(Table1[[#This Row],[Delivery Date]]&lt;&gt;"",1,0)</f>
        <v>1</v>
      </c>
      <c r="L215" s="3" t="s">
        <v>2</v>
      </c>
      <c r="M215" s="3">
        <f>IF(Table1[[#This Row],[Cancellation Status]]&lt;&gt;"Yes",1,0)</f>
        <v>1</v>
      </c>
      <c r="O215" s="30">
        <v>45979</v>
      </c>
      <c r="P215" s="3">
        <v>1</v>
      </c>
      <c r="Q215" s="3">
        <v>1</v>
      </c>
      <c r="R215" s="3">
        <v>2</v>
      </c>
      <c r="S215" s="3">
        <v>5</v>
      </c>
      <c r="T21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15" t="str">
        <f>IF(Table1[[#This Row],[Customer Rating]]&gt;=9,"Promoter",IF(Table1[[#This Row],[Customer Rating]]&gt;=7,"Passive","Detractor"))</f>
        <v>Detractor</v>
      </c>
    </row>
    <row r="216" spans="1:21" ht="14.25" customHeight="1" x14ac:dyDescent="0.3">
      <c r="A216" s="3" t="s">
        <v>251</v>
      </c>
      <c r="B216" s="3" t="s">
        <v>26</v>
      </c>
      <c r="C216" s="3" t="s">
        <v>30</v>
      </c>
      <c r="D216" s="14">
        <v>45955</v>
      </c>
      <c r="E216" s="11">
        <f>1</f>
        <v>1</v>
      </c>
      <c r="F216" s="14">
        <v>45957</v>
      </c>
      <c r="G216" s="11">
        <f>IF(Table1[[#This Row],[Pre-Booking Date]]&lt;&gt;"",1,0)</f>
        <v>1</v>
      </c>
      <c r="H216" s="4">
        <v>45959</v>
      </c>
      <c r="I216" s="11">
        <f>IF(Table1[[#This Row],[Booking Date]]&lt;&gt;"",1,0)</f>
        <v>1</v>
      </c>
      <c r="J216" s="30">
        <v>45964</v>
      </c>
      <c r="K216" s="11">
        <f>IF(Table1[[#This Row],[Delivery Date]]&lt;&gt;"",1,0)</f>
        <v>1</v>
      </c>
      <c r="L216" s="3" t="s">
        <v>2</v>
      </c>
      <c r="M216" s="3">
        <f>IF(Table1[[#This Row],[Cancellation Status]]&lt;&gt;"Yes",1,0)</f>
        <v>1</v>
      </c>
      <c r="O216" s="30">
        <v>45994</v>
      </c>
      <c r="P216" s="3">
        <v>2</v>
      </c>
      <c r="Q216" s="3">
        <v>2</v>
      </c>
      <c r="R216" s="3">
        <v>5</v>
      </c>
      <c r="S216" s="3">
        <v>10</v>
      </c>
      <c r="T21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16" t="str">
        <f>IF(Table1[[#This Row],[Customer Rating]]&gt;=9,"Promoter",IF(Table1[[#This Row],[Customer Rating]]&gt;=7,"Passive","Detractor"))</f>
        <v>Promoter</v>
      </c>
    </row>
    <row r="217" spans="1:21" ht="14.25" customHeight="1" x14ac:dyDescent="0.3">
      <c r="A217" s="3" t="s">
        <v>252</v>
      </c>
      <c r="B217" s="3" t="s">
        <v>29</v>
      </c>
      <c r="C217" s="3" t="s">
        <v>27</v>
      </c>
      <c r="D217" s="14">
        <v>45955</v>
      </c>
      <c r="E217" s="11">
        <f>1</f>
        <v>1</v>
      </c>
      <c r="F217" s="14">
        <v>45960</v>
      </c>
      <c r="G217" s="11">
        <f>IF(Table1[[#This Row],[Pre-Booking Date]]&lt;&gt;"",1,0)</f>
        <v>1</v>
      </c>
      <c r="H217" s="4">
        <v>45965</v>
      </c>
      <c r="I217" s="11">
        <f>IF(Table1[[#This Row],[Booking Date]]&lt;&gt;"",1,0)</f>
        <v>1</v>
      </c>
      <c r="J217" s="30">
        <v>45969</v>
      </c>
      <c r="K217" s="11">
        <f>IF(Table1[[#This Row],[Delivery Date]]&lt;&gt;"",1,0)</f>
        <v>1</v>
      </c>
      <c r="L217" s="3" t="s">
        <v>2</v>
      </c>
      <c r="M217" s="3">
        <f>IF(Table1[[#This Row],[Cancellation Status]]&lt;&gt;"Yes",1,0)</f>
        <v>1</v>
      </c>
      <c r="O217" s="30">
        <v>45995</v>
      </c>
      <c r="P217" s="3">
        <v>5</v>
      </c>
      <c r="Q217" s="3">
        <v>5</v>
      </c>
      <c r="R217" s="3">
        <v>4</v>
      </c>
      <c r="S217" s="3">
        <v>5</v>
      </c>
      <c r="T21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17" t="str">
        <f>IF(Table1[[#This Row],[Customer Rating]]&gt;=9,"Promoter",IF(Table1[[#This Row],[Customer Rating]]&gt;=7,"Passive","Detractor"))</f>
        <v>Detractor</v>
      </c>
    </row>
    <row r="218" spans="1:21" ht="14.25" customHeight="1" x14ac:dyDescent="0.3">
      <c r="A218" s="3" t="s">
        <v>253</v>
      </c>
      <c r="B218" s="3" t="s">
        <v>29</v>
      </c>
      <c r="C218" s="3" t="s">
        <v>33</v>
      </c>
      <c r="D218" s="14">
        <v>45955</v>
      </c>
      <c r="E218" s="11">
        <f>1</f>
        <v>1</v>
      </c>
      <c r="G218" s="12">
        <f>IF(Table1[[#This Row],[Pre-Booking Date]]&lt;&gt;"",1,0)</f>
        <v>0</v>
      </c>
      <c r="I218" s="12">
        <f>IF(Table1[[#This Row],[Booking Date]]&lt;&gt;"",1,0)</f>
        <v>0</v>
      </c>
      <c r="K218" s="12">
        <f>IF(Table1[[#This Row],[Delivery Date]]&lt;&gt;"",1,0)</f>
        <v>0</v>
      </c>
      <c r="L218" s="3" t="s">
        <v>3</v>
      </c>
      <c r="M218" s="3">
        <f>IF(Table1[[#This Row],[Cancellation Status]]&lt;&gt;"Yes",1,0)</f>
        <v>0</v>
      </c>
      <c r="N218" s="3" t="s">
        <v>52</v>
      </c>
      <c r="T21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18" t="str">
        <f>IF(Table1[[#This Row],[Customer Rating]]&gt;=9,"Promoter",IF(Table1[[#This Row],[Customer Rating]]&gt;=7,"Passive","Detractor"))</f>
        <v>Detractor</v>
      </c>
    </row>
    <row r="219" spans="1:21" ht="14.25" customHeight="1" x14ac:dyDescent="0.3">
      <c r="A219" s="3" t="s">
        <v>254</v>
      </c>
      <c r="B219" s="3" t="s">
        <v>26</v>
      </c>
      <c r="C219" s="3" t="s">
        <v>27</v>
      </c>
      <c r="D219" s="14">
        <v>45955</v>
      </c>
      <c r="E219" s="11">
        <f>1</f>
        <v>1</v>
      </c>
      <c r="F219" s="14">
        <v>45958</v>
      </c>
      <c r="G219" s="11">
        <f>IF(Table1[[#This Row],[Pre-Booking Date]]&lt;&gt;"",1,0)</f>
        <v>1</v>
      </c>
      <c r="H219" s="4">
        <v>45960</v>
      </c>
      <c r="I219" s="11">
        <f>IF(Table1[[#This Row],[Booking Date]]&lt;&gt;"",1,0)</f>
        <v>1</v>
      </c>
      <c r="J219" s="30">
        <v>45965</v>
      </c>
      <c r="K219" s="11">
        <f>IF(Table1[[#This Row],[Delivery Date]]&lt;&gt;"",1,0)</f>
        <v>1</v>
      </c>
      <c r="L219" s="3" t="s">
        <v>2</v>
      </c>
      <c r="M219" s="3">
        <f>IF(Table1[[#This Row],[Cancellation Status]]&lt;&gt;"Yes",1,0)</f>
        <v>1</v>
      </c>
      <c r="O219" s="30">
        <v>45975</v>
      </c>
      <c r="P219" s="3">
        <v>3</v>
      </c>
      <c r="Q219" s="3">
        <v>2</v>
      </c>
      <c r="R219" s="3">
        <v>5</v>
      </c>
      <c r="S219" s="3">
        <v>2</v>
      </c>
      <c r="T21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19" t="str">
        <f>IF(Table1[[#This Row],[Customer Rating]]&gt;=9,"Promoter",IF(Table1[[#This Row],[Customer Rating]]&gt;=7,"Passive","Detractor"))</f>
        <v>Detractor</v>
      </c>
    </row>
    <row r="220" spans="1:21" ht="14.25" customHeight="1" x14ac:dyDescent="0.3">
      <c r="A220" s="3" t="s">
        <v>255</v>
      </c>
      <c r="B220" s="3" t="s">
        <v>32</v>
      </c>
      <c r="C220" s="3" t="s">
        <v>30</v>
      </c>
      <c r="D220" s="14">
        <v>45955</v>
      </c>
      <c r="E220" s="11">
        <f>1</f>
        <v>1</v>
      </c>
      <c r="F220" s="14">
        <v>45956</v>
      </c>
      <c r="G220" s="11">
        <f>IF(Table1[[#This Row],[Pre-Booking Date]]&lt;&gt;"",1,0)</f>
        <v>1</v>
      </c>
      <c r="H220" s="4">
        <v>45961</v>
      </c>
      <c r="I220" s="11">
        <f>IF(Table1[[#This Row],[Booking Date]]&lt;&gt;"",1,0)</f>
        <v>1</v>
      </c>
      <c r="J220" s="30">
        <v>45963</v>
      </c>
      <c r="K220" s="11">
        <f>IF(Table1[[#This Row],[Delivery Date]]&lt;&gt;"",1,0)</f>
        <v>1</v>
      </c>
      <c r="L220" s="3" t="s">
        <v>2</v>
      </c>
      <c r="M220" s="3">
        <f>IF(Table1[[#This Row],[Cancellation Status]]&lt;&gt;"Yes",1,0)</f>
        <v>1</v>
      </c>
      <c r="O220" s="30">
        <v>45978</v>
      </c>
      <c r="P220" s="3">
        <v>1</v>
      </c>
      <c r="Q220" s="3">
        <v>5</v>
      </c>
      <c r="R220" s="3">
        <v>2</v>
      </c>
      <c r="S220" s="3">
        <v>4</v>
      </c>
      <c r="T22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20" t="str">
        <f>IF(Table1[[#This Row],[Customer Rating]]&gt;=9,"Promoter",IF(Table1[[#This Row],[Customer Rating]]&gt;=7,"Passive","Detractor"))</f>
        <v>Detractor</v>
      </c>
    </row>
    <row r="221" spans="1:21" ht="14.25" customHeight="1" x14ac:dyDescent="0.3">
      <c r="A221" s="3" t="s">
        <v>256</v>
      </c>
      <c r="B221" s="3" t="s">
        <v>32</v>
      </c>
      <c r="C221" s="3" t="s">
        <v>27</v>
      </c>
      <c r="D221" s="14">
        <v>45955</v>
      </c>
      <c r="E221" s="11">
        <f>1</f>
        <v>1</v>
      </c>
      <c r="F221" s="14">
        <v>45957</v>
      </c>
      <c r="G221" s="11">
        <f>IF(Table1[[#This Row],[Pre-Booking Date]]&lt;&gt;"",1,0)</f>
        <v>1</v>
      </c>
      <c r="H221" s="4">
        <v>45958</v>
      </c>
      <c r="I221" s="11">
        <f>IF(Table1[[#This Row],[Booking Date]]&lt;&gt;"",1,0)</f>
        <v>1</v>
      </c>
      <c r="J221" s="30">
        <v>45963</v>
      </c>
      <c r="K221" s="11">
        <f>IF(Table1[[#This Row],[Delivery Date]]&lt;&gt;"",1,0)</f>
        <v>1</v>
      </c>
      <c r="L221" s="3" t="s">
        <v>2</v>
      </c>
      <c r="M221" s="3">
        <f>IF(Table1[[#This Row],[Cancellation Status]]&lt;&gt;"Yes",1,0)</f>
        <v>1</v>
      </c>
      <c r="O221" s="30">
        <v>45983</v>
      </c>
      <c r="P221" s="3">
        <v>2</v>
      </c>
      <c r="Q221" s="3">
        <v>1</v>
      </c>
      <c r="R221" s="3">
        <v>5</v>
      </c>
      <c r="S221" s="3">
        <v>9</v>
      </c>
      <c r="T22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21" t="str">
        <f>IF(Table1[[#This Row],[Customer Rating]]&gt;=9,"Promoter",IF(Table1[[#This Row],[Customer Rating]]&gt;=7,"Passive","Detractor"))</f>
        <v>Promoter</v>
      </c>
    </row>
    <row r="222" spans="1:21" ht="14.25" customHeight="1" x14ac:dyDescent="0.3">
      <c r="A222" s="3" t="s">
        <v>257</v>
      </c>
      <c r="B222" s="3" t="s">
        <v>32</v>
      </c>
      <c r="C222" s="3" t="s">
        <v>30</v>
      </c>
      <c r="D222" s="14">
        <v>45955</v>
      </c>
      <c r="E222" s="11">
        <f>1</f>
        <v>1</v>
      </c>
      <c r="F222" s="14">
        <v>45957</v>
      </c>
      <c r="G222" s="11">
        <f>IF(Table1[[#This Row],[Pre-Booking Date]]&lt;&gt;"",1,0)</f>
        <v>1</v>
      </c>
      <c r="H222" s="4">
        <v>45960</v>
      </c>
      <c r="I222" s="11">
        <f>IF(Table1[[#This Row],[Booking Date]]&lt;&gt;"",1,0)</f>
        <v>1</v>
      </c>
      <c r="J222" s="30">
        <v>45963</v>
      </c>
      <c r="K222" s="11">
        <f>IF(Table1[[#This Row],[Delivery Date]]&lt;&gt;"",1,0)</f>
        <v>1</v>
      </c>
      <c r="L222" s="3" t="s">
        <v>3</v>
      </c>
      <c r="M222" s="3">
        <f>IF(Table1[[#This Row],[Cancellation Status]]&lt;&gt;"Yes",1,0)</f>
        <v>0</v>
      </c>
      <c r="N222" s="3" t="s">
        <v>37</v>
      </c>
      <c r="P222" s="3">
        <v>2</v>
      </c>
      <c r="Q222" s="3">
        <v>3</v>
      </c>
      <c r="R222" s="3">
        <v>3</v>
      </c>
      <c r="T22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22" t="str">
        <f>IF(Table1[[#This Row],[Customer Rating]]&gt;=9,"Promoter",IF(Table1[[#This Row],[Customer Rating]]&gt;=7,"Passive","Detractor"))</f>
        <v>Detractor</v>
      </c>
    </row>
    <row r="223" spans="1:21" ht="14.25" customHeight="1" x14ac:dyDescent="0.3">
      <c r="A223" s="3" t="s">
        <v>258</v>
      </c>
      <c r="B223" s="3" t="s">
        <v>32</v>
      </c>
      <c r="C223" s="3" t="s">
        <v>30</v>
      </c>
      <c r="D223" s="14">
        <v>45955</v>
      </c>
      <c r="E223" s="11">
        <f>1</f>
        <v>1</v>
      </c>
      <c r="F223" s="14">
        <v>45959</v>
      </c>
      <c r="G223" s="11">
        <f>IF(Table1[[#This Row],[Pre-Booking Date]]&lt;&gt;"",1,0)</f>
        <v>1</v>
      </c>
      <c r="H223" s="4">
        <v>45961</v>
      </c>
      <c r="I223" s="11">
        <f>IF(Table1[[#This Row],[Booking Date]]&lt;&gt;"",1,0)</f>
        <v>1</v>
      </c>
      <c r="J223" s="30">
        <v>45968</v>
      </c>
      <c r="K223" s="11">
        <f>IF(Table1[[#This Row],[Delivery Date]]&lt;&gt;"",1,0)</f>
        <v>1</v>
      </c>
      <c r="L223" s="3" t="s">
        <v>2</v>
      </c>
      <c r="M223" s="3">
        <f>IF(Table1[[#This Row],[Cancellation Status]]&lt;&gt;"Yes",1,0)</f>
        <v>1</v>
      </c>
      <c r="O223" s="30">
        <v>45988</v>
      </c>
      <c r="P223" s="3">
        <v>4</v>
      </c>
      <c r="Q223" s="3">
        <v>2</v>
      </c>
      <c r="R223" s="3">
        <v>7</v>
      </c>
      <c r="S223" s="3">
        <v>3</v>
      </c>
      <c r="T22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23" t="str">
        <f>IF(Table1[[#This Row],[Customer Rating]]&gt;=9,"Promoter",IF(Table1[[#This Row],[Customer Rating]]&gt;=7,"Passive","Detractor"))</f>
        <v>Detractor</v>
      </c>
    </row>
    <row r="224" spans="1:21" ht="14.25" customHeight="1" x14ac:dyDescent="0.3">
      <c r="A224" s="3" t="s">
        <v>259</v>
      </c>
      <c r="B224" s="3" t="s">
        <v>26</v>
      </c>
      <c r="C224" s="3" t="s">
        <v>27</v>
      </c>
      <c r="D224" s="14">
        <v>45954</v>
      </c>
      <c r="E224" s="11">
        <f>1</f>
        <v>1</v>
      </c>
      <c r="F224" s="14">
        <v>45955</v>
      </c>
      <c r="G224" s="11">
        <f>IF(Table1[[#This Row],[Pre-Booking Date]]&lt;&gt;"",1,0)</f>
        <v>1</v>
      </c>
      <c r="H224" s="4">
        <v>45960</v>
      </c>
      <c r="I224" s="11">
        <f>IF(Table1[[#This Row],[Booking Date]]&lt;&gt;"",1,0)</f>
        <v>1</v>
      </c>
      <c r="J224" s="30">
        <v>45962</v>
      </c>
      <c r="K224" s="11">
        <f>IF(Table1[[#This Row],[Delivery Date]]&lt;&gt;"",1,0)</f>
        <v>1</v>
      </c>
      <c r="L224" s="3" t="s">
        <v>2</v>
      </c>
      <c r="M224" s="3">
        <f>IF(Table1[[#This Row],[Cancellation Status]]&lt;&gt;"Yes",1,0)</f>
        <v>1</v>
      </c>
      <c r="O224" s="30">
        <v>45972</v>
      </c>
      <c r="P224" s="3">
        <v>1</v>
      </c>
      <c r="Q224" s="3">
        <v>5</v>
      </c>
      <c r="R224" s="3">
        <v>2</v>
      </c>
      <c r="S224" s="3">
        <v>4</v>
      </c>
      <c r="T22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24" t="str">
        <f>IF(Table1[[#This Row],[Customer Rating]]&gt;=9,"Promoter",IF(Table1[[#This Row],[Customer Rating]]&gt;=7,"Passive","Detractor"))</f>
        <v>Detractor</v>
      </c>
    </row>
    <row r="225" spans="1:21" ht="14.25" customHeight="1" x14ac:dyDescent="0.3">
      <c r="A225" s="3" t="s">
        <v>260</v>
      </c>
      <c r="B225" s="3" t="s">
        <v>32</v>
      </c>
      <c r="C225" s="3" t="s">
        <v>27</v>
      </c>
      <c r="D225" s="14">
        <v>45954</v>
      </c>
      <c r="E225" s="11">
        <f>1</f>
        <v>1</v>
      </c>
      <c r="F225" s="14">
        <v>45957</v>
      </c>
      <c r="G225" s="11">
        <f>IF(Table1[[#This Row],[Pre-Booking Date]]&lt;&gt;"",1,0)</f>
        <v>1</v>
      </c>
      <c r="H225" s="4">
        <v>45958</v>
      </c>
      <c r="I225" s="11">
        <f>IF(Table1[[#This Row],[Booking Date]]&lt;&gt;"",1,0)</f>
        <v>1</v>
      </c>
      <c r="J225" s="30">
        <v>45961</v>
      </c>
      <c r="K225" s="11">
        <f>IF(Table1[[#This Row],[Delivery Date]]&lt;&gt;"",1,0)</f>
        <v>1</v>
      </c>
      <c r="L225" s="3" t="s">
        <v>2</v>
      </c>
      <c r="M225" s="3">
        <f>IF(Table1[[#This Row],[Cancellation Status]]&lt;&gt;"Yes",1,0)</f>
        <v>1</v>
      </c>
      <c r="O225" s="30">
        <v>45974</v>
      </c>
      <c r="P225" s="3">
        <v>3</v>
      </c>
      <c r="Q225" s="3">
        <v>1</v>
      </c>
      <c r="R225" s="3">
        <v>3</v>
      </c>
      <c r="S225" s="3">
        <v>3</v>
      </c>
      <c r="T22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25" t="str">
        <f>IF(Table1[[#This Row],[Customer Rating]]&gt;=9,"Promoter",IF(Table1[[#This Row],[Customer Rating]]&gt;=7,"Passive","Detractor"))</f>
        <v>Detractor</v>
      </c>
    </row>
    <row r="226" spans="1:21" ht="14.25" customHeight="1" x14ac:dyDescent="0.3">
      <c r="A226" s="3" t="s">
        <v>261</v>
      </c>
      <c r="B226" s="3" t="s">
        <v>39</v>
      </c>
      <c r="C226" s="3" t="s">
        <v>33</v>
      </c>
      <c r="D226" s="14">
        <v>45954</v>
      </c>
      <c r="E226" s="11">
        <f>1</f>
        <v>1</v>
      </c>
      <c r="G226" s="12">
        <f>IF(Table1[[#This Row],[Pre-Booking Date]]&lt;&gt;"",1,0)</f>
        <v>0</v>
      </c>
      <c r="I226" s="12">
        <f>IF(Table1[[#This Row],[Booking Date]]&lt;&gt;"",1,0)</f>
        <v>0</v>
      </c>
      <c r="K226" s="12">
        <f>IF(Table1[[#This Row],[Delivery Date]]&lt;&gt;"",1,0)</f>
        <v>0</v>
      </c>
      <c r="L226" s="3" t="s">
        <v>3</v>
      </c>
      <c r="M226" s="3">
        <f>IF(Table1[[#This Row],[Cancellation Status]]&lt;&gt;"Yes",1,0)</f>
        <v>0</v>
      </c>
      <c r="N226" s="3" t="s">
        <v>52</v>
      </c>
      <c r="T22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26" t="str">
        <f>IF(Table1[[#This Row],[Customer Rating]]&gt;=9,"Promoter",IF(Table1[[#This Row],[Customer Rating]]&gt;=7,"Passive","Detractor"))</f>
        <v>Detractor</v>
      </c>
    </row>
    <row r="227" spans="1:21" ht="14.25" customHeight="1" x14ac:dyDescent="0.3">
      <c r="A227" s="3" t="s">
        <v>262</v>
      </c>
      <c r="B227" s="3" t="s">
        <v>29</v>
      </c>
      <c r="C227" s="3" t="s">
        <v>27</v>
      </c>
      <c r="D227" s="14">
        <v>45954</v>
      </c>
      <c r="E227" s="11">
        <f>1</f>
        <v>1</v>
      </c>
      <c r="F227" s="14">
        <v>45959</v>
      </c>
      <c r="G227" s="11">
        <f>IF(Table1[[#This Row],[Pre-Booking Date]]&lt;&gt;"",1,0)</f>
        <v>1</v>
      </c>
      <c r="H227" s="4">
        <v>45962</v>
      </c>
      <c r="I227" s="11">
        <f>IF(Table1[[#This Row],[Booking Date]]&lt;&gt;"",1,0)</f>
        <v>1</v>
      </c>
      <c r="J227" s="30">
        <v>45966</v>
      </c>
      <c r="K227" s="11">
        <f>IF(Table1[[#This Row],[Delivery Date]]&lt;&gt;"",1,0)</f>
        <v>1</v>
      </c>
      <c r="L227" s="3" t="s">
        <v>3</v>
      </c>
      <c r="M227" s="3">
        <f>IF(Table1[[#This Row],[Cancellation Status]]&lt;&gt;"Yes",1,0)</f>
        <v>0</v>
      </c>
      <c r="N227" s="3" t="s">
        <v>52</v>
      </c>
      <c r="P227" s="3">
        <v>5</v>
      </c>
      <c r="Q227" s="3">
        <v>3</v>
      </c>
      <c r="R227" s="3">
        <v>4</v>
      </c>
      <c r="T22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27" t="str">
        <f>IF(Table1[[#This Row],[Customer Rating]]&gt;=9,"Promoter",IF(Table1[[#This Row],[Customer Rating]]&gt;=7,"Passive","Detractor"))</f>
        <v>Detractor</v>
      </c>
    </row>
    <row r="228" spans="1:21" ht="14.25" customHeight="1" x14ac:dyDescent="0.3">
      <c r="A228" s="3" t="s">
        <v>263</v>
      </c>
      <c r="B228" s="3" t="s">
        <v>32</v>
      </c>
      <c r="C228" s="3" t="s">
        <v>30</v>
      </c>
      <c r="D228" s="14">
        <v>45954</v>
      </c>
      <c r="E228" s="11">
        <f>1</f>
        <v>1</v>
      </c>
      <c r="F228" s="14">
        <v>45955</v>
      </c>
      <c r="G228" s="11">
        <f>IF(Table1[[#This Row],[Pre-Booking Date]]&lt;&gt;"",1,0)</f>
        <v>1</v>
      </c>
      <c r="H228" s="4">
        <v>45957</v>
      </c>
      <c r="I228" s="11">
        <f>IF(Table1[[#This Row],[Booking Date]]&lt;&gt;"",1,0)</f>
        <v>1</v>
      </c>
      <c r="J228" s="30">
        <v>45959</v>
      </c>
      <c r="K228" s="11">
        <f>IF(Table1[[#This Row],[Delivery Date]]&lt;&gt;"",1,0)</f>
        <v>1</v>
      </c>
      <c r="L228" s="3" t="s">
        <v>2</v>
      </c>
      <c r="M228" s="3">
        <f>IF(Table1[[#This Row],[Cancellation Status]]&lt;&gt;"Yes",1,0)</f>
        <v>1</v>
      </c>
      <c r="O228" s="30">
        <v>45969</v>
      </c>
      <c r="P228" s="3">
        <v>1</v>
      </c>
      <c r="Q228" s="3">
        <v>2</v>
      </c>
      <c r="R228" s="3">
        <v>2</v>
      </c>
      <c r="S228" s="3">
        <v>1</v>
      </c>
      <c r="T22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28" t="str">
        <f>IF(Table1[[#This Row],[Customer Rating]]&gt;=9,"Promoter",IF(Table1[[#This Row],[Customer Rating]]&gt;=7,"Passive","Detractor"))</f>
        <v>Detractor</v>
      </c>
    </row>
    <row r="229" spans="1:21" ht="14.25" customHeight="1" x14ac:dyDescent="0.3">
      <c r="A229" s="3" t="s">
        <v>264</v>
      </c>
      <c r="B229" s="3" t="s">
        <v>32</v>
      </c>
      <c r="C229" s="3" t="s">
        <v>30</v>
      </c>
      <c r="D229" s="14">
        <v>45954</v>
      </c>
      <c r="E229" s="11">
        <f>1</f>
        <v>1</v>
      </c>
      <c r="F229" s="14">
        <v>45958</v>
      </c>
      <c r="G229" s="11">
        <f>IF(Table1[[#This Row],[Pre-Booking Date]]&lt;&gt;"",1,0)</f>
        <v>1</v>
      </c>
      <c r="H229" s="4">
        <v>45961</v>
      </c>
      <c r="I229" s="11">
        <f>IF(Table1[[#This Row],[Booking Date]]&lt;&gt;"",1,0)</f>
        <v>1</v>
      </c>
      <c r="J229" s="30">
        <v>45964</v>
      </c>
      <c r="K229" s="11">
        <f>IF(Table1[[#This Row],[Delivery Date]]&lt;&gt;"",1,0)</f>
        <v>1</v>
      </c>
      <c r="L229" s="3" t="s">
        <v>2</v>
      </c>
      <c r="M229" s="3">
        <f>IF(Table1[[#This Row],[Cancellation Status]]&lt;&gt;"Yes",1,0)</f>
        <v>1</v>
      </c>
      <c r="O229" s="30">
        <v>45981</v>
      </c>
      <c r="P229" s="3">
        <v>4</v>
      </c>
      <c r="Q229" s="3">
        <v>3</v>
      </c>
      <c r="R229" s="3">
        <v>3</v>
      </c>
      <c r="S229" s="3">
        <v>2</v>
      </c>
      <c r="T22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29" t="str">
        <f>IF(Table1[[#This Row],[Customer Rating]]&gt;=9,"Promoter",IF(Table1[[#This Row],[Customer Rating]]&gt;=7,"Passive","Detractor"))</f>
        <v>Detractor</v>
      </c>
    </row>
    <row r="230" spans="1:21" ht="14.25" customHeight="1" x14ac:dyDescent="0.3">
      <c r="A230" s="3" t="s">
        <v>265</v>
      </c>
      <c r="B230" s="3" t="s">
        <v>32</v>
      </c>
      <c r="C230" s="3" t="s">
        <v>33</v>
      </c>
      <c r="D230" s="14">
        <v>45954</v>
      </c>
      <c r="E230" s="11">
        <f>1</f>
        <v>1</v>
      </c>
      <c r="G230" s="12">
        <f>IF(Table1[[#This Row],[Pre-Booking Date]]&lt;&gt;"",1,0)</f>
        <v>0</v>
      </c>
      <c r="I230" s="12">
        <f>IF(Table1[[#This Row],[Booking Date]]&lt;&gt;"",1,0)</f>
        <v>0</v>
      </c>
      <c r="K230" s="12">
        <f>IF(Table1[[#This Row],[Delivery Date]]&lt;&gt;"",1,0)</f>
        <v>0</v>
      </c>
      <c r="L230" s="3" t="s">
        <v>3</v>
      </c>
      <c r="M230" s="3">
        <f>IF(Table1[[#This Row],[Cancellation Status]]&lt;&gt;"Yes",1,0)</f>
        <v>0</v>
      </c>
      <c r="N230" s="3" t="s">
        <v>37</v>
      </c>
      <c r="T23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30" t="str">
        <f>IF(Table1[[#This Row],[Customer Rating]]&gt;=9,"Promoter",IF(Table1[[#This Row],[Customer Rating]]&gt;=7,"Passive","Detractor"))</f>
        <v>Detractor</v>
      </c>
    </row>
    <row r="231" spans="1:21" ht="14.25" customHeight="1" x14ac:dyDescent="0.3">
      <c r="A231" s="3" t="s">
        <v>266</v>
      </c>
      <c r="B231" s="3" t="s">
        <v>26</v>
      </c>
      <c r="C231" s="3" t="s">
        <v>33</v>
      </c>
      <c r="D231" s="14">
        <v>45954</v>
      </c>
      <c r="E231" s="11">
        <f>1</f>
        <v>1</v>
      </c>
      <c r="G231" s="12">
        <f>IF(Table1[[#This Row],[Pre-Booking Date]]&lt;&gt;"",1,0)</f>
        <v>0</v>
      </c>
      <c r="I231" s="12">
        <f>IF(Table1[[#This Row],[Booking Date]]&lt;&gt;"",1,0)</f>
        <v>0</v>
      </c>
      <c r="K231" s="12">
        <f>IF(Table1[[#This Row],[Delivery Date]]&lt;&gt;"",1,0)</f>
        <v>0</v>
      </c>
      <c r="L231" s="3" t="s">
        <v>3</v>
      </c>
      <c r="M231" s="3">
        <f>IF(Table1[[#This Row],[Cancellation Status]]&lt;&gt;"Yes",1,0)</f>
        <v>0</v>
      </c>
      <c r="N231" s="3" t="s">
        <v>37</v>
      </c>
      <c r="T23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31" t="str">
        <f>IF(Table1[[#This Row],[Customer Rating]]&gt;=9,"Promoter",IF(Table1[[#This Row],[Customer Rating]]&gt;=7,"Passive","Detractor"))</f>
        <v>Detractor</v>
      </c>
    </row>
    <row r="232" spans="1:21" ht="14.25" customHeight="1" x14ac:dyDescent="0.3">
      <c r="A232" s="3" t="s">
        <v>267</v>
      </c>
      <c r="B232" s="3" t="s">
        <v>29</v>
      </c>
      <c r="C232" s="3" t="s">
        <v>27</v>
      </c>
      <c r="D232" s="14">
        <v>45954</v>
      </c>
      <c r="E232" s="11">
        <f>1</f>
        <v>1</v>
      </c>
      <c r="F232" s="14">
        <v>45959</v>
      </c>
      <c r="G232" s="11">
        <f>IF(Table1[[#This Row],[Pre-Booking Date]]&lt;&gt;"",1,0)</f>
        <v>1</v>
      </c>
      <c r="H232" s="4">
        <v>45961</v>
      </c>
      <c r="I232" s="11">
        <f>IF(Table1[[#This Row],[Booking Date]]&lt;&gt;"",1,0)</f>
        <v>1</v>
      </c>
      <c r="J232" s="30">
        <v>45963</v>
      </c>
      <c r="K232" s="11">
        <f>IF(Table1[[#This Row],[Delivery Date]]&lt;&gt;"",1,0)</f>
        <v>1</v>
      </c>
      <c r="L232" s="3" t="s">
        <v>2</v>
      </c>
      <c r="M232" s="3">
        <f>IF(Table1[[#This Row],[Cancellation Status]]&lt;&gt;"Yes",1,0)</f>
        <v>1</v>
      </c>
      <c r="O232" s="30">
        <v>45991</v>
      </c>
      <c r="P232" s="3">
        <v>5</v>
      </c>
      <c r="Q232" s="3">
        <v>2</v>
      </c>
      <c r="R232" s="3">
        <v>2</v>
      </c>
      <c r="S232" s="3">
        <v>3</v>
      </c>
      <c r="T23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32" t="str">
        <f>IF(Table1[[#This Row],[Customer Rating]]&gt;=9,"Promoter",IF(Table1[[#This Row],[Customer Rating]]&gt;=7,"Passive","Detractor"))</f>
        <v>Detractor</v>
      </c>
    </row>
    <row r="233" spans="1:21" ht="14.25" customHeight="1" x14ac:dyDescent="0.3">
      <c r="A233" s="3" t="s">
        <v>268</v>
      </c>
      <c r="B233" s="3" t="s">
        <v>39</v>
      </c>
      <c r="C233" s="3" t="s">
        <v>33</v>
      </c>
      <c r="D233" s="14">
        <v>45954</v>
      </c>
      <c r="E233" s="11">
        <f>1</f>
        <v>1</v>
      </c>
      <c r="G233" s="12">
        <f>IF(Table1[[#This Row],[Pre-Booking Date]]&lt;&gt;"",1,0)</f>
        <v>0</v>
      </c>
      <c r="I233" s="12">
        <f>IF(Table1[[#This Row],[Booking Date]]&lt;&gt;"",1,0)</f>
        <v>0</v>
      </c>
      <c r="K233" s="12">
        <f>IF(Table1[[#This Row],[Delivery Date]]&lt;&gt;"",1,0)</f>
        <v>0</v>
      </c>
      <c r="L233" s="3" t="s">
        <v>3</v>
      </c>
      <c r="M233" s="3">
        <f>IF(Table1[[#This Row],[Cancellation Status]]&lt;&gt;"Yes",1,0)</f>
        <v>0</v>
      </c>
      <c r="N233" s="3" t="s">
        <v>42</v>
      </c>
      <c r="T23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33" t="str">
        <f>IF(Table1[[#This Row],[Customer Rating]]&gt;=9,"Promoter",IF(Table1[[#This Row],[Customer Rating]]&gt;=7,"Passive","Detractor"))</f>
        <v>Detractor</v>
      </c>
    </row>
    <row r="234" spans="1:21" ht="14.25" customHeight="1" x14ac:dyDescent="0.3">
      <c r="A234" s="3" t="s">
        <v>269</v>
      </c>
      <c r="B234" s="3" t="s">
        <v>39</v>
      </c>
      <c r="C234" s="3" t="s">
        <v>27</v>
      </c>
      <c r="D234" s="14">
        <v>45954</v>
      </c>
      <c r="E234" s="11">
        <f>1</f>
        <v>1</v>
      </c>
      <c r="F234" s="14">
        <v>45956</v>
      </c>
      <c r="G234" s="11">
        <f>IF(Table1[[#This Row],[Pre-Booking Date]]&lt;&gt;"",1,0)</f>
        <v>1</v>
      </c>
      <c r="H234" s="4">
        <v>45958</v>
      </c>
      <c r="I234" s="11">
        <f>IF(Table1[[#This Row],[Booking Date]]&lt;&gt;"",1,0)</f>
        <v>1</v>
      </c>
      <c r="J234" s="30">
        <v>45963</v>
      </c>
      <c r="K234" s="11">
        <f>IF(Table1[[#This Row],[Delivery Date]]&lt;&gt;"",1,0)</f>
        <v>1</v>
      </c>
      <c r="L234" s="3" t="s">
        <v>2</v>
      </c>
      <c r="M234" s="3">
        <f>IF(Table1[[#This Row],[Cancellation Status]]&lt;&gt;"Yes",1,0)</f>
        <v>1</v>
      </c>
      <c r="O234" s="30">
        <v>45974</v>
      </c>
      <c r="P234" s="3">
        <v>2</v>
      </c>
      <c r="Q234" s="3">
        <v>2</v>
      </c>
      <c r="R234" s="3">
        <v>5</v>
      </c>
      <c r="S234" s="3">
        <v>1</v>
      </c>
      <c r="T23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34" t="str">
        <f>IF(Table1[[#This Row],[Customer Rating]]&gt;=9,"Promoter",IF(Table1[[#This Row],[Customer Rating]]&gt;=7,"Passive","Detractor"))</f>
        <v>Detractor</v>
      </c>
    </row>
    <row r="235" spans="1:21" ht="14.25" customHeight="1" x14ac:dyDescent="0.3">
      <c r="A235" s="3" t="s">
        <v>270</v>
      </c>
      <c r="B235" s="3" t="s">
        <v>29</v>
      </c>
      <c r="C235" s="3" t="s">
        <v>30</v>
      </c>
      <c r="D235" s="14">
        <v>45954</v>
      </c>
      <c r="E235" s="11">
        <f>1</f>
        <v>1</v>
      </c>
      <c r="F235" s="14">
        <v>45956</v>
      </c>
      <c r="G235" s="11">
        <f>IF(Table1[[#This Row],[Pre-Booking Date]]&lt;&gt;"",1,0)</f>
        <v>1</v>
      </c>
      <c r="H235" s="4">
        <v>45959</v>
      </c>
      <c r="I235" s="11">
        <f>IF(Table1[[#This Row],[Booking Date]]&lt;&gt;"",1,0)</f>
        <v>1</v>
      </c>
      <c r="J235" s="30">
        <v>45965</v>
      </c>
      <c r="K235" s="11">
        <f>IF(Table1[[#This Row],[Delivery Date]]&lt;&gt;"",1,0)</f>
        <v>1</v>
      </c>
      <c r="L235" s="3" t="s">
        <v>3</v>
      </c>
      <c r="M235" s="3">
        <f>IF(Table1[[#This Row],[Cancellation Status]]&lt;&gt;"Yes",1,0)</f>
        <v>0</v>
      </c>
      <c r="N235" s="3" t="s">
        <v>52</v>
      </c>
      <c r="P235" s="3">
        <v>2</v>
      </c>
      <c r="Q235" s="3">
        <v>3</v>
      </c>
      <c r="R235" s="3">
        <v>6</v>
      </c>
      <c r="T23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35" t="str">
        <f>IF(Table1[[#This Row],[Customer Rating]]&gt;=9,"Promoter",IF(Table1[[#This Row],[Customer Rating]]&gt;=7,"Passive","Detractor"))</f>
        <v>Detractor</v>
      </c>
    </row>
    <row r="236" spans="1:21" ht="14.25" customHeight="1" x14ac:dyDescent="0.3">
      <c r="A236" s="3" t="s">
        <v>271</v>
      </c>
      <c r="B236" s="3" t="s">
        <v>32</v>
      </c>
      <c r="C236" s="3" t="s">
        <v>33</v>
      </c>
      <c r="D236" s="14">
        <v>45954</v>
      </c>
      <c r="E236" s="11">
        <f>1</f>
        <v>1</v>
      </c>
      <c r="G236" s="12">
        <f>IF(Table1[[#This Row],[Pre-Booking Date]]&lt;&gt;"",1,0)</f>
        <v>0</v>
      </c>
      <c r="I236" s="12">
        <f>IF(Table1[[#This Row],[Booking Date]]&lt;&gt;"",1,0)</f>
        <v>0</v>
      </c>
      <c r="K236" s="12">
        <f>IF(Table1[[#This Row],[Delivery Date]]&lt;&gt;"",1,0)</f>
        <v>0</v>
      </c>
      <c r="L236" s="3" t="s">
        <v>3</v>
      </c>
      <c r="M236" s="3">
        <f>IF(Table1[[#This Row],[Cancellation Status]]&lt;&gt;"Yes",1,0)</f>
        <v>0</v>
      </c>
      <c r="N236" s="3" t="s">
        <v>42</v>
      </c>
      <c r="T23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36" t="str">
        <f>IF(Table1[[#This Row],[Customer Rating]]&gt;=9,"Promoter",IF(Table1[[#This Row],[Customer Rating]]&gt;=7,"Passive","Detractor"))</f>
        <v>Detractor</v>
      </c>
    </row>
    <row r="237" spans="1:21" ht="14.25" customHeight="1" x14ac:dyDescent="0.3">
      <c r="A237" s="3" t="s">
        <v>272</v>
      </c>
      <c r="B237" s="3" t="s">
        <v>39</v>
      </c>
      <c r="C237" s="3" t="s">
        <v>33</v>
      </c>
      <c r="D237" s="14">
        <v>45954</v>
      </c>
      <c r="E237" s="11">
        <f>1</f>
        <v>1</v>
      </c>
      <c r="G237" s="12">
        <f>IF(Table1[[#This Row],[Pre-Booking Date]]&lt;&gt;"",1,0)</f>
        <v>0</v>
      </c>
      <c r="I237" s="12">
        <f>IF(Table1[[#This Row],[Booking Date]]&lt;&gt;"",1,0)</f>
        <v>0</v>
      </c>
      <c r="K237" s="12">
        <f>IF(Table1[[#This Row],[Delivery Date]]&lt;&gt;"",1,0)</f>
        <v>0</v>
      </c>
      <c r="L237" s="3" t="s">
        <v>3</v>
      </c>
      <c r="M237" s="3">
        <f>IF(Table1[[#This Row],[Cancellation Status]]&lt;&gt;"Yes",1,0)</f>
        <v>0</v>
      </c>
      <c r="N237" s="3" t="s">
        <v>37</v>
      </c>
      <c r="T23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37" t="str">
        <f>IF(Table1[[#This Row],[Customer Rating]]&gt;=9,"Promoter",IF(Table1[[#This Row],[Customer Rating]]&gt;=7,"Passive","Detractor"))</f>
        <v>Detractor</v>
      </c>
    </row>
    <row r="238" spans="1:21" ht="14.25" customHeight="1" x14ac:dyDescent="0.3">
      <c r="A238" s="3" t="s">
        <v>273</v>
      </c>
      <c r="B238" s="3" t="s">
        <v>29</v>
      </c>
      <c r="C238" s="3" t="s">
        <v>30</v>
      </c>
      <c r="D238" s="14">
        <v>45954</v>
      </c>
      <c r="E238" s="11">
        <f>1</f>
        <v>1</v>
      </c>
      <c r="F238" s="14">
        <v>45956</v>
      </c>
      <c r="G238" s="11">
        <f>IF(Table1[[#This Row],[Pre-Booking Date]]&lt;&gt;"",1,0)</f>
        <v>1</v>
      </c>
      <c r="H238" s="4">
        <v>45959</v>
      </c>
      <c r="I238" s="11">
        <f>IF(Table1[[#This Row],[Booking Date]]&lt;&gt;"",1,0)</f>
        <v>1</v>
      </c>
      <c r="J238" s="30">
        <v>45965</v>
      </c>
      <c r="K238" s="11">
        <f>IF(Table1[[#This Row],[Delivery Date]]&lt;&gt;"",1,0)</f>
        <v>1</v>
      </c>
      <c r="L238" s="3" t="s">
        <v>2</v>
      </c>
      <c r="M238" s="3">
        <f>IF(Table1[[#This Row],[Cancellation Status]]&lt;&gt;"Yes",1,0)</f>
        <v>1</v>
      </c>
      <c r="O238" s="30">
        <v>45982</v>
      </c>
      <c r="P238" s="3">
        <v>2</v>
      </c>
      <c r="Q238" s="3">
        <v>3</v>
      </c>
      <c r="R238" s="3">
        <v>6</v>
      </c>
      <c r="S238" s="3">
        <v>8</v>
      </c>
      <c r="T23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38" t="str">
        <f>IF(Table1[[#This Row],[Customer Rating]]&gt;=9,"Promoter",IF(Table1[[#This Row],[Customer Rating]]&gt;=7,"Passive","Detractor"))</f>
        <v>Passive</v>
      </c>
    </row>
    <row r="239" spans="1:21" ht="14.25" customHeight="1" x14ac:dyDescent="0.3">
      <c r="A239" s="3" t="s">
        <v>274</v>
      </c>
      <c r="B239" s="3" t="s">
        <v>32</v>
      </c>
      <c r="C239" s="3" t="s">
        <v>30</v>
      </c>
      <c r="D239" s="14">
        <v>45954</v>
      </c>
      <c r="E239" s="11">
        <f>1</f>
        <v>1</v>
      </c>
      <c r="F239" s="14">
        <v>45959</v>
      </c>
      <c r="G239" s="11">
        <f>IF(Table1[[#This Row],[Pre-Booking Date]]&lt;&gt;"",1,0)</f>
        <v>1</v>
      </c>
      <c r="H239" s="4">
        <v>45963</v>
      </c>
      <c r="I239" s="11">
        <f>IF(Table1[[#This Row],[Booking Date]]&lt;&gt;"",1,0)</f>
        <v>1</v>
      </c>
      <c r="J239" s="30">
        <v>45965</v>
      </c>
      <c r="K239" s="11">
        <f>IF(Table1[[#This Row],[Delivery Date]]&lt;&gt;"",1,0)</f>
        <v>1</v>
      </c>
      <c r="L239" s="3" t="s">
        <v>2</v>
      </c>
      <c r="M239" s="3">
        <f>IF(Table1[[#This Row],[Cancellation Status]]&lt;&gt;"Yes",1,0)</f>
        <v>1</v>
      </c>
      <c r="O239" s="30">
        <v>45993</v>
      </c>
      <c r="P239" s="3">
        <v>5</v>
      </c>
      <c r="Q239" s="3">
        <v>4</v>
      </c>
      <c r="R239" s="3">
        <v>2</v>
      </c>
      <c r="S239" s="3">
        <v>3</v>
      </c>
      <c r="T23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39" t="str">
        <f>IF(Table1[[#This Row],[Customer Rating]]&gt;=9,"Promoter",IF(Table1[[#This Row],[Customer Rating]]&gt;=7,"Passive","Detractor"))</f>
        <v>Detractor</v>
      </c>
    </row>
    <row r="240" spans="1:21" ht="14.25" customHeight="1" x14ac:dyDescent="0.3">
      <c r="A240" s="3" t="s">
        <v>275</v>
      </c>
      <c r="B240" s="3" t="s">
        <v>29</v>
      </c>
      <c r="C240" s="3" t="s">
        <v>27</v>
      </c>
      <c r="D240" s="14">
        <v>45954</v>
      </c>
      <c r="E240" s="11">
        <f>1</f>
        <v>1</v>
      </c>
      <c r="F240" s="14">
        <v>45956</v>
      </c>
      <c r="G240" s="11">
        <f>IF(Table1[[#This Row],[Pre-Booking Date]]&lt;&gt;"",1,0)</f>
        <v>1</v>
      </c>
      <c r="H240" s="4">
        <v>45958</v>
      </c>
      <c r="I240" s="11">
        <f>IF(Table1[[#This Row],[Booking Date]]&lt;&gt;"",1,0)</f>
        <v>1</v>
      </c>
      <c r="J240" s="30">
        <v>45964</v>
      </c>
      <c r="K240" s="11">
        <f>IF(Table1[[#This Row],[Delivery Date]]&lt;&gt;"",1,0)</f>
        <v>1</v>
      </c>
      <c r="L240" s="3" t="s">
        <v>2</v>
      </c>
      <c r="M240" s="3">
        <f>IF(Table1[[#This Row],[Cancellation Status]]&lt;&gt;"Yes",1,0)</f>
        <v>1</v>
      </c>
      <c r="O240" s="30">
        <v>45985</v>
      </c>
      <c r="P240" s="3">
        <v>2</v>
      </c>
      <c r="Q240" s="3">
        <v>2</v>
      </c>
      <c r="R240" s="3">
        <v>6</v>
      </c>
      <c r="S240" s="3">
        <v>4</v>
      </c>
      <c r="T24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40" t="str">
        <f>IF(Table1[[#This Row],[Customer Rating]]&gt;=9,"Promoter",IF(Table1[[#This Row],[Customer Rating]]&gt;=7,"Passive","Detractor"))</f>
        <v>Detractor</v>
      </c>
    </row>
    <row r="241" spans="1:21" ht="14.25" customHeight="1" x14ac:dyDescent="0.3">
      <c r="A241" s="3" t="s">
        <v>276</v>
      </c>
      <c r="B241" s="3" t="s">
        <v>32</v>
      </c>
      <c r="C241" s="3" t="s">
        <v>27</v>
      </c>
      <c r="D241" s="14">
        <v>45954</v>
      </c>
      <c r="E241" s="11">
        <f>1</f>
        <v>1</v>
      </c>
      <c r="F241" s="14">
        <v>45957</v>
      </c>
      <c r="G241" s="11">
        <f>IF(Table1[[#This Row],[Pre-Booking Date]]&lt;&gt;"",1,0)</f>
        <v>1</v>
      </c>
      <c r="H241" s="4">
        <v>45960</v>
      </c>
      <c r="I241" s="11">
        <f>IF(Table1[[#This Row],[Booking Date]]&lt;&gt;"",1,0)</f>
        <v>1</v>
      </c>
      <c r="J241" s="30">
        <v>45963</v>
      </c>
      <c r="K241" s="11">
        <f>IF(Table1[[#This Row],[Delivery Date]]&lt;&gt;"",1,0)</f>
        <v>1</v>
      </c>
      <c r="L241" s="3" t="s">
        <v>2</v>
      </c>
      <c r="M241" s="3">
        <f>IF(Table1[[#This Row],[Cancellation Status]]&lt;&gt;"Yes",1,0)</f>
        <v>1</v>
      </c>
      <c r="O241" s="30">
        <v>45987</v>
      </c>
      <c r="P241" s="3">
        <v>3</v>
      </c>
      <c r="Q241" s="3">
        <v>3</v>
      </c>
      <c r="R241" s="3">
        <v>3</v>
      </c>
      <c r="S241" s="3">
        <v>0</v>
      </c>
      <c r="T24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41" t="str">
        <f>IF(Table1[[#This Row],[Customer Rating]]&gt;=9,"Promoter",IF(Table1[[#This Row],[Customer Rating]]&gt;=7,"Passive","Detractor"))</f>
        <v>Detractor</v>
      </c>
    </row>
    <row r="242" spans="1:21" ht="14.25" customHeight="1" x14ac:dyDescent="0.3">
      <c r="A242" s="3" t="s">
        <v>277</v>
      </c>
      <c r="B242" s="3" t="s">
        <v>26</v>
      </c>
      <c r="C242" s="3" t="s">
        <v>33</v>
      </c>
      <c r="D242" s="14">
        <v>45954</v>
      </c>
      <c r="E242" s="11">
        <f>1</f>
        <v>1</v>
      </c>
      <c r="G242" s="12">
        <f>IF(Table1[[#This Row],[Pre-Booking Date]]&lt;&gt;"",1,0)</f>
        <v>0</v>
      </c>
      <c r="I242" s="12">
        <f>IF(Table1[[#This Row],[Booking Date]]&lt;&gt;"",1,0)</f>
        <v>0</v>
      </c>
      <c r="K242" s="12">
        <f>IF(Table1[[#This Row],[Delivery Date]]&lt;&gt;"",1,0)</f>
        <v>0</v>
      </c>
      <c r="L242" s="3" t="s">
        <v>3</v>
      </c>
      <c r="M242" s="3">
        <f>IF(Table1[[#This Row],[Cancellation Status]]&lt;&gt;"Yes",1,0)</f>
        <v>0</v>
      </c>
      <c r="N242" s="3" t="s">
        <v>42</v>
      </c>
      <c r="T24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42" t="str">
        <f>IF(Table1[[#This Row],[Customer Rating]]&gt;=9,"Promoter",IF(Table1[[#This Row],[Customer Rating]]&gt;=7,"Passive","Detractor"))</f>
        <v>Detractor</v>
      </c>
    </row>
    <row r="243" spans="1:21" ht="14.25" customHeight="1" x14ac:dyDescent="0.3">
      <c r="A243" s="3" t="s">
        <v>278</v>
      </c>
      <c r="B243" s="3" t="s">
        <v>39</v>
      </c>
      <c r="C243" s="3" t="s">
        <v>27</v>
      </c>
      <c r="D243" s="14">
        <v>45954</v>
      </c>
      <c r="E243" s="11">
        <f>1</f>
        <v>1</v>
      </c>
      <c r="F243" s="14">
        <v>45957</v>
      </c>
      <c r="G243" s="11">
        <f>IF(Table1[[#This Row],[Pre-Booking Date]]&lt;&gt;"",1,0)</f>
        <v>1</v>
      </c>
      <c r="H243" s="4">
        <v>45959</v>
      </c>
      <c r="I243" s="11">
        <f>IF(Table1[[#This Row],[Booking Date]]&lt;&gt;"",1,0)</f>
        <v>1</v>
      </c>
      <c r="J243" s="30">
        <v>45965</v>
      </c>
      <c r="K243" s="11">
        <f>IF(Table1[[#This Row],[Delivery Date]]&lt;&gt;"",1,0)</f>
        <v>1</v>
      </c>
      <c r="L243" s="3" t="s">
        <v>2</v>
      </c>
      <c r="M243" s="3">
        <f>IF(Table1[[#This Row],[Cancellation Status]]&lt;&gt;"Yes",1,0)</f>
        <v>1</v>
      </c>
      <c r="O243" s="30">
        <v>45989</v>
      </c>
      <c r="P243" s="3">
        <v>3</v>
      </c>
      <c r="Q243" s="3">
        <v>2</v>
      </c>
      <c r="R243" s="3">
        <v>6</v>
      </c>
      <c r="S243" s="3">
        <v>9</v>
      </c>
      <c r="T24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43" t="str">
        <f>IF(Table1[[#This Row],[Customer Rating]]&gt;=9,"Promoter",IF(Table1[[#This Row],[Customer Rating]]&gt;=7,"Passive","Detractor"))</f>
        <v>Promoter</v>
      </c>
    </row>
    <row r="244" spans="1:21" ht="14.25" customHeight="1" x14ac:dyDescent="0.3">
      <c r="A244" s="3" t="s">
        <v>279</v>
      </c>
      <c r="B244" s="3" t="s">
        <v>26</v>
      </c>
      <c r="C244" s="3" t="s">
        <v>27</v>
      </c>
      <c r="D244" s="14">
        <v>45954</v>
      </c>
      <c r="E244" s="11">
        <f>1</f>
        <v>1</v>
      </c>
      <c r="F244" s="14">
        <v>45958</v>
      </c>
      <c r="G244" s="11">
        <f>IF(Table1[[#This Row],[Pre-Booking Date]]&lt;&gt;"",1,0)</f>
        <v>1</v>
      </c>
      <c r="H244" s="4">
        <v>45960</v>
      </c>
      <c r="I244" s="11">
        <f>IF(Table1[[#This Row],[Booking Date]]&lt;&gt;"",1,0)</f>
        <v>1</v>
      </c>
      <c r="J244" s="30">
        <v>45963</v>
      </c>
      <c r="K244" s="11">
        <f>IF(Table1[[#This Row],[Delivery Date]]&lt;&gt;"",1,0)</f>
        <v>1</v>
      </c>
      <c r="L244" s="3" t="s">
        <v>2</v>
      </c>
      <c r="M244" s="3">
        <f>IF(Table1[[#This Row],[Cancellation Status]]&lt;&gt;"Yes",1,0)</f>
        <v>1</v>
      </c>
      <c r="O244" s="30">
        <v>45988</v>
      </c>
      <c r="P244" s="3">
        <v>4</v>
      </c>
      <c r="Q244" s="3">
        <v>2</v>
      </c>
      <c r="R244" s="3">
        <v>3</v>
      </c>
      <c r="S244" s="3">
        <v>8</v>
      </c>
      <c r="T24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44" t="str">
        <f>IF(Table1[[#This Row],[Customer Rating]]&gt;=9,"Promoter",IF(Table1[[#This Row],[Customer Rating]]&gt;=7,"Passive","Detractor"))</f>
        <v>Passive</v>
      </c>
    </row>
    <row r="245" spans="1:21" ht="14.25" customHeight="1" x14ac:dyDescent="0.3">
      <c r="A245" s="3" t="s">
        <v>280</v>
      </c>
      <c r="B245" s="3" t="s">
        <v>32</v>
      </c>
      <c r="C245" s="3" t="s">
        <v>27</v>
      </c>
      <c r="D245" s="14">
        <v>45954</v>
      </c>
      <c r="E245" s="11">
        <f>1</f>
        <v>1</v>
      </c>
      <c r="F245" s="14">
        <v>45956</v>
      </c>
      <c r="G245" s="11">
        <f>IF(Table1[[#This Row],[Pre-Booking Date]]&lt;&gt;"",1,0)</f>
        <v>1</v>
      </c>
      <c r="H245" s="4">
        <v>45960</v>
      </c>
      <c r="I245" s="11">
        <f>IF(Table1[[#This Row],[Booking Date]]&lt;&gt;"",1,0)</f>
        <v>1</v>
      </c>
      <c r="J245" s="30">
        <v>45964</v>
      </c>
      <c r="K245" s="11">
        <f>IF(Table1[[#This Row],[Delivery Date]]&lt;&gt;"",1,0)</f>
        <v>1</v>
      </c>
      <c r="L245" s="3" t="s">
        <v>2</v>
      </c>
      <c r="M245" s="3">
        <f>IF(Table1[[#This Row],[Cancellation Status]]&lt;&gt;"Yes",1,0)</f>
        <v>1</v>
      </c>
      <c r="O245" s="30">
        <v>45987</v>
      </c>
      <c r="P245" s="3">
        <v>2</v>
      </c>
      <c r="Q245" s="3">
        <v>4</v>
      </c>
      <c r="R245" s="3">
        <v>4</v>
      </c>
      <c r="S245" s="3">
        <v>4</v>
      </c>
      <c r="T24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45" t="str">
        <f>IF(Table1[[#This Row],[Customer Rating]]&gt;=9,"Promoter",IF(Table1[[#This Row],[Customer Rating]]&gt;=7,"Passive","Detractor"))</f>
        <v>Detractor</v>
      </c>
    </row>
    <row r="246" spans="1:21" ht="14.25" customHeight="1" x14ac:dyDescent="0.3">
      <c r="A246" s="3" t="s">
        <v>281</v>
      </c>
      <c r="B246" s="3" t="s">
        <v>26</v>
      </c>
      <c r="C246" s="3" t="s">
        <v>33</v>
      </c>
      <c r="D246" s="14">
        <v>45954</v>
      </c>
      <c r="E246" s="11">
        <f>1</f>
        <v>1</v>
      </c>
      <c r="G246" s="12">
        <f>IF(Table1[[#This Row],[Pre-Booking Date]]&lt;&gt;"",1,0)</f>
        <v>0</v>
      </c>
      <c r="I246" s="12">
        <f>IF(Table1[[#This Row],[Booking Date]]&lt;&gt;"",1,0)</f>
        <v>0</v>
      </c>
      <c r="K246" s="12">
        <f>IF(Table1[[#This Row],[Delivery Date]]&lt;&gt;"",1,0)</f>
        <v>0</v>
      </c>
      <c r="L246" s="3" t="s">
        <v>3</v>
      </c>
      <c r="M246" s="3">
        <f>IF(Table1[[#This Row],[Cancellation Status]]&lt;&gt;"Yes",1,0)</f>
        <v>0</v>
      </c>
      <c r="N246" s="3" t="s">
        <v>37</v>
      </c>
      <c r="T24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46" t="str">
        <f>IF(Table1[[#This Row],[Customer Rating]]&gt;=9,"Promoter",IF(Table1[[#This Row],[Customer Rating]]&gt;=7,"Passive","Detractor"))</f>
        <v>Detractor</v>
      </c>
    </row>
    <row r="247" spans="1:21" ht="14.25" customHeight="1" x14ac:dyDescent="0.3">
      <c r="A247" s="3" t="s">
        <v>282</v>
      </c>
      <c r="B247" s="3" t="s">
        <v>32</v>
      </c>
      <c r="C247" s="3" t="s">
        <v>27</v>
      </c>
      <c r="D247" s="14">
        <v>45954</v>
      </c>
      <c r="E247" s="11">
        <f>1</f>
        <v>1</v>
      </c>
      <c r="F247" s="14">
        <v>45958</v>
      </c>
      <c r="G247" s="11">
        <f>IF(Table1[[#This Row],[Pre-Booking Date]]&lt;&gt;"",1,0)</f>
        <v>1</v>
      </c>
      <c r="H247" s="4">
        <v>45959</v>
      </c>
      <c r="I247" s="11">
        <f>IF(Table1[[#This Row],[Booking Date]]&lt;&gt;"",1,0)</f>
        <v>1</v>
      </c>
      <c r="J247" s="30">
        <v>45963</v>
      </c>
      <c r="K247" s="11">
        <f>IF(Table1[[#This Row],[Delivery Date]]&lt;&gt;"",1,0)</f>
        <v>1</v>
      </c>
      <c r="L247" s="3" t="s">
        <v>2</v>
      </c>
      <c r="M247" s="3">
        <f>IF(Table1[[#This Row],[Cancellation Status]]&lt;&gt;"Yes",1,0)</f>
        <v>1</v>
      </c>
      <c r="O247" s="30">
        <v>45978</v>
      </c>
      <c r="P247" s="3">
        <v>4</v>
      </c>
      <c r="Q247" s="3">
        <v>1</v>
      </c>
      <c r="R247" s="3">
        <v>4</v>
      </c>
      <c r="S247" s="3">
        <v>1</v>
      </c>
      <c r="T24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47" t="str">
        <f>IF(Table1[[#This Row],[Customer Rating]]&gt;=9,"Promoter",IF(Table1[[#This Row],[Customer Rating]]&gt;=7,"Passive","Detractor"))</f>
        <v>Detractor</v>
      </c>
    </row>
    <row r="248" spans="1:21" ht="14.25" customHeight="1" x14ac:dyDescent="0.3">
      <c r="A248" s="3" t="s">
        <v>283</v>
      </c>
      <c r="B248" s="3" t="s">
        <v>32</v>
      </c>
      <c r="C248" s="3" t="s">
        <v>30</v>
      </c>
      <c r="D248" s="14">
        <v>45954</v>
      </c>
      <c r="E248" s="11">
        <f>1</f>
        <v>1</v>
      </c>
      <c r="F248" s="14">
        <v>45959</v>
      </c>
      <c r="G248" s="11">
        <f>IF(Table1[[#This Row],[Pre-Booking Date]]&lt;&gt;"",1,0)</f>
        <v>1</v>
      </c>
      <c r="H248" s="4">
        <v>45961</v>
      </c>
      <c r="I248" s="11">
        <f>IF(Table1[[#This Row],[Booking Date]]&lt;&gt;"",1,0)</f>
        <v>1</v>
      </c>
      <c r="J248" s="30">
        <v>45968</v>
      </c>
      <c r="K248" s="11">
        <f>IF(Table1[[#This Row],[Delivery Date]]&lt;&gt;"",1,0)</f>
        <v>1</v>
      </c>
      <c r="L248" s="3" t="s">
        <v>2</v>
      </c>
      <c r="M248" s="3">
        <f>IF(Table1[[#This Row],[Cancellation Status]]&lt;&gt;"Yes",1,0)</f>
        <v>1</v>
      </c>
      <c r="O248" s="30">
        <v>45995</v>
      </c>
      <c r="P248" s="3">
        <v>5</v>
      </c>
      <c r="Q248" s="3">
        <v>2</v>
      </c>
      <c r="R248" s="3">
        <v>7</v>
      </c>
      <c r="S248" s="3">
        <v>5</v>
      </c>
      <c r="T24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48" t="str">
        <f>IF(Table1[[#This Row],[Customer Rating]]&gt;=9,"Promoter",IF(Table1[[#This Row],[Customer Rating]]&gt;=7,"Passive","Detractor"))</f>
        <v>Detractor</v>
      </c>
    </row>
    <row r="249" spans="1:21" ht="14.25" customHeight="1" x14ac:dyDescent="0.3">
      <c r="A249" s="3" t="s">
        <v>284</v>
      </c>
      <c r="B249" s="3" t="s">
        <v>39</v>
      </c>
      <c r="C249" s="3" t="s">
        <v>33</v>
      </c>
      <c r="D249" s="14">
        <v>45954</v>
      </c>
      <c r="E249" s="11">
        <f>1</f>
        <v>1</v>
      </c>
      <c r="G249" s="12">
        <f>IF(Table1[[#This Row],[Pre-Booking Date]]&lt;&gt;"",1,0)</f>
        <v>0</v>
      </c>
      <c r="I249" s="12">
        <f>IF(Table1[[#This Row],[Booking Date]]&lt;&gt;"",1,0)</f>
        <v>0</v>
      </c>
      <c r="K249" s="12">
        <f>IF(Table1[[#This Row],[Delivery Date]]&lt;&gt;"",1,0)</f>
        <v>0</v>
      </c>
      <c r="L249" s="3" t="s">
        <v>3</v>
      </c>
      <c r="M249" s="3">
        <f>IF(Table1[[#This Row],[Cancellation Status]]&lt;&gt;"Yes",1,0)</f>
        <v>0</v>
      </c>
      <c r="N249" s="3" t="s">
        <v>42</v>
      </c>
      <c r="T24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49" t="str">
        <f>IF(Table1[[#This Row],[Customer Rating]]&gt;=9,"Promoter",IF(Table1[[#This Row],[Customer Rating]]&gt;=7,"Passive","Detractor"))</f>
        <v>Detractor</v>
      </c>
    </row>
    <row r="250" spans="1:21" ht="14.25" customHeight="1" x14ac:dyDescent="0.3">
      <c r="A250" s="3" t="s">
        <v>285</v>
      </c>
      <c r="B250" s="3" t="s">
        <v>26</v>
      </c>
      <c r="C250" s="3" t="s">
        <v>27</v>
      </c>
      <c r="D250" s="14">
        <v>45954</v>
      </c>
      <c r="E250" s="11">
        <f>1</f>
        <v>1</v>
      </c>
      <c r="F250" s="14">
        <v>45957</v>
      </c>
      <c r="G250" s="11">
        <f>IF(Table1[[#This Row],[Pre-Booking Date]]&lt;&gt;"",1,0)</f>
        <v>1</v>
      </c>
      <c r="H250" s="4">
        <v>45961</v>
      </c>
      <c r="I250" s="11">
        <f>IF(Table1[[#This Row],[Booking Date]]&lt;&gt;"",1,0)</f>
        <v>1</v>
      </c>
      <c r="J250" s="30">
        <v>45964</v>
      </c>
      <c r="K250" s="11">
        <f>IF(Table1[[#This Row],[Delivery Date]]&lt;&gt;"",1,0)</f>
        <v>1</v>
      </c>
      <c r="L250" s="3" t="s">
        <v>2</v>
      </c>
      <c r="M250" s="3">
        <f>IF(Table1[[#This Row],[Cancellation Status]]&lt;&gt;"Yes",1,0)</f>
        <v>1</v>
      </c>
      <c r="O250" s="30">
        <v>45975</v>
      </c>
      <c r="P250" s="3">
        <v>3</v>
      </c>
      <c r="Q250" s="3">
        <v>4</v>
      </c>
      <c r="R250" s="3">
        <v>3</v>
      </c>
      <c r="S250" s="3">
        <v>3</v>
      </c>
      <c r="T25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50" t="str">
        <f>IF(Table1[[#This Row],[Customer Rating]]&gt;=9,"Promoter",IF(Table1[[#This Row],[Customer Rating]]&gt;=7,"Passive","Detractor"))</f>
        <v>Detractor</v>
      </c>
    </row>
    <row r="251" spans="1:21" ht="14.25" customHeight="1" x14ac:dyDescent="0.3">
      <c r="A251" s="3" t="s">
        <v>286</v>
      </c>
      <c r="B251" s="3" t="s">
        <v>39</v>
      </c>
      <c r="C251" s="3" t="s">
        <v>27</v>
      </c>
      <c r="D251" s="14">
        <v>45954</v>
      </c>
      <c r="E251" s="11">
        <f>1</f>
        <v>1</v>
      </c>
      <c r="F251" s="14">
        <v>45959</v>
      </c>
      <c r="G251" s="11">
        <f>IF(Table1[[#This Row],[Pre-Booking Date]]&lt;&gt;"",1,0)</f>
        <v>1</v>
      </c>
      <c r="H251" s="4">
        <v>45961</v>
      </c>
      <c r="I251" s="11">
        <f>IF(Table1[[#This Row],[Booking Date]]&lt;&gt;"",1,0)</f>
        <v>1</v>
      </c>
      <c r="J251" s="30">
        <v>45965</v>
      </c>
      <c r="K251" s="11">
        <f>IF(Table1[[#This Row],[Delivery Date]]&lt;&gt;"",1,0)</f>
        <v>1</v>
      </c>
      <c r="L251" s="3" t="s">
        <v>2</v>
      </c>
      <c r="M251" s="3">
        <f>IF(Table1[[#This Row],[Cancellation Status]]&lt;&gt;"Yes",1,0)</f>
        <v>1</v>
      </c>
      <c r="O251" s="30">
        <v>45986</v>
      </c>
      <c r="P251" s="3">
        <v>5</v>
      </c>
      <c r="Q251" s="3">
        <v>2</v>
      </c>
      <c r="R251" s="3">
        <v>4</v>
      </c>
      <c r="S251" s="3">
        <v>6</v>
      </c>
      <c r="T25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51" t="str">
        <f>IF(Table1[[#This Row],[Customer Rating]]&gt;=9,"Promoter",IF(Table1[[#This Row],[Customer Rating]]&gt;=7,"Passive","Detractor"))</f>
        <v>Detractor</v>
      </c>
    </row>
    <row r="252" spans="1:21" ht="14.25" customHeight="1" x14ac:dyDescent="0.3">
      <c r="A252" s="3" t="s">
        <v>287</v>
      </c>
      <c r="B252" s="3" t="s">
        <v>26</v>
      </c>
      <c r="C252" s="3" t="s">
        <v>27</v>
      </c>
      <c r="D252" s="14">
        <v>45954</v>
      </c>
      <c r="E252" s="11">
        <f>1</f>
        <v>1</v>
      </c>
      <c r="F252" s="14">
        <v>45959</v>
      </c>
      <c r="G252" s="11">
        <f>IF(Table1[[#This Row],[Pre-Booking Date]]&lt;&gt;"",1,0)</f>
        <v>1</v>
      </c>
      <c r="H252" s="4">
        <v>45964</v>
      </c>
      <c r="I252" s="11">
        <f>IF(Table1[[#This Row],[Booking Date]]&lt;&gt;"",1,0)</f>
        <v>1</v>
      </c>
      <c r="J252" s="30">
        <v>45969</v>
      </c>
      <c r="K252" s="11">
        <f>IF(Table1[[#This Row],[Delivery Date]]&lt;&gt;"",1,0)</f>
        <v>1</v>
      </c>
      <c r="L252" s="3" t="s">
        <v>2</v>
      </c>
      <c r="M252" s="3">
        <f>IF(Table1[[#This Row],[Cancellation Status]]&lt;&gt;"Yes",1,0)</f>
        <v>1</v>
      </c>
      <c r="O252" s="30">
        <v>45982</v>
      </c>
      <c r="P252" s="3">
        <v>5</v>
      </c>
      <c r="Q252" s="3">
        <v>5</v>
      </c>
      <c r="R252" s="3">
        <v>5</v>
      </c>
      <c r="S252" s="3">
        <v>6</v>
      </c>
      <c r="T25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52" t="str">
        <f>IF(Table1[[#This Row],[Customer Rating]]&gt;=9,"Promoter",IF(Table1[[#This Row],[Customer Rating]]&gt;=7,"Passive","Detractor"))</f>
        <v>Detractor</v>
      </c>
    </row>
    <row r="253" spans="1:21" ht="14.25" customHeight="1" x14ac:dyDescent="0.3">
      <c r="A253" s="3" t="s">
        <v>288</v>
      </c>
      <c r="B253" s="3" t="s">
        <v>26</v>
      </c>
      <c r="C253" s="3" t="s">
        <v>30</v>
      </c>
      <c r="D253" s="14">
        <v>45954</v>
      </c>
      <c r="E253" s="11">
        <f>1</f>
        <v>1</v>
      </c>
      <c r="F253" s="14">
        <v>45956</v>
      </c>
      <c r="G253" s="11">
        <f>IF(Table1[[#This Row],[Pre-Booking Date]]&lt;&gt;"",1,0)</f>
        <v>1</v>
      </c>
      <c r="H253" s="4">
        <v>45961</v>
      </c>
      <c r="I253" s="11">
        <f>IF(Table1[[#This Row],[Booking Date]]&lt;&gt;"",1,0)</f>
        <v>1</v>
      </c>
      <c r="J253" s="30">
        <v>45965</v>
      </c>
      <c r="K253" s="11">
        <f>IF(Table1[[#This Row],[Delivery Date]]&lt;&gt;"",1,0)</f>
        <v>1</v>
      </c>
      <c r="L253" s="3" t="s">
        <v>2</v>
      </c>
      <c r="M253" s="3">
        <f>IF(Table1[[#This Row],[Cancellation Status]]&lt;&gt;"Yes",1,0)</f>
        <v>1</v>
      </c>
      <c r="O253" s="30">
        <v>45977</v>
      </c>
      <c r="P253" s="3">
        <v>2</v>
      </c>
      <c r="Q253" s="3">
        <v>5</v>
      </c>
      <c r="R253" s="3">
        <v>4</v>
      </c>
      <c r="S253" s="3">
        <v>7</v>
      </c>
      <c r="T25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53" t="str">
        <f>IF(Table1[[#This Row],[Customer Rating]]&gt;=9,"Promoter",IF(Table1[[#This Row],[Customer Rating]]&gt;=7,"Passive","Detractor"))</f>
        <v>Passive</v>
      </c>
    </row>
    <row r="254" spans="1:21" ht="14.25" customHeight="1" x14ac:dyDescent="0.3">
      <c r="A254" s="3" t="s">
        <v>289</v>
      </c>
      <c r="B254" s="3" t="s">
        <v>39</v>
      </c>
      <c r="C254" s="3" t="s">
        <v>30</v>
      </c>
      <c r="D254" s="14">
        <v>45954</v>
      </c>
      <c r="E254" s="11">
        <f>1</f>
        <v>1</v>
      </c>
      <c r="F254" s="14">
        <v>45957</v>
      </c>
      <c r="G254" s="11">
        <f>IF(Table1[[#This Row],[Pre-Booking Date]]&lt;&gt;"",1,0)</f>
        <v>1</v>
      </c>
      <c r="H254" s="4">
        <v>45959</v>
      </c>
      <c r="I254" s="11">
        <f>IF(Table1[[#This Row],[Booking Date]]&lt;&gt;"",1,0)</f>
        <v>1</v>
      </c>
      <c r="J254" s="30">
        <v>45963</v>
      </c>
      <c r="K254" s="11">
        <f>IF(Table1[[#This Row],[Delivery Date]]&lt;&gt;"",1,0)</f>
        <v>1</v>
      </c>
      <c r="L254" s="3" t="s">
        <v>2</v>
      </c>
      <c r="M254" s="3">
        <f>IF(Table1[[#This Row],[Cancellation Status]]&lt;&gt;"Yes",1,0)</f>
        <v>1</v>
      </c>
      <c r="O254" s="30">
        <v>45989</v>
      </c>
      <c r="P254" s="3">
        <v>3</v>
      </c>
      <c r="Q254" s="3">
        <v>2</v>
      </c>
      <c r="R254" s="3">
        <v>4</v>
      </c>
      <c r="S254" s="3">
        <v>7</v>
      </c>
      <c r="T25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54" t="str">
        <f>IF(Table1[[#This Row],[Customer Rating]]&gt;=9,"Promoter",IF(Table1[[#This Row],[Customer Rating]]&gt;=7,"Passive","Detractor"))</f>
        <v>Passive</v>
      </c>
    </row>
    <row r="255" spans="1:21" ht="14.25" customHeight="1" x14ac:dyDescent="0.3">
      <c r="A255" s="3" t="s">
        <v>290</v>
      </c>
      <c r="B255" s="3" t="s">
        <v>32</v>
      </c>
      <c r="C255" s="3" t="s">
        <v>27</v>
      </c>
      <c r="D255" s="14">
        <v>45953</v>
      </c>
      <c r="E255" s="11">
        <f>1</f>
        <v>1</v>
      </c>
      <c r="F255" s="14">
        <v>45957</v>
      </c>
      <c r="G255" s="11">
        <f>IF(Table1[[#This Row],[Pre-Booking Date]]&lt;&gt;"",1,0)</f>
        <v>1</v>
      </c>
      <c r="H255" s="4">
        <v>45962</v>
      </c>
      <c r="I255" s="11">
        <f>IF(Table1[[#This Row],[Booking Date]]&lt;&gt;"",1,0)</f>
        <v>1</v>
      </c>
      <c r="J255" s="30">
        <v>45967</v>
      </c>
      <c r="K255" s="11">
        <f>IF(Table1[[#This Row],[Delivery Date]]&lt;&gt;"",1,0)</f>
        <v>1</v>
      </c>
      <c r="L255" s="3" t="s">
        <v>2</v>
      </c>
      <c r="M255" s="3">
        <f>IF(Table1[[#This Row],[Cancellation Status]]&lt;&gt;"Yes",1,0)</f>
        <v>1</v>
      </c>
      <c r="O255" s="30">
        <v>45984</v>
      </c>
      <c r="P255" s="3">
        <v>4</v>
      </c>
      <c r="Q255" s="3">
        <v>5</v>
      </c>
      <c r="R255" s="3">
        <v>5</v>
      </c>
      <c r="S255" s="3">
        <v>8</v>
      </c>
      <c r="T25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55" t="str">
        <f>IF(Table1[[#This Row],[Customer Rating]]&gt;=9,"Promoter",IF(Table1[[#This Row],[Customer Rating]]&gt;=7,"Passive","Detractor"))</f>
        <v>Passive</v>
      </c>
    </row>
    <row r="256" spans="1:21" ht="14.25" customHeight="1" x14ac:dyDescent="0.3">
      <c r="A256" s="3" t="s">
        <v>291</v>
      </c>
      <c r="B256" s="3" t="s">
        <v>32</v>
      </c>
      <c r="C256" s="3" t="s">
        <v>30</v>
      </c>
      <c r="D256" s="14">
        <v>45953</v>
      </c>
      <c r="E256" s="11">
        <f>1</f>
        <v>1</v>
      </c>
      <c r="F256" s="14">
        <v>45956</v>
      </c>
      <c r="G256" s="11">
        <f>IF(Table1[[#This Row],[Pre-Booking Date]]&lt;&gt;"",1,0)</f>
        <v>1</v>
      </c>
      <c r="H256" s="4">
        <v>45959</v>
      </c>
      <c r="I256" s="11">
        <f>IF(Table1[[#This Row],[Booking Date]]&lt;&gt;"",1,0)</f>
        <v>1</v>
      </c>
      <c r="J256" s="30">
        <v>45961</v>
      </c>
      <c r="K256" s="11">
        <f>IF(Table1[[#This Row],[Delivery Date]]&lt;&gt;"",1,0)</f>
        <v>1</v>
      </c>
      <c r="L256" s="3" t="s">
        <v>2</v>
      </c>
      <c r="M256" s="3">
        <f>IF(Table1[[#This Row],[Cancellation Status]]&lt;&gt;"Yes",1,0)</f>
        <v>1</v>
      </c>
      <c r="O256" s="30">
        <v>45980</v>
      </c>
      <c r="P256" s="3">
        <v>3</v>
      </c>
      <c r="Q256" s="3">
        <v>3</v>
      </c>
      <c r="R256" s="3">
        <v>2</v>
      </c>
      <c r="S256" s="3">
        <v>5</v>
      </c>
      <c r="T25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56" t="str">
        <f>IF(Table1[[#This Row],[Customer Rating]]&gt;=9,"Promoter",IF(Table1[[#This Row],[Customer Rating]]&gt;=7,"Passive","Detractor"))</f>
        <v>Detractor</v>
      </c>
    </row>
    <row r="257" spans="1:21" ht="14.25" customHeight="1" x14ac:dyDescent="0.3">
      <c r="A257" s="3" t="s">
        <v>292</v>
      </c>
      <c r="B257" s="3" t="s">
        <v>32</v>
      </c>
      <c r="C257" s="3" t="s">
        <v>30</v>
      </c>
      <c r="D257" s="14">
        <v>45953</v>
      </c>
      <c r="E257" s="11">
        <f>1</f>
        <v>1</v>
      </c>
      <c r="F257" s="14">
        <v>45958</v>
      </c>
      <c r="G257" s="11">
        <f>IF(Table1[[#This Row],[Pre-Booking Date]]&lt;&gt;"",1,0)</f>
        <v>1</v>
      </c>
      <c r="H257" s="4">
        <v>45961</v>
      </c>
      <c r="I257" s="11">
        <f>IF(Table1[[#This Row],[Booking Date]]&lt;&gt;"",1,0)</f>
        <v>1</v>
      </c>
      <c r="J257" s="30">
        <v>45966</v>
      </c>
      <c r="K257" s="11">
        <f>IF(Table1[[#This Row],[Delivery Date]]&lt;&gt;"",1,0)</f>
        <v>1</v>
      </c>
      <c r="L257" s="3" t="s">
        <v>2</v>
      </c>
      <c r="M257" s="3">
        <f>IF(Table1[[#This Row],[Cancellation Status]]&lt;&gt;"Yes",1,0)</f>
        <v>1</v>
      </c>
      <c r="O257" s="30">
        <v>45981</v>
      </c>
      <c r="P257" s="3">
        <v>5</v>
      </c>
      <c r="Q257" s="3">
        <v>3</v>
      </c>
      <c r="R257" s="3">
        <v>5</v>
      </c>
      <c r="S257" s="3">
        <v>5</v>
      </c>
      <c r="T25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57" t="str">
        <f>IF(Table1[[#This Row],[Customer Rating]]&gt;=9,"Promoter",IF(Table1[[#This Row],[Customer Rating]]&gt;=7,"Passive","Detractor"))</f>
        <v>Detractor</v>
      </c>
    </row>
    <row r="258" spans="1:21" ht="14.25" customHeight="1" x14ac:dyDescent="0.3">
      <c r="A258" s="3" t="s">
        <v>293</v>
      </c>
      <c r="B258" s="3" t="s">
        <v>32</v>
      </c>
      <c r="C258" s="3" t="s">
        <v>30</v>
      </c>
      <c r="D258" s="14">
        <v>45953</v>
      </c>
      <c r="E258" s="11">
        <f>1</f>
        <v>1</v>
      </c>
      <c r="F258" s="14">
        <v>45954</v>
      </c>
      <c r="G258" s="11">
        <f>IF(Table1[[#This Row],[Pre-Booking Date]]&lt;&gt;"",1,0)</f>
        <v>1</v>
      </c>
      <c r="H258" s="4">
        <v>45958</v>
      </c>
      <c r="I258" s="11">
        <f>IF(Table1[[#This Row],[Booking Date]]&lt;&gt;"",1,0)</f>
        <v>1</v>
      </c>
      <c r="J258" s="30">
        <v>45961</v>
      </c>
      <c r="K258" s="11">
        <f>IF(Table1[[#This Row],[Delivery Date]]&lt;&gt;"",1,0)</f>
        <v>1</v>
      </c>
      <c r="L258" s="3" t="s">
        <v>2</v>
      </c>
      <c r="M258" s="3">
        <f>IF(Table1[[#This Row],[Cancellation Status]]&lt;&gt;"Yes",1,0)</f>
        <v>1</v>
      </c>
      <c r="O258" s="30">
        <v>45981</v>
      </c>
      <c r="P258" s="3">
        <v>1</v>
      </c>
      <c r="Q258" s="3">
        <v>4</v>
      </c>
      <c r="R258" s="3">
        <v>3</v>
      </c>
      <c r="S258" s="3">
        <v>7</v>
      </c>
      <c r="T25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58" t="str">
        <f>IF(Table1[[#This Row],[Customer Rating]]&gt;=9,"Promoter",IF(Table1[[#This Row],[Customer Rating]]&gt;=7,"Passive","Detractor"))</f>
        <v>Passive</v>
      </c>
    </row>
    <row r="259" spans="1:21" ht="14.25" customHeight="1" x14ac:dyDescent="0.3">
      <c r="A259" s="3" t="s">
        <v>294</v>
      </c>
      <c r="B259" s="3" t="s">
        <v>29</v>
      </c>
      <c r="C259" s="3" t="s">
        <v>27</v>
      </c>
      <c r="D259" s="14">
        <v>45953</v>
      </c>
      <c r="E259" s="11">
        <f>1</f>
        <v>1</v>
      </c>
      <c r="F259" s="14">
        <v>45955</v>
      </c>
      <c r="G259" s="11">
        <f>IF(Table1[[#This Row],[Pre-Booking Date]]&lt;&gt;"",1,0)</f>
        <v>1</v>
      </c>
      <c r="H259" s="4">
        <v>45958</v>
      </c>
      <c r="I259" s="11">
        <f>IF(Table1[[#This Row],[Booking Date]]&lt;&gt;"",1,0)</f>
        <v>1</v>
      </c>
      <c r="J259" s="30">
        <v>45963</v>
      </c>
      <c r="K259" s="11">
        <f>IF(Table1[[#This Row],[Delivery Date]]&lt;&gt;"",1,0)</f>
        <v>1</v>
      </c>
      <c r="L259" s="3" t="s">
        <v>2</v>
      </c>
      <c r="M259" s="3">
        <f>IF(Table1[[#This Row],[Cancellation Status]]&lt;&gt;"Yes",1,0)</f>
        <v>1</v>
      </c>
      <c r="O259" s="30">
        <v>45976</v>
      </c>
      <c r="P259" s="3">
        <v>2</v>
      </c>
      <c r="Q259" s="3">
        <v>3</v>
      </c>
      <c r="R259" s="3">
        <v>5</v>
      </c>
      <c r="S259" s="3">
        <v>9</v>
      </c>
      <c r="T25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59" t="str">
        <f>IF(Table1[[#This Row],[Customer Rating]]&gt;=9,"Promoter",IF(Table1[[#This Row],[Customer Rating]]&gt;=7,"Passive","Detractor"))</f>
        <v>Promoter</v>
      </c>
    </row>
    <row r="260" spans="1:21" ht="14.25" customHeight="1" x14ac:dyDescent="0.3">
      <c r="A260" s="3" t="s">
        <v>295</v>
      </c>
      <c r="B260" s="3" t="s">
        <v>26</v>
      </c>
      <c r="C260" s="3" t="s">
        <v>33</v>
      </c>
      <c r="D260" s="14">
        <v>45953</v>
      </c>
      <c r="E260" s="11">
        <f>1</f>
        <v>1</v>
      </c>
      <c r="G260" s="12">
        <f>IF(Table1[[#This Row],[Pre-Booking Date]]&lt;&gt;"",1,0)</f>
        <v>0</v>
      </c>
      <c r="I260" s="12">
        <f>IF(Table1[[#This Row],[Booking Date]]&lt;&gt;"",1,0)</f>
        <v>0</v>
      </c>
      <c r="K260" s="12">
        <f>IF(Table1[[#This Row],[Delivery Date]]&lt;&gt;"",1,0)</f>
        <v>0</v>
      </c>
      <c r="L260" s="3" t="s">
        <v>3</v>
      </c>
      <c r="M260" s="3">
        <f>IF(Table1[[#This Row],[Cancellation Status]]&lt;&gt;"Yes",1,0)</f>
        <v>0</v>
      </c>
      <c r="N260" s="3" t="s">
        <v>37</v>
      </c>
      <c r="T26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60" t="str">
        <f>IF(Table1[[#This Row],[Customer Rating]]&gt;=9,"Promoter",IF(Table1[[#This Row],[Customer Rating]]&gt;=7,"Passive","Detractor"))</f>
        <v>Detractor</v>
      </c>
    </row>
    <row r="261" spans="1:21" ht="14.25" customHeight="1" x14ac:dyDescent="0.3">
      <c r="A261" s="3" t="s">
        <v>296</v>
      </c>
      <c r="B261" s="3" t="s">
        <v>26</v>
      </c>
      <c r="C261" s="3" t="s">
        <v>30</v>
      </c>
      <c r="D261" s="14">
        <v>45953</v>
      </c>
      <c r="E261" s="11">
        <f>1</f>
        <v>1</v>
      </c>
      <c r="F261" s="14">
        <v>45957</v>
      </c>
      <c r="G261" s="11">
        <f>IF(Table1[[#This Row],[Pre-Booking Date]]&lt;&gt;"",1,0)</f>
        <v>1</v>
      </c>
      <c r="H261" s="4">
        <v>45958</v>
      </c>
      <c r="I261" s="11">
        <f>IF(Table1[[#This Row],[Booking Date]]&lt;&gt;"",1,0)</f>
        <v>1</v>
      </c>
      <c r="J261" s="30">
        <v>45965</v>
      </c>
      <c r="K261" s="11">
        <f>IF(Table1[[#This Row],[Delivery Date]]&lt;&gt;"",1,0)</f>
        <v>1</v>
      </c>
      <c r="L261" s="3" t="s">
        <v>2</v>
      </c>
      <c r="M261" s="3">
        <f>IF(Table1[[#This Row],[Cancellation Status]]&lt;&gt;"Yes",1,0)</f>
        <v>1</v>
      </c>
      <c r="O261" s="30">
        <v>45978</v>
      </c>
      <c r="P261" s="3">
        <v>4</v>
      </c>
      <c r="Q261" s="3">
        <v>1</v>
      </c>
      <c r="R261" s="3">
        <v>7</v>
      </c>
      <c r="S261" s="3">
        <v>0</v>
      </c>
      <c r="T26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61" t="str">
        <f>IF(Table1[[#This Row],[Customer Rating]]&gt;=9,"Promoter",IF(Table1[[#This Row],[Customer Rating]]&gt;=7,"Passive","Detractor"))</f>
        <v>Detractor</v>
      </c>
    </row>
    <row r="262" spans="1:21" ht="14.25" customHeight="1" x14ac:dyDescent="0.3">
      <c r="A262" s="3" t="s">
        <v>297</v>
      </c>
      <c r="B262" s="3" t="s">
        <v>39</v>
      </c>
      <c r="C262" s="3" t="s">
        <v>33</v>
      </c>
      <c r="D262" s="14">
        <v>45953</v>
      </c>
      <c r="E262" s="11">
        <f>1</f>
        <v>1</v>
      </c>
      <c r="G262" s="12">
        <f>IF(Table1[[#This Row],[Pre-Booking Date]]&lt;&gt;"",1,0)</f>
        <v>0</v>
      </c>
      <c r="I262" s="12">
        <f>IF(Table1[[#This Row],[Booking Date]]&lt;&gt;"",1,0)</f>
        <v>0</v>
      </c>
      <c r="K262" s="12">
        <f>IF(Table1[[#This Row],[Delivery Date]]&lt;&gt;"",1,0)</f>
        <v>0</v>
      </c>
      <c r="L262" s="3" t="s">
        <v>3</v>
      </c>
      <c r="M262" s="3">
        <f>IF(Table1[[#This Row],[Cancellation Status]]&lt;&gt;"Yes",1,0)</f>
        <v>0</v>
      </c>
      <c r="N262" s="3" t="s">
        <v>42</v>
      </c>
      <c r="T26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62" t="str">
        <f>IF(Table1[[#This Row],[Customer Rating]]&gt;=9,"Promoter",IF(Table1[[#This Row],[Customer Rating]]&gt;=7,"Passive","Detractor"))</f>
        <v>Detractor</v>
      </c>
    </row>
    <row r="263" spans="1:21" ht="14.25" customHeight="1" x14ac:dyDescent="0.3">
      <c r="A263" s="3" t="s">
        <v>298</v>
      </c>
      <c r="B263" s="3" t="s">
        <v>29</v>
      </c>
      <c r="C263" s="3" t="s">
        <v>30</v>
      </c>
      <c r="D263" s="14">
        <v>45953</v>
      </c>
      <c r="E263" s="11">
        <f>1</f>
        <v>1</v>
      </c>
      <c r="F263" s="14">
        <v>45955</v>
      </c>
      <c r="G263" s="11">
        <f>IF(Table1[[#This Row],[Pre-Booking Date]]&lt;&gt;"",1,0)</f>
        <v>1</v>
      </c>
      <c r="H263" s="4">
        <v>45959</v>
      </c>
      <c r="I263" s="11">
        <f>IF(Table1[[#This Row],[Booking Date]]&lt;&gt;"",1,0)</f>
        <v>1</v>
      </c>
      <c r="J263" s="30">
        <v>45963</v>
      </c>
      <c r="K263" s="11">
        <f>IF(Table1[[#This Row],[Delivery Date]]&lt;&gt;"",1,0)</f>
        <v>1</v>
      </c>
      <c r="L263" s="3" t="s">
        <v>2</v>
      </c>
      <c r="M263" s="3">
        <f>IF(Table1[[#This Row],[Cancellation Status]]&lt;&gt;"Yes",1,0)</f>
        <v>1</v>
      </c>
      <c r="O263" s="30">
        <v>45978</v>
      </c>
      <c r="P263" s="3">
        <v>2</v>
      </c>
      <c r="Q263" s="3">
        <v>4</v>
      </c>
      <c r="R263" s="3">
        <v>4</v>
      </c>
      <c r="S263" s="3">
        <v>4</v>
      </c>
      <c r="T26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63" t="str">
        <f>IF(Table1[[#This Row],[Customer Rating]]&gt;=9,"Promoter",IF(Table1[[#This Row],[Customer Rating]]&gt;=7,"Passive","Detractor"))</f>
        <v>Detractor</v>
      </c>
    </row>
    <row r="264" spans="1:21" ht="14.25" customHeight="1" x14ac:dyDescent="0.3">
      <c r="A264" s="3" t="s">
        <v>299</v>
      </c>
      <c r="B264" s="3" t="s">
        <v>32</v>
      </c>
      <c r="C264" s="3" t="s">
        <v>27</v>
      </c>
      <c r="D264" s="14">
        <v>45953</v>
      </c>
      <c r="E264" s="11">
        <f>1</f>
        <v>1</v>
      </c>
      <c r="F264" s="14">
        <v>45954</v>
      </c>
      <c r="G264" s="11">
        <f>IF(Table1[[#This Row],[Pre-Booking Date]]&lt;&gt;"",1,0)</f>
        <v>1</v>
      </c>
      <c r="H264" s="4">
        <v>45956</v>
      </c>
      <c r="I264" s="11">
        <f>IF(Table1[[#This Row],[Booking Date]]&lt;&gt;"",1,0)</f>
        <v>1</v>
      </c>
      <c r="J264" s="30">
        <v>45961</v>
      </c>
      <c r="K264" s="11">
        <f>IF(Table1[[#This Row],[Delivery Date]]&lt;&gt;"",1,0)</f>
        <v>1</v>
      </c>
      <c r="L264" s="3" t="s">
        <v>2</v>
      </c>
      <c r="M264" s="3">
        <f>IF(Table1[[#This Row],[Cancellation Status]]&lt;&gt;"Yes",1,0)</f>
        <v>1</v>
      </c>
      <c r="O264" s="30">
        <v>45974</v>
      </c>
      <c r="P264" s="3">
        <v>1</v>
      </c>
      <c r="Q264" s="3">
        <v>2</v>
      </c>
      <c r="R264" s="3">
        <v>5</v>
      </c>
      <c r="S264" s="3">
        <v>9</v>
      </c>
      <c r="T26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64" t="str">
        <f>IF(Table1[[#This Row],[Customer Rating]]&gt;=9,"Promoter",IF(Table1[[#This Row],[Customer Rating]]&gt;=7,"Passive","Detractor"))</f>
        <v>Promoter</v>
      </c>
    </row>
    <row r="265" spans="1:21" ht="14.25" customHeight="1" x14ac:dyDescent="0.3">
      <c r="A265" s="3" t="s">
        <v>300</v>
      </c>
      <c r="B265" s="3" t="s">
        <v>39</v>
      </c>
      <c r="C265" s="3" t="s">
        <v>27</v>
      </c>
      <c r="D265" s="14">
        <v>45953</v>
      </c>
      <c r="E265" s="11">
        <f>1</f>
        <v>1</v>
      </c>
      <c r="F265" s="14">
        <v>45958</v>
      </c>
      <c r="G265" s="11">
        <f>IF(Table1[[#This Row],[Pre-Booking Date]]&lt;&gt;"",1,0)</f>
        <v>1</v>
      </c>
      <c r="H265" s="4">
        <v>45963</v>
      </c>
      <c r="I265" s="11">
        <f>IF(Table1[[#This Row],[Booking Date]]&lt;&gt;"",1,0)</f>
        <v>1</v>
      </c>
      <c r="J265" s="30">
        <v>45970</v>
      </c>
      <c r="K265" s="11">
        <f>IF(Table1[[#This Row],[Delivery Date]]&lt;&gt;"",1,0)</f>
        <v>1</v>
      </c>
      <c r="L265" s="3" t="s">
        <v>2</v>
      </c>
      <c r="M265" s="3">
        <f>IF(Table1[[#This Row],[Cancellation Status]]&lt;&gt;"Yes",1,0)</f>
        <v>1</v>
      </c>
      <c r="O265" s="30">
        <v>46000</v>
      </c>
      <c r="P265" s="3">
        <v>5</v>
      </c>
      <c r="Q265" s="3">
        <v>5</v>
      </c>
      <c r="R265" s="3">
        <v>7</v>
      </c>
      <c r="S265" s="3">
        <v>4</v>
      </c>
      <c r="T26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65" t="str">
        <f>IF(Table1[[#This Row],[Customer Rating]]&gt;=9,"Promoter",IF(Table1[[#This Row],[Customer Rating]]&gt;=7,"Passive","Detractor"))</f>
        <v>Detractor</v>
      </c>
    </row>
    <row r="266" spans="1:21" ht="14.25" customHeight="1" x14ac:dyDescent="0.3">
      <c r="A266" s="3" t="s">
        <v>301</v>
      </c>
      <c r="B266" s="3" t="s">
        <v>26</v>
      </c>
      <c r="C266" s="3" t="s">
        <v>30</v>
      </c>
      <c r="D266" s="14">
        <v>45953</v>
      </c>
      <c r="E266" s="11">
        <f>1</f>
        <v>1</v>
      </c>
      <c r="F266" s="14">
        <v>45954</v>
      </c>
      <c r="G266" s="11">
        <f>IF(Table1[[#This Row],[Pre-Booking Date]]&lt;&gt;"",1,0)</f>
        <v>1</v>
      </c>
      <c r="H266" s="4">
        <v>45955</v>
      </c>
      <c r="I266" s="11">
        <f>IF(Table1[[#This Row],[Booking Date]]&lt;&gt;"",1,0)</f>
        <v>1</v>
      </c>
      <c r="J266" s="30">
        <v>45958</v>
      </c>
      <c r="K266" s="11">
        <f>IF(Table1[[#This Row],[Delivery Date]]&lt;&gt;"",1,0)</f>
        <v>1</v>
      </c>
      <c r="L266" s="3" t="s">
        <v>2</v>
      </c>
      <c r="M266" s="3">
        <f>IF(Table1[[#This Row],[Cancellation Status]]&lt;&gt;"Yes",1,0)</f>
        <v>1</v>
      </c>
      <c r="O266" s="30">
        <v>45970</v>
      </c>
      <c r="P266" s="3">
        <v>1</v>
      </c>
      <c r="Q266" s="3">
        <v>1</v>
      </c>
      <c r="R266" s="3">
        <v>3</v>
      </c>
      <c r="S266" s="3">
        <v>3</v>
      </c>
      <c r="T26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66" t="str">
        <f>IF(Table1[[#This Row],[Customer Rating]]&gt;=9,"Promoter",IF(Table1[[#This Row],[Customer Rating]]&gt;=7,"Passive","Detractor"))</f>
        <v>Detractor</v>
      </c>
    </row>
    <row r="267" spans="1:21" ht="14.25" customHeight="1" x14ac:dyDescent="0.3">
      <c r="A267" s="3" t="s">
        <v>302</v>
      </c>
      <c r="B267" s="3" t="s">
        <v>26</v>
      </c>
      <c r="C267" s="3" t="s">
        <v>33</v>
      </c>
      <c r="D267" s="14">
        <v>45953</v>
      </c>
      <c r="E267" s="11">
        <f>1</f>
        <v>1</v>
      </c>
      <c r="G267" s="12">
        <f>IF(Table1[[#This Row],[Pre-Booking Date]]&lt;&gt;"",1,0)</f>
        <v>0</v>
      </c>
      <c r="I267" s="12">
        <f>IF(Table1[[#This Row],[Booking Date]]&lt;&gt;"",1,0)</f>
        <v>0</v>
      </c>
      <c r="K267" s="12">
        <f>IF(Table1[[#This Row],[Delivery Date]]&lt;&gt;"",1,0)</f>
        <v>0</v>
      </c>
      <c r="L267" s="3" t="s">
        <v>3</v>
      </c>
      <c r="M267" s="3">
        <f>IF(Table1[[#This Row],[Cancellation Status]]&lt;&gt;"Yes",1,0)</f>
        <v>0</v>
      </c>
      <c r="N267" s="3" t="s">
        <v>52</v>
      </c>
      <c r="T26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67" t="str">
        <f>IF(Table1[[#This Row],[Customer Rating]]&gt;=9,"Promoter",IF(Table1[[#This Row],[Customer Rating]]&gt;=7,"Passive","Detractor"))</f>
        <v>Detractor</v>
      </c>
    </row>
    <row r="268" spans="1:21" ht="14.25" customHeight="1" x14ac:dyDescent="0.3">
      <c r="A268" s="3" t="s">
        <v>303</v>
      </c>
      <c r="B268" s="3" t="s">
        <v>26</v>
      </c>
      <c r="C268" s="3" t="s">
        <v>27</v>
      </c>
      <c r="D268" s="14">
        <v>45953</v>
      </c>
      <c r="E268" s="11">
        <f>1</f>
        <v>1</v>
      </c>
      <c r="F268" s="14">
        <v>45958</v>
      </c>
      <c r="G268" s="11">
        <f>IF(Table1[[#This Row],[Pre-Booking Date]]&lt;&gt;"",1,0)</f>
        <v>1</v>
      </c>
      <c r="H268" s="4">
        <v>45962</v>
      </c>
      <c r="I268" s="11">
        <f>IF(Table1[[#This Row],[Booking Date]]&lt;&gt;"",1,0)</f>
        <v>1</v>
      </c>
      <c r="J268" s="30">
        <v>45967</v>
      </c>
      <c r="K268" s="11">
        <f>IF(Table1[[#This Row],[Delivery Date]]&lt;&gt;"",1,0)</f>
        <v>1</v>
      </c>
      <c r="L268" s="3" t="s">
        <v>2</v>
      </c>
      <c r="M268" s="3">
        <f>IF(Table1[[#This Row],[Cancellation Status]]&lt;&gt;"Yes",1,0)</f>
        <v>1</v>
      </c>
      <c r="O268" s="30">
        <v>45980</v>
      </c>
      <c r="P268" s="3">
        <v>5</v>
      </c>
      <c r="Q268" s="3">
        <v>4</v>
      </c>
      <c r="R268" s="3">
        <v>5</v>
      </c>
      <c r="S268" s="3">
        <v>1</v>
      </c>
      <c r="T26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68" t="str">
        <f>IF(Table1[[#This Row],[Customer Rating]]&gt;=9,"Promoter",IF(Table1[[#This Row],[Customer Rating]]&gt;=7,"Passive","Detractor"))</f>
        <v>Detractor</v>
      </c>
    </row>
    <row r="269" spans="1:21" ht="14.25" customHeight="1" x14ac:dyDescent="0.3">
      <c r="A269" s="3" t="s">
        <v>304</v>
      </c>
      <c r="B269" s="3" t="s">
        <v>32</v>
      </c>
      <c r="C269" s="3" t="s">
        <v>27</v>
      </c>
      <c r="D269" s="14">
        <v>45953</v>
      </c>
      <c r="E269" s="11">
        <f>1</f>
        <v>1</v>
      </c>
      <c r="F269" s="14">
        <v>45956</v>
      </c>
      <c r="G269" s="11">
        <f>IF(Table1[[#This Row],[Pre-Booking Date]]&lt;&gt;"",1,0)</f>
        <v>1</v>
      </c>
      <c r="H269" s="4">
        <v>45958</v>
      </c>
      <c r="I269" s="11">
        <f>IF(Table1[[#This Row],[Booking Date]]&lt;&gt;"",1,0)</f>
        <v>1</v>
      </c>
      <c r="J269" s="30">
        <v>45965</v>
      </c>
      <c r="K269" s="11">
        <f>IF(Table1[[#This Row],[Delivery Date]]&lt;&gt;"",1,0)</f>
        <v>1</v>
      </c>
      <c r="L269" s="3" t="s">
        <v>2</v>
      </c>
      <c r="M269" s="3">
        <f>IF(Table1[[#This Row],[Cancellation Status]]&lt;&gt;"Yes",1,0)</f>
        <v>1</v>
      </c>
      <c r="O269" s="30">
        <v>45987</v>
      </c>
      <c r="P269" s="3">
        <v>3</v>
      </c>
      <c r="Q269" s="3">
        <v>2</v>
      </c>
      <c r="R269" s="3">
        <v>7</v>
      </c>
      <c r="S269" s="3">
        <v>5</v>
      </c>
      <c r="T26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69" t="str">
        <f>IF(Table1[[#This Row],[Customer Rating]]&gt;=9,"Promoter",IF(Table1[[#This Row],[Customer Rating]]&gt;=7,"Passive","Detractor"))</f>
        <v>Detractor</v>
      </c>
    </row>
    <row r="270" spans="1:21" ht="14.25" customHeight="1" x14ac:dyDescent="0.3">
      <c r="A270" s="3" t="s">
        <v>305</v>
      </c>
      <c r="B270" s="3" t="s">
        <v>32</v>
      </c>
      <c r="C270" s="3" t="s">
        <v>27</v>
      </c>
      <c r="D270" s="14">
        <v>45953</v>
      </c>
      <c r="E270" s="11">
        <f>1</f>
        <v>1</v>
      </c>
      <c r="F270" s="14">
        <v>45958</v>
      </c>
      <c r="G270" s="11">
        <f>IF(Table1[[#This Row],[Pre-Booking Date]]&lt;&gt;"",1,0)</f>
        <v>1</v>
      </c>
      <c r="H270" s="4">
        <v>45959</v>
      </c>
      <c r="I270" s="11">
        <f>IF(Table1[[#This Row],[Booking Date]]&lt;&gt;"",1,0)</f>
        <v>1</v>
      </c>
      <c r="J270" s="30">
        <v>45962</v>
      </c>
      <c r="K270" s="11">
        <f>IF(Table1[[#This Row],[Delivery Date]]&lt;&gt;"",1,0)</f>
        <v>1</v>
      </c>
      <c r="L270" s="3" t="s">
        <v>2</v>
      </c>
      <c r="M270" s="3">
        <f>IF(Table1[[#This Row],[Cancellation Status]]&lt;&gt;"Yes",1,0)</f>
        <v>1</v>
      </c>
      <c r="O270" s="30">
        <v>45980</v>
      </c>
      <c r="P270" s="3">
        <v>5</v>
      </c>
      <c r="Q270" s="3">
        <v>1</v>
      </c>
      <c r="R270" s="3">
        <v>3</v>
      </c>
      <c r="S270" s="3">
        <v>6</v>
      </c>
      <c r="T27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70" t="str">
        <f>IF(Table1[[#This Row],[Customer Rating]]&gt;=9,"Promoter",IF(Table1[[#This Row],[Customer Rating]]&gt;=7,"Passive","Detractor"))</f>
        <v>Detractor</v>
      </c>
    </row>
    <row r="271" spans="1:21" ht="14.25" customHeight="1" x14ac:dyDescent="0.3">
      <c r="A271" s="3" t="s">
        <v>306</v>
      </c>
      <c r="B271" s="3" t="s">
        <v>26</v>
      </c>
      <c r="C271" s="3" t="s">
        <v>30</v>
      </c>
      <c r="D271" s="14">
        <v>45953</v>
      </c>
      <c r="E271" s="11">
        <f>1</f>
        <v>1</v>
      </c>
      <c r="F271" s="14">
        <v>45957</v>
      </c>
      <c r="G271" s="11">
        <f>IF(Table1[[#This Row],[Pre-Booking Date]]&lt;&gt;"",1,0)</f>
        <v>1</v>
      </c>
      <c r="H271" s="4">
        <v>45959</v>
      </c>
      <c r="I271" s="11">
        <f>IF(Table1[[#This Row],[Booking Date]]&lt;&gt;"",1,0)</f>
        <v>1</v>
      </c>
      <c r="J271" s="30">
        <v>45961</v>
      </c>
      <c r="K271" s="11">
        <f>IF(Table1[[#This Row],[Delivery Date]]&lt;&gt;"",1,0)</f>
        <v>1</v>
      </c>
      <c r="L271" s="3" t="s">
        <v>2</v>
      </c>
      <c r="M271" s="3">
        <f>IF(Table1[[#This Row],[Cancellation Status]]&lt;&gt;"Yes",1,0)</f>
        <v>1</v>
      </c>
      <c r="O271" s="30">
        <v>45972</v>
      </c>
      <c r="P271" s="3">
        <v>4</v>
      </c>
      <c r="Q271" s="3">
        <v>2</v>
      </c>
      <c r="R271" s="3">
        <v>2</v>
      </c>
      <c r="S271" s="3">
        <v>7</v>
      </c>
      <c r="T27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71" t="str">
        <f>IF(Table1[[#This Row],[Customer Rating]]&gt;=9,"Promoter",IF(Table1[[#This Row],[Customer Rating]]&gt;=7,"Passive","Detractor"))</f>
        <v>Passive</v>
      </c>
    </row>
    <row r="272" spans="1:21" ht="14.25" customHeight="1" x14ac:dyDescent="0.3">
      <c r="A272" s="3" t="s">
        <v>307</v>
      </c>
      <c r="B272" s="3" t="s">
        <v>29</v>
      </c>
      <c r="C272" s="3" t="s">
        <v>27</v>
      </c>
      <c r="D272" s="14">
        <v>45953</v>
      </c>
      <c r="E272" s="11">
        <f>1</f>
        <v>1</v>
      </c>
      <c r="F272" s="14">
        <v>45957</v>
      </c>
      <c r="G272" s="11">
        <f>IF(Table1[[#This Row],[Pre-Booking Date]]&lt;&gt;"",1,0)</f>
        <v>1</v>
      </c>
      <c r="H272" s="4">
        <v>45960</v>
      </c>
      <c r="I272" s="11">
        <f>IF(Table1[[#This Row],[Booking Date]]&lt;&gt;"",1,0)</f>
        <v>1</v>
      </c>
      <c r="J272" s="30">
        <v>45963</v>
      </c>
      <c r="K272" s="11">
        <f>IF(Table1[[#This Row],[Delivery Date]]&lt;&gt;"",1,0)</f>
        <v>1</v>
      </c>
      <c r="L272" s="3" t="s">
        <v>2</v>
      </c>
      <c r="M272" s="3">
        <f>IF(Table1[[#This Row],[Cancellation Status]]&lt;&gt;"Yes",1,0)</f>
        <v>1</v>
      </c>
      <c r="O272" s="30">
        <v>45977</v>
      </c>
      <c r="P272" s="3">
        <v>4</v>
      </c>
      <c r="Q272" s="3">
        <v>3</v>
      </c>
      <c r="R272" s="3">
        <v>3</v>
      </c>
      <c r="S272" s="3">
        <v>6</v>
      </c>
      <c r="T27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72" t="str">
        <f>IF(Table1[[#This Row],[Customer Rating]]&gt;=9,"Promoter",IF(Table1[[#This Row],[Customer Rating]]&gt;=7,"Passive","Detractor"))</f>
        <v>Detractor</v>
      </c>
    </row>
    <row r="273" spans="1:21" ht="14.25" customHeight="1" x14ac:dyDescent="0.3">
      <c r="A273" s="3" t="s">
        <v>308</v>
      </c>
      <c r="B273" s="3" t="s">
        <v>29</v>
      </c>
      <c r="C273" s="3" t="s">
        <v>30</v>
      </c>
      <c r="D273" s="14">
        <v>45953</v>
      </c>
      <c r="E273" s="11">
        <f>1</f>
        <v>1</v>
      </c>
      <c r="F273" s="14">
        <v>45958</v>
      </c>
      <c r="G273" s="11">
        <f>IF(Table1[[#This Row],[Pre-Booking Date]]&lt;&gt;"",1,0)</f>
        <v>1</v>
      </c>
      <c r="H273" s="4">
        <v>45960</v>
      </c>
      <c r="I273" s="11">
        <f>IF(Table1[[#This Row],[Booking Date]]&lt;&gt;"",1,0)</f>
        <v>1</v>
      </c>
      <c r="J273" s="30">
        <v>45967</v>
      </c>
      <c r="K273" s="11">
        <f>IF(Table1[[#This Row],[Delivery Date]]&lt;&gt;"",1,0)</f>
        <v>1</v>
      </c>
      <c r="L273" s="3" t="s">
        <v>2</v>
      </c>
      <c r="M273" s="3">
        <f>IF(Table1[[#This Row],[Cancellation Status]]&lt;&gt;"Yes",1,0)</f>
        <v>1</v>
      </c>
      <c r="O273" s="30">
        <v>45987</v>
      </c>
      <c r="P273" s="3">
        <v>5</v>
      </c>
      <c r="Q273" s="3">
        <v>2</v>
      </c>
      <c r="R273" s="3">
        <v>7</v>
      </c>
      <c r="S273" s="3">
        <v>6</v>
      </c>
      <c r="T27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73" t="str">
        <f>IF(Table1[[#This Row],[Customer Rating]]&gt;=9,"Promoter",IF(Table1[[#This Row],[Customer Rating]]&gt;=7,"Passive","Detractor"))</f>
        <v>Detractor</v>
      </c>
    </row>
    <row r="274" spans="1:21" ht="14.25" customHeight="1" x14ac:dyDescent="0.3">
      <c r="A274" s="3" t="s">
        <v>309</v>
      </c>
      <c r="B274" s="3" t="s">
        <v>39</v>
      </c>
      <c r="C274" s="3" t="s">
        <v>27</v>
      </c>
      <c r="D274" s="14">
        <v>45953</v>
      </c>
      <c r="E274" s="11">
        <f>1</f>
        <v>1</v>
      </c>
      <c r="F274" s="14">
        <v>45955</v>
      </c>
      <c r="G274" s="11">
        <f>IF(Table1[[#This Row],[Pre-Booking Date]]&lt;&gt;"",1,0)</f>
        <v>1</v>
      </c>
      <c r="H274" s="4">
        <v>45959</v>
      </c>
      <c r="I274" s="11">
        <f>IF(Table1[[#This Row],[Booking Date]]&lt;&gt;"",1,0)</f>
        <v>1</v>
      </c>
      <c r="J274" s="30">
        <v>45963</v>
      </c>
      <c r="K274" s="11">
        <f>IF(Table1[[#This Row],[Delivery Date]]&lt;&gt;"",1,0)</f>
        <v>1</v>
      </c>
      <c r="L274" s="3" t="s">
        <v>3</v>
      </c>
      <c r="M274" s="3">
        <f>IF(Table1[[#This Row],[Cancellation Status]]&lt;&gt;"Yes",1,0)</f>
        <v>0</v>
      </c>
      <c r="N274" s="3" t="s">
        <v>55</v>
      </c>
      <c r="P274" s="3">
        <v>2</v>
      </c>
      <c r="Q274" s="3">
        <v>4</v>
      </c>
      <c r="R274" s="3">
        <v>4</v>
      </c>
      <c r="T27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74" t="str">
        <f>IF(Table1[[#This Row],[Customer Rating]]&gt;=9,"Promoter",IF(Table1[[#This Row],[Customer Rating]]&gt;=7,"Passive","Detractor"))</f>
        <v>Detractor</v>
      </c>
    </row>
    <row r="275" spans="1:21" ht="14.25" customHeight="1" x14ac:dyDescent="0.3">
      <c r="A275" s="3" t="s">
        <v>310</v>
      </c>
      <c r="B275" s="3" t="s">
        <v>39</v>
      </c>
      <c r="C275" s="3" t="s">
        <v>33</v>
      </c>
      <c r="D275" s="14">
        <v>45953</v>
      </c>
      <c r="E275" s="11">
        <f>1</f>
        <v>1</v>
      </c>
      <c r="G275" s="12">
        <f>IF(Table1[[#This Row],[Pre-Booking Date]]&lt;&gt;"",1,0)</f>
        <v>0</v>
      </c>
      <c r="I275" s="12">
        <f>IF(Table1[[#This Row],[Booking Date]]&lt;&gt;"",1,0)</f>
        <v>0</v>
      </c>
      <c r="K275" s="12">
        <f>IF(Table1[[#This Row],[Delivery Date]]&lt;&gt;"",1,0)</f>
        <v>0</v>
      </c>
      <c r="L275" s="3" t="s">
        <v>3</v>
      </c>
      <c r="M275" s="3">
        <f>IF(Table1[[#This Row],[Cancellation Status]]&lt;&gt;"Yes",1,0)</f>
        <v>0</v>
      </c>
      <c r="N275" s="3" t="s">
        <v>34</v>
      </c>
      <c r="T27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75" t="str">
        <f>IF(Table1[[#This Row],[Customer Rating]]&gt;=9,"Promoter",IF(Table1[[#This Row],[Customer Rating]]&gt;=7,"Passive","Detractor"))</f>
        <v>Detractor</v>
      </c>
    </row>
    <row r="276" spans="1:21" ht="14.25" customHeight="1" x14ac:dyDescent="0.3">
      <c r="A276" s="3" t="s">
        <v>311</v>
      </c>
      <c r="B276" s="3" t="s">
        <v>29</v>
      </c>
      <c r="C276" s="3" t="s">
        <v>30</v>
      </c>
      <c r="D276" s="14">
        <v>45953</v>
      </c>
      <c r="E276" s="11">
        <f>1</f>
        <v>1</v>
      </c>
      <c r="F276" s="14">
        <v>45957</v>
      </c>
      <c r="G276" s="11">
        <f>IF(Table1[[#This Row],[Pre-Booking Date]]&lt;&gt;"",1,0)</f>
        <v>1</v>
      </c>
      <c r="H276" s="4">
        <v>45961</v>
      </c>
      <c r="I276" s="11">
        <f>IF(Table1[[#This Row],[Booking Date]]&lt;&gt;"",1,0)</f>
        <v>1</v>
      </c>
      <c r="J276" s="30">
        <v>45964</v>
      </c>
      <c r="K276" s="11">
        <f>IF(Table1[[#This Row],[Delivery Date]]&lt;&gt;"",1,0)</f>
        <v>1</v>
      </c>
      <c r="L276" s="3" t="s">
        <v>2</v>
      </c>
      <c r="M276" s="3">
        <f>IF(Table1[[#This Row],[Cancellation Status]]&lt;&gt;"Yes",1,0)</f>
        <v>1</v>
      </c>
      <c r="O276" s="30">
        <v>45989</v>
      </c>
      <c r="P276" s="3">
        <v>4</v>
      </c>
      <c r="Q276" s="3">
        <v>4</v>
      </c>
      <c r="R276" s="3">
        <v>3</v>
      </c>
      <c r="S276" s="3">
        <v>3</v>
      </c>
      <c r="T27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76" t="str">
        <f>IF(Table1[[#This Row],[Customer Rating]]&gt;=9,"Promoter",IF(Table1[[#This Row],[Customer Rating]]&gt;=7,"Passive","Detractor"))</f>
        <v>Detractor</v>
      </c>
    </row>
    <row r="277" spans="1:21" ht="14.25" customHeight="1" x14ac:dyDescent="0.3">
      <c r="A277" s="3" t="s">
        <v>312</v>
      </c>
      <c r="B277" s="3" t="s">
        <v>39</v>
      </c>
      <c r="C277" s="3" t="s">
        <v>30</v>
      </c>
      <c r="D277" s="14">
        <v>45953</v>
      </c>
      <c r="E277" s="11">
        <f>1</f>
        <v>1</v>
      </c>
      <c r="F277" s="14">
        <v>45957</v>
      </c>
      <c r="G277" s="11">
        <f>IF(Table1[[#This Row],[Pre-Booking Date]]&lt;&gt;"",1,0)</f>
        <v>1</v>
      </c>
      <c r="H277" s="4">
        <v>45959</v>
      </c>
      <c r="I277" s="11">
        <f>IF(Table1[[#This Row],[Booking Date]]&lt;&gt;"",1,0)</f>
        <v>1</v>
      </c>
      <c r="J277" s="30">
        <v>45966</v>
      </c>
      <c r="K277" s="11">
        <f>IF(Table1[[#This Row],[Delivery Date]]&lt;&gt;"",1,0)</f>
        <v>1</v>
      </c>
      <c r="L277" s="3" t="s">
        <v>2</v>
      </c>
      <c r="M277" s="3">
        <f>IF(Table1[[#This Row],[Cancellation Status]]&lt;&gt;"Yes",1,0)</f>
        <v>1</v>
      </c>
      <c r="O277" s="30">
        <v>45984</v>
      </c>
      <c r="P277" s="3">
        <v>4</v>
      </c>
      <c r="Q277" s="3">
        <v>2</v>
      </c>
      <c r="R277" s="3">
        <v>7</v>
      </c>
      <c r="S277" s="3">
        <v>3</v>
      </c>
      <c r="T27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77" t="str">
        <f>IF(Table1[[#This Row],[Customer Rating]]&gt;=9,"Promoter",IF(Table1[[#This Row],[Customer Rating]]&gt;=7,"Passive","Detractor"))</f>
        <v>Detractor</v>
      </c>
    </row>
    <row r="278" spans="1:21" ht="14.25" customHeight="1" x14ac:dyDescent="0.3">
      <c r="A278" s="3" t="s">
        <v>313</v>
      </c>
      <c r="B278" s="3" t="s">
        <v>39</v>
      </c>
      <c r="C278" s="3" t="s">
        <v>30</v>
      </c>
      <c r="D278" s="14">
        <v>45953</v>
      </c>
      <c r="E278" s="11">
        <f>1</f>
        <v>1</v>
      </c>
      <c r="F278" s="14">
        <v>45958</v>
      </c>
      <c r="G278" s="11">
        <f>IF(Table1[[#This Row],[Pre-Booking Date]]&lt;&gt;"",1,0)</f>
        <v>1</v>
      </c>
      <c r="H278" s="4">
        <v>45961</v>
      </c>
      <c r="I278" s="11">
        <f>IF(Table1[[#This Row],[Booking Date]]&lt;&gt;"",1,0)</f>
        <v>1</v>
      </c>
      <c r="J278" s="30">
        <v>45968</v>
      </c>
      <c r="K278" s="11">
        <f>IF(Table1[[#This Row],[Delivery Date]]&lt;&gt;"",1,0)</f>
        <v>1</v>
      </c>
      <c r="L278" s="3" t="s">
        <v>2</v>
      </c>
      <c r="M278" s="3">
        <f>IF(Table1[[#This Row],[Cancellation Status]]&lt;&gt;"Yes",1,0)</f>
        <v>1</v>
      </c>
      <c r="O278" s="30">
        <v>45995</v>
      </c>
      <c r="P278" s="3">
        <v>5</v>
      </c>
      <c r="Q278" s="3">
        <v>3</v>
      </c>
      <c r="R278" s="3">
        <v>7</v>
      </c>
      <c r="S278" s="3">
        <v>1</v>
      </c>
      <c r="T27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78" t="str">
        <f>IF(Table1[[#This Row],[Customer Rating]]&gt;=9,"Promoter",IF(Table1[[#This Row],[Customer Rating]]&gt;=7,"Passive","Detractor"))</f>
        <v>Detractor</v>
      </c>
    </row>
    <row r="279" spans="1:21" ht="14.25" customHeight="1" x14ac:dyDescent="0.3">
      <c r="A279" s="3" t="s">
        <v>314</v>
      </c>
      <c r="B279" s="3" t="s">
        <v>26</v>
      </c>
      <c r="C279" s="3" t="s">
        <v>30</v>
      </c>
      <c r="D279" s="14">
        <v>45953</v>
      </c>
      <c r="E279" s="11">
        <f>1</f>
        <v>1</v>
      </c>
      <c r="F279" s="14">
        <v>45955</v>
      </c>
      <c r="G279" s="11">
        <f>IF(Table1[[#This Row],[Pre-Booking Date]]&lt;&gt;"",1,0)</f>
        <v>1</v>
      </c>
      <c r="H279" s="4">
        <v>45957</v>
      </c>
      <c r="I279" s="11">
        <f>IF(Table1[[#This Row],[Booking Date]]&lt;&gt;"",1,0)</f>
        <v>1</v>
      </c>
      <c r="J279" s="30">
        <v>45960</v>
      </c>
      <c r="K279" s="11">
        <f>IF(Table1[[#This Row],[Delivery Date]]&lt;&gt;"",1,0)</f>
        <v>1</v>
      </c>
      <c r="L279" s="3" t="s">
        <v>2</v>
      </c>
      <c r="M279" s="3">
        <f>IF(Table1[[#This Row],[Cancellation Status]]&lt;&gt;"Yes",1,0)</f>
        <v>1</v>
      </c>
      <c r="O279" s="30">
        <v>45979</v>
      </c>
      <c r="P279" s="3">
        <v>2</v>
      </c>
      <c r="Q279" s="3">
        <v>2</v>
      </c>
      <c r="R279" s="3">
        <v>3</v>
      </c>
      <c r="S279" s="3">
        <v>3</v>
      </c>
      <c r="T27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79" t="str">
        <f>IF(Table1[[#This Row],[Customer Rating]]&gt;=9,"Promoter",IF(Table1[[#This Row],[Customer Rating]]&gt;=7,"Passive","Detractor"))</f>
        <v>Detractor</v>
      </c>
    </row>
    <row r="280" spans="1:21" ht="14.25" customHeight="1" x14ac:dyDescent="0.3">
      <c r="A280" s="3" t="s">
        <v>315</v>
      </c>
      <c r="B280" s="3" t="s">
        <v>26</v>
      </c>
      <c r="C280" s="3" t="s">
        <v>30</v>
      </c>
      <c r="D280" s="14">
        <v>45953</v>
      </c>
      <c r="E280" s="11">
        <f>1</f>
        <v>1</v>
      </c>
      <c r="F280" s="14">
        <v>45956</v>
      </c>
      <c r="G280" s="11">
        <f>IF(Table1[[#This Row],[Pre-Booking Date]]&lt;&gt;"",1,0)</f>
        <v>1</v>
      </c>
      <c r="H280" s="4">
        <v>45961</v>
      </c>
      <c r="I280" s="11">
        <f>IF(Table1[[#This Row],[Booking Date]]&lt;&gt;"",1,0)</f>
        <v>1</v>
      </c>
      <c r="J280" s="30">
        <v>45964</v>
      </c>
      <c r="K280" s="11">
        <f>IF(Table1[[#This Row],[Delivery Date]]&lt;&gt;"",1,0)</f>
        <v>1</v>
      </c>
      <c r="L280" s="3" t="s">
        <v>3</v>
      </c>
      <c r="M280" s="3">
        <f>IF(Table1[[#This Row],[Cancellation Status]]&lt;&gt;"Yes",1,0)</f>
        <v>0</v>
      </c>
      <c r="N280" s="3" t="s">
        <v>34</v>
      </c>
      <c r="P280" s="3">
        <v>3</v>
      </c>
      <c r="Q280" s="3">
        <v>5</v>
      </c>
      <c r="R280" s="3">
        <v>3</v>
      </c>
      <c r="T28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80" t="str">
        <f>IF(Table1[[#This Row],[Customer Rating]]&gt;=9,"Promoter",IF(Table1[[#This Row],[Customer Rating]]&gt;=7,"Passive","Detractor"))</f>
        <v>Detractor</v>
      </c>
    </row>
    <row r="281" spans="1:21" ht="14.25" customHeight="1" x14ac:dyDescent="0.3">
      <c r="A281" s="3" t="s">
        <v>316</v>
      </c>
      <c r="B281" s="3" t="s">
        <v>39</v>
      </c>
      <c r="C281" s="3" t="s">
        <v>27</v>
      </c>
      <c r="D281" s="14">
        <v>45953</v>
      </c>
      <c r="E281" s="11">
        <f>1</f>
        <v>1</v>
      </c>
      <c r="F281" s="14">
        <v>45957</v>
      </c>
      <c r="G281" s="11">
        <f>IF(Table1[[#This Row],[Pre-Booking Date]]&lt;&gt;"",1,0)</f>
        <v>1</v>
      </c>
      <c r="H281" s="4">
        <v>45958</v>
      </c>
      <c r="I281" s="11">
        <f>IF(Table1[[#This Row],[Booking Date]]&lt;&gt;"",1,0)</f>
        <v>1</v>
      </c>
      <c r="J281" s="30">
        <v>45961</v>
      </c>
      <c r="K281" s="11">
        <f>IF(Table1[[#This Row],[Delivery Date]]&lt;&gt;"",1,0)</f>
        <v>1</v>
      </c>
      <c r="L281" s="3" t="s">
        <v>3</v>
      </c>
      <c r="M281" s="3">
        <f>IF(Table1[[#This Row],[Cancellation Status]]&lt;&gt;"Yes",1,0)</f>
        <v>0</v>
      </c>
      <c r="N281" s="3" t="s">
        <v>34</v>
      </c>
      <c r="P281" s="3">
        <v>4</v>
      </c>
      <c r="Q281" s="3">
        <v>1</v>
      </c>
      <c r="R281" s="3">
        <v>3</v>
      </c>
      <c r="T28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81" t="str">
        <f>IF(Table1[[#This Row],[Customer Rating]]&gt;=9,"Promoter",IF(Table1[[#This Row],[Customer Rating]]&gt;=7,"Passive","Detractor"))</f>
        <v>Detractor</v>
      </c>
    </row>
    <row r="282" spans="1:21" ht="14.25" customHeight="1" x14ac:dyDescent="0.3">
      <c r="A282" s="3" t="s">
        <v>317</v>
      </c>
      <c r="B282" s="3" t="s">
        <v>29</v>
      </c>
      <c r="C282" s="3" t="s">
        <v>30</v>
      </c>
      <c r="D282" s="14">
        <v>45953</v>
      </c>
      <c r="E282" s="11">
        <f>1</f>
        <v>1</v>
      </c>
      <c r="F282" s="14">
        <v>45956</v>
      </c>
      <c r="G282" s="11">
        <f>IF(Table1[[#This Row],[Pre-Booking Date]]&lt;&gt;"",1,0)</f>
        <v>1</v>
      </c>
      <c r="H282" s="4">
        <v>45959</v>
      </c>
      <c r="I282" s="11">
        <f>IF(Table1[[#This Row],[Booking Date]]&lt;&gt;"",1,0)</f>
        <v>1</v>
      </c>
      <c r="J282" s="30">
        <v>45963</v>
      </c>
      <c r="K282" s="11">
        <f>IF(Table1[[#This Row],[Delivery Date]]&lt;&gt;"",1,0)</f>
        <v>1</v>
      </c>
      <c r="L282" s="3" t="s">
        <v>2</v>
      </c>
      <c r="M282" s="3">
        <f>IF(Table1[[#This Row],[Cancellation Status]]&lt;&gt;"Yes",1,0)</f>
        <v>1</v>
      </c>
      <c r="O282" s="30">
        <v>45980</v>
      </c>
      <c r="P282" s="3">
        <v>3</v>
      </c>
      <c r="Q282" s="3">
        <v>3</v>
      </c>
      <c r="R282" s="3">
        <v>4</v>
      </c>
      <c r="S282" s="3">
        <v>1</v>
      </c>
      <c r="T28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82" t="str">
        <f>IF(Table1[[#This Row],[Customer Rating]]&gt;=9,"Promoter",IF(Table1[[#This Row],[Customer Rating]]&gt;=7,"Passive","Detractor"))</f>
        <v>Detractor</v>
      </c>
    </row>
    <row r="283" spans="1:21" ht="14.25" customHeight="1" x14ac:dyDescent="0.3">
      <c r="A283" s="3" t="s">
        <v>318</v>
      </c>
      <c r="B283" s="3" t="s">
        <v>39</v>
      </c>
      <c r="C283" s="3" t="s">
        <v>30</v>
      </c>
      <c r="D283" s="14">
        <v>45953</v>
      </c>
      <c r="E283" s="11">
        <f>1</f>
        <v>1</v>
      </c>
      <c r="F283" s="14">
        <v>45955</v>
      </c>
      <c r="G283" s="11">
        <f>IF(Table1[[#This Row],[Pre-Booking Date]]&lt;&gt;"",1,0)</f>
        <v>1</v>
      </c>
      <c r="H283" s="4">
        <v>45956</v>
      </c>
      <c r="I283" s="11">
        <f>IF(Table1[[#This Row],[Booking Date]]&lt;&gt;"",1,0)</f>
        <v>1</v>
      </c>
      <c r="J283" s="30">
        <v>45962</v>
      </c>
      <c r="K283" s="11">
        <f>IF(Table1[[#This Row],[Delivery Date]]&lt;&gt;"",1,0)</f>
        <v>1</v>
      </c>
      <c r="L283" s="3" t="s">
        <v>3</v>
      </c>
      <c r="M283" s="3">
        <f>IF(Table1[[#This Row],[Cancellation Status]]&lt;&gt;"Yes",1,0)</f>
        <v>0</v>
      </c>
      <c r="N283" s="3" t="s">
        <v>37</v>
      </c>
      <c r="P283" s="3">
        <v>2</v>
      </c>
      <c r="Q283" s="3">
        <v>1</v>
      </c>
      <c r="R283" s="3">
        <v>6</v>
      </c>
      <c r="T28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283" t="str">
        <f>IF(Table1[[#This Row],[Customer Rating]]&gt;=9,"Promoter",IF(Table1[[#This Row],[Customer Rating]]&gt;=7,"Passive","Detractor"))</f>
        <v>Detractor</v>
      </c>
    </row>
    <row r="284" spans="1:21" ht="14.25" customHeight="1" x14ac:dyDescent="0.3">
      <c r="A284" s="3" t="s">
        <v>319</v>
      </c>
      <c r="B284" s="3" t="s">
        <v>39</v>
      </c>
      <c r="C284" s="3" t="s">
        <v>27</v>
      </c>
      <c r="D284" s="14">
        <v>45953</v>
      </c>
      <c r="E284" s="11">
        <f>1</f>
        <v>1</v>
      </c>
      <c r="F284" s="14">
        <v>45957</v>
      </c>
      <c r="G284" s="11">
        <f>IF(Table1[[#This Row],[Pre-Booking Date]]&lt;&gt;"",1,0)</f>
        <v>1</v>
      </c>
      <c r="H284" s="4">
        <v>45959</v>
      </c>
      <c r="I284" s="11">
        <f>IF(Table1[[#This Row],[Booking Date]]&lt;&gt;"",1,0)</f>
        <v>1</v>
      </c>
      <c r="J284" s="30">
        <v>45964</v>
      </c>
      <c r="K284" s="11">
        <f>IF(Table1[[#This Row],[Delivery Date]]&lt;&gt;"",1,0)</f>
        <v>1</v>
      </c>
      <c r="L284" s="3" t="s">
        <v>2</v>
      </c>
      <c r="M284" s="3">
        <f>IF(Table1[[#This Row],[Cancellation Status]]&lt;&gt;"Yes",1,0)</f>
        <v>1</v>
      </c>
      <c r="O284" s="30">
        <v>45977</v>
      </c>
      <c r="P284" s="3">
        <v>4</v>
      </c>
      <c r="Q284" s="3">
        <v>2</v>
      </c>
      <c r="R284" s="3">
        <v>5</v>
      </c>
      <c r="S284" s="3">
        <v>2</v>
      </c>
      <c r="T28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84" t="str">
        <f>IF(Table1[[#This Row],[Customer Rating]]&gt;=9,"Promoter",IF(Table1[[#This Row],[Customer Rating]]&gt;=7,"Passive","Detractor"))</f>
        <v>Detractor</v>
      </c>
    </row>
    <row r="285" spans="1:21" ht="14.25" customHeight="1" x14ac:dyDescent="0.3">
      <c r="A285" s="3" t="s">
        <v>320</v>
      </c>
      <c r="B285" s="3" t="s">
        <v>29</v>
      </c>
      <c r="C285" s="3" t="s">
        <v>27</v>
      </c>
      <c r="D285" s="14">
        <v>45953</v>
      </c>
      <c r="E285" s="11">
        <f>1</f>
        <v>1</v>
      </c>
      <c r="F285" s="14">
        <v>45956</v>
      </c>
      <c r="G285" s="11">
        <f>IF(Table1[[#This Row],[Pre-Booking Date]]&lt;&gt;"",1,0)</f>
        <v>1</v>
      </c>
      <c r="H285" s="4">
        <v>45957</v>
      </c>
      <c r="I285" s="11">
        <f>IF(Table1[[#This Row],[Booking Date]]&lt;&gt;"",1,0)</f>
        <v>1</v>
      </c>
      <c r="J285" s="30">
        <v>45961</v>
      </c>
      <c r="K285" s="11">
        <f>IF(Table1[[#This Row],[Delivery Date]]&lt;&gt;"",1,0)</f>
        <v>1</v>
      </c>
      <c r="L285" s="3" t="s">
        <v>2</v>
      </c>
      <c r="M285" s="3">
        <f>IF(Table1[[#This Row],[Cancellation Status]]&lt;&gt;"Yes",1,0)</f>
        <v>1</v>
      </c>
      <c r="O285" s="30">
        <v>45972</v>
      </c>
      <c r="P285" s="3">
        <v>3</v>
      </c>
      <c r="Q285" s="3">
        <v>1</v>
      </c>
      <c r="R285" s="3">
        <v>4</v>
      </c>
      <c r="S285" s="3">
        <v>10</v>
      </c>
      <c r="T28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85" t="str">
        <f>IF(Table1[[#This Row],[Customer Rating]]&gt;=9,"Promoter",IF(Table1[[#This Row],[Customer Rating]]&gt;=7,"Passive","Detractor"))</f>
        <v>Promoter</v>
      </c>
    </row>
    <row r="286" spans="1:21" ht="14.25" customHeight="1" x14ac:dyDescent="0.3">
      <c r="A286" s="3" t="s">
        <v>321</v>
      </c>
      <c r="B286" s="3" t="s">
        <v>32</v>
      </c>
      <c r="C286" s="3" t="s">
        <v>27</v>
      </c>
      <c r="D286" s="14">
        <v>45953</v>
      </c>
      <c r="E286" s="11">
        <f>1</f>
        <v>1</v>
      </c>
      <c r="F286" s="14">
        <v>45954</v>
      </c>
      <c r="G286" s="11">
        <f>IF(Table1[[#This Row],[Pre-Booking Date]]&lt;&gt;"",1,0)</f>
        <v>1</v>
      </c>
      <c r="H286" s="4">
        <v>45955</v>
      </c>
      <c r="I286" s="11">
        <f>IF(Table1[[#This Row],[Booking Date]]&lt;&gt;"",1,0)</f>
        <v>1</v>
      </c>
      <c r="J286" s="30">
        <v>45958</v>
      </c>
      <c r="K286" s="11">
        <f>IF(Table1[[#This Row],[Delivery Date]]&lt;&gt;"",1,0)</f>
        <v>1</v>
      </c>
      <c r="L286" s="3" t="s">
        <v>2</v>
      </c>
      <c r="M286" s="3">
        <f>IF(Table1[[#This Row],[Cancellation Status]]&lt;&gt;"Yes",1,0)</f>
        <v>1</v>
      </c>
      <c r="O286" s="30">
        <v>45987</v>
      </c>
      <c r="P286" s="3">
        <v>1</v>
      </c>
      <c r="Q286" s="3">
        <v>1</v>
      </c>
      <c r="R286" s="3">
        <v>3</v>
      </c>
      <c r="S286" s="3">
        <v>9</v>
      </c>
      <c r="T28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86" t="str">
        <f>IF(Table1[[#This Row],[Customer Rating]]&gt;=9,"Promoter",IF(Table1[[#This Row],[Customer Rating]]&gt;=7,"Passive","Detractor"))</f>
        <v>Promoter</v>
      </c>
    </row>
    <row r="287" spans="1:21" ht="14.25" customHeight="1" x14ac:dyDescent="0.3">
      <c r="A287" s="3" t="s">
        <v>322</v>
      </c>
      <c r="B287" s="3" t="s">
        <v>32</v>
      </c>
      <c r="C287" s="3" t="s">
        <v>30</v>
      </c>
      <c r="D287" s="14">
        <v>45953</v>
      </c>
      <c r="E287" s="11">
        <f>1</f>
        <v>1</v>
      </c>
      <c r="F287" s="14">
        <v>45955</v>
      </c>
      <c r="G287" s="11">
        <f>IF(Table1[[#This Row],[Pre-Booking Date]]&lt;&gt;"",1,0)</f>
        <v>1</v>
      </c>
      <c r="H287" s="4">
        <v>45958</v>
      </c>
      <c r="I287" s="11">
        <f>IF(Table1[[#This Row],[Booking Date]]&lt;&gt;"",1,0)</f>
        <v>1</v>
      </c>
      <c r="J287" s="30">
        <v>45965</v>
      </c>
      <c r="K287" s="11">
        <f>IF(Table1[[#This Row],[Delivery Date]]&lt;&gt;"",1,0)</f>
        <v>1</v>
      </c>
      <c r="L287" s="3" t="s">
        <v>2</v>
      </c>
      <c r="M287" s="3">
        <f>IF(Table1[[#This Row],[Cancellation Status]]&lt;&gt;"Yes",1,0)</f>
        <v>1</v>
      </c>
      <c r="O287" s="30">
        <v>45989</v>
      </c>
      <c r="P287" s="3">
        <v>2</v>
      </c>
      <c r="Q287" s="3">
        <v>3</v>
      </c>
      <c r="R287" s="3">
        <v>7</v>
      </c>
      <c r="S287" s="3">
        <v>7</v>
      </c>
      <c r="T28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87" t="str">
        <f>IF(Table1[[#This Row],[Customer Rating]]&gt;=9,"Promoter",IF(Table1[[#This Row],[Customer Rating]]&gt;=7,"Passive","Detractor"))</f>
        <v>Passive</v>
      </c>
    </row>
    <row r="288" spans="1:21" ht="14.25" customHeight="1" x14ac:dyDescent="0.3">
      <c r="A288" s="3" t="s">
        <v>323</v>
      </c>
      <c r="B288" s="3" t="s">
        <v>29</v>
      </c>
      <c r="C288" s="3" t="s">
        <v>30</v>
      </c>
      <c r="D288" s="14">
        <v>45952</v>
      </c>
      <c r="E288" s="11">
        <f>1</f>
        <v>1</v>
      </c>
      <c r="F288" s="14">
        <v>45954</v>
      </c>
      <c r="G288" s="11">
        <f>IF(Table1[[#This Row],[Pre-Booking Date]]&lt;&gt;"",1,0)</f>
        <v>1</v>
      </c>
      <c r="H288" s="4">
        <v>45955</v>
      </c>
      <c r="I288" s="11">
        <f>IF(Table1[[#This Row],[Booking Date]]&lt;&gt;"",1,0)</f>
        <v>1</v>
      </c>
      <c r="J288" s="30">
        <v>45961</v>
      </c>
      <c r="K288" s="11">
        <f>IF(Table1[[#This Row],[Delivery Date]]&lt;&gt;"",1,0)</f>
        <v>1</v>
      </c>
      <c r="L288" s="3" t="s">
        <v>2</v>
      </c>
      <c r="M288" s="3">
        <f>IF(Table1[[#This Row],[Cancellation Status]]&lt;&gt;"Yes",1,0)</f>
        <v>1</v>
      </c>
      <c r="O288" s="30">
        <v>45975</v>
      </c>
      <c r="P288" s="3">
        <v>2</v>
      </c>
      <c r="Q288" s="3">
        <v>1</v>
      </c>
      <c r="R288" s="3">
        <v>6</v>
      </c>
      <c r="S288" s="3">
        <v>6</v>
      </c>
      <c r="T28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88" t="str">
        <f>IF(Table1[[#This Row],[Customer Rating]]&gt;=9,"Promoter",IF(Table1[[#This Row],[Customer Rating]]&gt;=7,"Passive","Detractor"))</f>
        <v>Detractor</v>
      </c>
    </row>
    <row r="289" spans="1:21" ht="14.25" customHeight="1" x14ac:dyDescent="0.3">
      <c r="A289" s="3" t="s">
        <v>324</v>
      </c>
      <c r="B289" s="3" t="s">
        <v>26</v>
      </c>
      <c r="C289" s="3" t="s">
        <v>27</v>
      </c>
      <c r="D289" s="14">
        <v>45952</v>
      </c>
      <c r="E289" s="11">
        <f>1</f>
        <v>1</v>
      </c>
      <c r="F289" s="14">
        <v>45956</v>
      </c>
      <c r="G289" s="11">
        <f>IF(Table1[[#This Row],[Pre-Booking Date]]&lt;&gt;"",1,0)</f>
        <v>1</v>
      </c>
      <c r="H289" s="4">
        <v>45961</v>
      </c>
      <c r="I289" s="11">
        <f>IF(Table1[[#This Row],[Booking Date]]&lt;&gt;"",1,0)</f>
        <v>1</v>
      </c>
      <c r="J289" s="30">
        <v>45968</v>
      </c>
      <c r="K289" s="11">
        <f>IF(Table1[[#This Row],[Delivery Date]]&lt;&gt;"",1,0)</f>
        <v>1</v>
      </c>
      <c r="L289" s="3" t="s">
        <v>2</v>
      </c>
      <c r="M289" s="3">
        <f>IF(Table1[[#This Row],[Cancellation Status]]&lt;&gt;"Yes",1,0)</f>
        <v>1</v>
      </c>
      <c r="O289" s="30">
        <v>45982</v>
      </c>
      <c r="P289" s="3">
        <v>4</v>
      </c>
      <c r="Q289" s="3">
        <v>5</v>
      </c>
      <c r="R289" s="3">
        <v>7</v>
      </c>
      <c r="S289" s="3">
        <v>0</v>
      </c>
      <c r="T28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89" t="str">
        <f>IF(Table1[[#This Row],[Customer Rating]]&gt;=9,"Promoter",IF(Table1[[#This Row],[Customer Rating]]&gt;=7,"Passive","Detractor"))</f>
        <v>Detractor</v>
      </c>
    </row>
    <row r="290" spans="1:21" ht="14.25" customHeight="1" x14ac:dyDescent="0.3">
      <c r="A290" s="3" t="s">
        <v>325</v>
      </c>
      <c r="B290" s="3" t="s">
        <v>26</v>
      </c>
      <c r="C290" s="3" t="s">
        <v>27</v>
      </c>
      <c r="D290" s="14">
        <v>45952</v>
      </c>
      <c r="E290" s="11">
        <f>1</f>
        <v>1</v>
      </c>
      <c r="F290" s="14">
        <v>45955</v>
      </c>
      <c r="G290" s="11">
        <f>IF(Table1[[#This Row],[Pre-Booking Date]]&lt;&gt;"",1,0)</f>
        <v>1</v>
      </c>
      <c r="H290" s="4">
        <v>45956</v>
      </c>
      <c r="I290" s="11">
        <f>IF(Table1[[#This Row],[Booking Date]]&lt;&gt;"",1,0)</f>
        <v>1</v>
      </c>
      <c r="J290" s="30">
        <v>45958</v>
      </c>
      <c r="K290" s="11">
        <f>IF(Table1[[#This Row],[Delivery Date]]&lt;&gt;"",1,0)</f>
        <v>1</v>
      </c>
      <c r="L290" s="3" t="s">
        <v>2</v>
      </c>
      <c r="M290" s="3">
        <f>IF(Table1[[#This Row],[Cancellation Status]]&lt;&gt;"Yes",1,0)</f>
        <v>1</v>
      </c>
      <c r="O290" s="30">
        <v>45973</v>
      </c>
      <c r="P290" s="3">
        <v>3</v>
      </c>
      <c r="Q290" s="3">
        <v>1</v>
      </c>
      <c r="R290" s="3">
        <v>2</v>
      </c>
      <c r="S290" s="3">
        <v>3</v>
      </c>
      <c r="T29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90" t="str">
        <f>IF(Table1[[#This Row],[Customer Rating]]&gt;=9,"Promoter",IF(Table1[[#This Row],[Customer Rating]]&gt;=7,"Passive","Detractor"))</f>
        <v>Detractor</v>
      </c>
    </row>
    <row r="291" spans="1:21" ht="14.25" customHeight="1" x14ac:dyDescent="0.3">
      <c r="A291" s="3" t="s">
        <v>326</v>
      </c>
      <c r="B291" s="3" t="s">
        <v>29</v>
      </c>
      <c r="C291" s="3" t="s">
        <v>27</v>
      </c>
      <c r="D291" s="14">
        <v>45952</v>
      </c>
      <c r="E291" s="11">
        <f>1</f>
        <v>1</v>
      </c>
      <c r="F291" s="14">
        <v>45954</v>
      </c>
      <c r="G291" s="11">
        <f>IF(Table1[[#This Row],[Pre-Booking Date]]&lt;&gt;"",1,0)</f>
        <v>1</v>
      </c>
      <c r="H291" s="4">
        <v>45955</v>
      </c>
      <c r="I291" s="11">
        <f>IF(Table1[[#This Row],[Booking Date]]&lt;&gt;"",1,0)</f>
        <v>1</v>
      </c>
      <c r="J291" s="30">
        <v>45958</v>
      </c>
      <c r="K291" s="11">
        <f>IF(Table1[[#This Row],[Delivery Date]]&lt;&gt;"",1,0)</f>
        <v>1</v>
      </c>
      <c r="L291" s="3" t="s">
        <v>2</v>
      </c>
      <c r="M291" s="3">
        <f>IF(Table1[[#This Row],[Cancellation Status]]&lt;&gt;"Yes",1,0)</f>
        <v>1</v>
      </c>
      <c r="O291" s="30">
        <v>45979</v>
      </c>
      <c r="P291" s="3">
        <v>2</v>
      </c>
      <c r="Q291" s="3">
        <v>1</v>
      </c>
      <c r="R291" s="3">
        <v>3</v>
      </c>
      <c r="S291" s="3">
        <v>2</v>
      </c>
      <c r="T29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91" t="str">
        <f>IF(Table1[[#This Row],[Customer Rating]]&gt;=9,"Promoter",IF(Table1[[#This Row],[Customer Rating]]&gt;=7,"Passive","Detractor"))</f>
        <v>Detractor</v>
      </c>
    </row>
    <row r="292" spans="1:21" ht="14.25" customHeight="1" x14ac:dyDescent="0.3">
      <c r="A292" s="3" t="s">
        <v>327</v>
      </c>
      <c r="B292" s="3" t="s">
        <v>32</v>
      </c>
      <c r="C292" s="3" t="s">
        <v>27</v>
      </c>
      <c r="D292" s="14">
        <v>45952</v>
      </c>
      <c r="E292" s="11">
        <f>1</f>
        <v>1</v>
      </c>
      <c r="F292" s="14">
        <v>45957</v>
      </c>
      <c r="G292" s="11">
        <f>IF(Table1[[#This Row],[Pre-Booking Date]]&lt;&gt;"",1,0)</f>
        <v>1</v>
      </c>
      <c r="H292" s="4">
        <v>45958</v>
      </c>
      <c r="I292" s="11">
        <f>IF(Table1[[#This Row],[Booking Date]]&lt;&gt;"",1,0)</f>
        <v>1</v>
      </c>
      <c r="J292" s="30">
        <v>45961</v>
      </c>
      <c r="K292" s="11">
        <f>IF(Table1[[#This Row],[Delivery Date]]&lt;&gt;"",1,0)</f>
        <v>1</v>
      </c>
      <c r="L292" s="3" t="s">
        <v>2</v>
      </c>
      <c r="M292" s="3">
        <f>IF(Table1[[#This Row],[Cancellation Status]]&lt;&gt;"Yes",1,0)</f>
        <v>1</v>
      </c>
      <c r="O292" s="30">
        <v>45983</v>
      </c>
      <c r="P292" s="3">
        <v>5</v>
      </c>
      <c r="Q292" s="3">
        <v>1</v>
      </c>
      <c r="R292" s="3">
        <v>3</v>
      </c>
      <c r="S292" s="3">
        <v>4</v>
      </c>
      <c r="T29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92" t="str">
        <f>IF(Table1[[#This Row],[Customer Rating]]&gt;=9,"Promoter",IF(Table1[[#This Row],[Customer Rating]]&gt;=7,"Passive","Detractor"))</f>
        <v>Detractor</v>
      </c>
    </row>
    <row r="293" spans="1:21" ht="14.25" customHeight="1" x14ac:dyDescent="0.3">
      <c r="A293" s="3" t="s">
        <v>328</v>
      </c>
      <c r="B293" s="3" t="s">
        <v>26</v>
      </c>
      <c r="C293" s="3" t="s">
        <v>27</v>
      </c>
      <c r="D293" s="14">
        <v>45952</v>
      </c>
      <c r="E293" s="11">
        <f>1</f>
        <v>1</v>
      </c>
      <c r="F293" s="14">
        <v>45954</v>
      </c>
      <c r="G293" s="11">
        <f>IF(Table1[[#This Row],[Pre-Booking Date]]&lt;&gt;"",1,0)</f>
        <v>1</v>
      </c>
      <c r="H293" s="4">
        <v>45957</v>
      </c>
      <c r="I293" s="11">
        <f>IF(Table1[[#This Row],[Booking Date]]&lt;&gt;"",1,0)</f>
        <v>1</v>
      </c>
      <c r="J293" s="30">
        <v>45961</v>
      </c>
      <c r="K293" s="11">
        <f>IF(Table1[[#This Row],[Delivery Date]]&lt;&gt;"",1,0)</f>
        <v>1</v>
      </c>
      <c r="L293" s="3" t="s">
        <v>2</v>
      </c>
      <c r="M293" s="3">
        <f>IF(Table1[[#This Row],[Cancellation Status]]&lt;&gt;"Yes",1,0)</f>
        <v>1</v>
      </c>
      <c r="O293" s="30">
        <v>45991</v>
      </c>
      <c r="P293" s="3">
        <v>2</v>
      </c>
      <c r="Q293" s="3">
        <v>3</v>
      </c>
      <c r="R293" s="3">
        <v>4</v>
      </c>
      <c r="S293" s="3">
        <v>9</v>
      </c>
      <c r="T29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93" t="str">
        <f>IF(Table1[[#This Row],[Customer Rating]]&gt;=9,"Promoter",IF(Table1[[#This Row],[Customer Rating]]&gt;=7,"Passive","Detractor"))</f>
        <v>Promoter</v>
      </c>
    </row>
    <row r="294" spans="1:21" ht="14.25" customHeight="1" x14ac:dyDescent="0.3">
      <c r="A294" s="3" t="s">
        <v>329</v>
      </c>
      <c r="B294" s="3" t="s">
        <v>32</v>
      </c>
      <c r="C294" s="3" t="s">
        <v>27</v>
      </c>
      <c r="D294" s="14">
        <v>45952</v>
      </c>
      <c r="E294" s="11">
        <f>1</f>
        <v>1</v>
      </c>
      <c r="F294" s="14">
        <v>45953</v>
      </c>
      <c r="G294" s="11">
        <f>IF(Table1[[#This Row],[Pre-Booking Date]]&lt;&gt;"",1,0)</f>
        <v>1</v>
      </c>
      <c r="H294" s="4">
        <v>45954</v>
      </c>
      <c r="I294" s="11">
        <f>IF(Table1[[#This Row],[Booking Date]]&lt;&gt;"",1,0)</f>
        <v>1</v>
      </c>
      <c r="J294" s="30">
        <v>45960</v>
      </c>
      <c r="K294" s="11">
        <f>IF(Table1[[#This Row],[Delivery Date]]&lt;&gt;"",1,0)</f>
        <v>1</v>
      </c>
      <c r="L294" s="3" t="s">
        <v>2</v>
      </c>
      <c r="M294" s="3">
        <f>IF(Table1[[#This Row],[Cancellation Status]]&lt;&gt;"Yes",1,0)</f>
        <v>1</v>
      </c>
      <c r="O294" s="30">
        <v>45985</v>
      </c>
      <c r="P294" s="3">
        <v>1</v>
      </c>
      <c r="Q294" s="3">
        <v>1</v>
      </c>
      <c r="R294" s="3">
        <v>6</v>
      </c>
      <c r="S294" s="3">
        <v>6</v>
      </c>
      <c r="T29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94" t="str">
        <f>IF(Table1[[#This Row],[Customer Rating]]&gt;=9,"Promoter",IF(Table1[[#This Row],[Customer Rating]]&gt;=7,"Passive","Detractor"))</f>
        <v>Detractor</v>
      </c>
    </row>
    <row r="295" spans="1:21" ht="14.25" customHeight="1" x14ac:dyDescent="0.3">
      <c r="A295" s="3" t="s">
        <v>330</v>
      </c>
      <c r="B295" s="3" t="s">
        <v>32</v>
      </c>
      <c r="C295" s="3" t="s">
        <v>27</v>
      </c>
      <c r="D295" s="14">
        <v>45952</v>
      </c>
      <c r="E295" s="11">
        <f>1</f>
        <v>1</v>
      </c>
      <c r="F295" s="14">
        <v>45956</v>
      </c>
      <c r="G295" s="11">
        <f>IF(Table1[[#This Row],[Pre-Booking Date]]&lt;&gt;"",1,0)</f>
        <v>1</v>
      </c>
      <c r="H295" s="4">
        <v>45960</v>
      </c>
      <c r="I295" s="11">
        <f>IF(Table1[[#This Row],[Booking Date]]&lt;&gt;"",1,0)</f>
        <v>1</v>
      </c>
      <c r="J295" s="30">
        <v>45962</v>
      </c>
      <c r="K295" s="11">
        <f>IF(Table1[[#This Row],[Delivery Date]]&lt;&gt;"",1,0)</f>
        <v>1</v>
      </c>
      <c r="L295" s="3" t="s">
        <v>2</v>
      </c>
      <c r="M295" s="3">
        <f>IF(Table1[[#This Row],[Cancellation Status]]&lt;&gt;"Yes",1,0)</f>
        <v>1</v>
      </c>
      <c r="O295" s="30">
        <v>45990</v>
      </c>
      <c r="P295" s="3">
        <v>4</v>
      </c>
      <c r="Q295" s="3">
        <v>4</v>
      </c>
      <c r="R295" s="3">
        <v>2</v>
      </c>
      <c r="S295" s="3">
        <v>4</v>
      </c>
      <c r="T29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95" t="str">
        <f>IF(Table1[[#This Row],[Customer Rating]]&gt;=9,"Promoter",IF(Table1[[#This Row],[Customer Rating]]&gt;=7,"Passive","Detractor"))</f>
        <v>Detractor</v>
      </c>
    </row>
    <row r="296" spans="1:21" ht="14.25" customHeight="1" x14ac:dyDescent="0.3">
      <c r="A296" s="3" t="s">
        <v>331</v>
      </c>
      <c r="B296" s="3" t="s">
        <v>26</v>
      </c>
      <c r="C296" s="3" t="s">
        <v>27</v>
      </c>
      <c r="D296" s="14">
        <v>45952</v>
      </c>
      <c r="E296" s="11">
        <f>1</f>
        <v>1</v>
      </c>
      <c r="F296" s="14">
        <v>45954</v>
      </c>
      <c r="G296" s="11">
        <f>IF(Table1[[#This Row],[Pre-Booking Date]]&lt;&gt;"",1,0)</f>
        <v>1</v>
      </c>
      <c r="H296" s="4">
        <v>45955</v>
      </c>
      <c r="I296" s="11">
        <f>IF(Table1[[#This Row],[Booking Date]]&lt;&gt;"",1,0)</f>
        <v>1</v>
      </c>
      <c r="J296" s="30">
        <v>45959</v>
      </c>
      <c r="K296" s="11">
        <f>IF(Table1[[#This Row],[Delivery Date]]&lt;&gt;"",1,0)</f>
        <v>1</v>
      </c>
      <c r="L296" s="3" t="s">
        <v>2</v>
      </c>
      <c r="M296" s="3">
        <f>IF(Table1[[#This Row],[Cancellation Status]]&lt;&gt;"Yes",1,0)</f>
        <v>1</v>
      </c>
      <c r="O296" s="30">
        <v>45977</v>
      </c>
      <c r="P296" s="3">
        <v>2</v>
      </c>
      <c r="Q296" s="3">
        <v>1</v>
      </c>
      <c r="R296" s="3">
        <v>4</v>
      </c>
      <c r="S296" s="3">
        <v>4</v>
      </c>
      <c r="T29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96" t="str">
        <f>IF(Table1[[#This Row],[Customer Rating]]&gt;=9,"Promoter",IF(Table1[[#This Row],[Customer Rating]]&gt;=7,"Passive","Detractor"))</f>
        <v>Detractor</v>
      </c>
    </row>
    <row r="297" spans="1:21" ht="14.25" customHeight="1" x14ac:dyDescent="0.3">
      <c r="A297" s="3" t="s">
        <v>332</v>
      </c>
      <c r="B297" s="3" t="s">
        <v>26</v>
      </c>
      <c r="C297" s="3" t="s">
        <v>27</v>
      </c>
      <c r="D297" s="14">
        <v>45952</v>
      </c>
      <c r="E297" s="11">
        <f>1</f>
        <v>1</v>
      </c>
      <c r="F297" s="14">
        <v>45954</v>
      </c>
      <c r="G297" s="11">
        <f>IF(Table1[[#This Row],[Pre-Booking Date]]&lt;&gt;"",1,0)</f>
        <v>1</v>
      </c>
      <c r="H297" s="4">
        <v>45958</v>
      </c>
      <c r="I297" s="11">
        <f>IF(Table1[[#This Row],[Booking Date]]&lt;&gt;"",1,0)</f>
        <v>1</v>
      </c>
      <c r="J297" s="30">
        <v>45965</v>
      </c>
      <c r="K297" s="11">
        <f>IF(Table1[[#This Row],[Delivery Date]]&lt;&gt;"",1,0)</f>
        <v>1</v>
      </c>
      <c r="L297" s="3" t="s">
        <v>2</v>
      </c>
      <c r="M297" s="3">
        <f>IF(Table1[[#This Row],[Cancellation Status]]&lt;&gt;"Yes",1,0)</f>
        <v>1</v>
      </c>
      <c r="O297" s="30">
        <v>45987</v>
      </c>
      <c r="P297" s="3">
        <v>2</v>
      </c>
      <c r="Q297" s="3">
        <v>4</v>
      </c>
      <c r="R297" s="3">
        <v>7</v>
      </c>
      <c r="S297" s="3">
        <v>3</v>
      </c>
      <c r="T29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97" t="str">
        <f>IF(Table1[[#This Row],[Customer Rating]]&gt;=9,"Promoter",IF(Table1[[#This Row],[Customer Rating]]&gt;=7,"Passive","Detractor"))</f>
        <v>Detractor</v>
      </c>
    </row>
    <row r="298" spans="1:21" ht="14.25" customHeight="1" x14ac:dyDescent="0.3">
      <c r="A298" s="3" t="s">
        <v>333</v>
      </c>
      <c r="B298" s="3" t="s">
        <v>39</v>
      </c>
      <c r="C298" s="3" t="s">
        <v>30</v>
      </c>
      <c r="D298" s="14">
        <v>45952</v>
      </c>
      <c r="E298" s="11">
        <f>1</f>
        <v>1</v>
      </c>
      <c r="F298" s="14">
        <v>45955</v>
      </c>
      <c r="G298" s="11">
        <f>IF(Table1[[#This Row],[Pre-Booking Date]]&lt;&gt;"",1,0)</f>
        <v>1</v>
      </c>
      <c r="H298" s="4">
        <v>45956</v>
      </c>
      <c r="I298" s="11">
        <f>IF(Table1[[#This Row],[Booking Date]]&lt;&gt;"",1,0)</f>
        <v>1</v>
      </c>
      <c r="J298" s="30">
        <v>45958</v>
      </c>
      <c r="K298" s="11">
        <f>IF(Table1[[#This Row],[Delivery Date]]&lt;&gt;"",1,0)</f>
        <v>1</v>
      </c>
      <c r="L298" s="3" t="s">
        <v>2</v>
      </c>
      <c r="M298" s="3">
        <f>IF(Table1[[#This Row],[Cancellation Status]]&lt;&gt;"Yes",1,0)</f>
        <v>1</v>
      </c>
      <c r="O298" s="30">
        <v>45986</v>
      </c>
      <c r="P298" s="3">
        <v>3</v>
      </c>
      <c r="Q298" s="3">
        <v>1</v>
      </c>
      <c r="R298" s="3">
        <v>2</v>
      </c>
      <c r="S298" s="3">
        <v>9</v>
      </c>
      <c r="T29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98" t="str">
        <f>IF(Table1[[#This Row],[Customer Rating]]&gt;=9,"Promoter",IF(Table1[[#This Row],[Customer Rating]]&gt;=7,"Passive","Detractor"))</f>
        <v>Promoter</v>
      </c>
    </row>
    <row r="299" spans="1:21" ht="14.25" customHeight="1" x14ac:dyDescent="0.3">
      <c r="A299" s="3" t="s">
        <v>334</v>
      </c>
      <c r="B299" s="3" t="s">
        <v>32</v>
      </c>
      <c r="C299" s="3" t="s">
        <v>27</v>
      </c>
      <c r="D299" s="14">
        <v>45952</v>
      </c>
      <c r="E299" s="11">
        <f>1</f>
        <v>1</v>
      </c>
      <c r="F299" s="14">
        <v>45954</v>
      </c>
      <c r="G299" s="11">
        <f>IF(Table1[[#This Row],[Pre-Booking Date]]&lt;&gt;"",1,0)</f>
        <v>1</v>
      </c>
      <c r="H299" s="4">
        <v>45958</v>
      </c>
      <c r="I299" s="11">
        <f>IF(Table1[[#This Row],[Booking Date]]&lt;&gt;"",1,0)</f>
        <v>1</v>
      </c>
      <c r="J299" s="30">
        <v>45962</v>
      </c>
      <c r="K299" s="11">
        <f>IF(Table1[[#This Row],[Delivery Date]]&lt;&gt;"",1,0)</f>
        <v>1</v>
      </c>
      <c r="L299" s="3" t="s">
        <v>2</v>
      </c>
      <c r="M299" s="3">
        <f>IF(Table1[[#This Row],[Cancellation Status]]&lt;&gt;"Yes",1,0)</f>
        <v>1</v>
      </c>
      <c r="O299" s="30">
        <v>45978</v>
      </c>
      <c r="P299" s="3">
        <v>2</v>
      </c>
      <c r="Q299" s="3">
        <v>4</v>
      </c>
      <c r="R299" s="3">
        <v>4</v>
      </c>
      <c r="S299" s="3">
        <v>1</v>
      </c>
      <c r="T29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299" t="str">
        <f>IF(Table1[[#This Row],[Customer Rating]]&gt;=9,"Promoter",IF(Table1[[#This Row],[Customer Rating]]&gt;=7,"Passive","Detractor"))</f>
        <v>Detractor</v>
      </c>
    </row>
    <row r="300" spans="1:21" ht="14.25" customHeight="1" x14ac:dyDescent="0.3">
      <c r="A300" s="3" t="s">
        <v>335</v>
      </c>
      <c r="B300" s="3" t="s">
        <v>29</v>
      </c>
      <c r="C300" s="3" t="s">
        <v>27</v>
      </c>
      <c r="D300" s="14">
        <v>45952</v>
      </c>
      <c r="E300" s="11">
        <f>1</f>
        <v>1</v>
      </c>
      <c r="F300" s="14">
        <v>45956</v>
      </c>
      <c r="G300" s="11">
        <f>IF(Table1[[#This Row],[Pre-Booking Date]]&lt;&gt;"",1,0)</f>
        <v>1</v>
      </c>
      <c r="H300" s="4">
        <v>45961</v>
      </c>
      <c r="I300" s="11">
        <f>IF(Table1[[#This Row],[Booking Date]]&lt;&gt;"",1,0)</f>
        <v>1</v>
      </c>
      <c r="J300" s="30">
        <v>45967</v>
      </c>
      <c r="K300" s="11">
        <f>IF(Table1[[#This Row],[Delivery Date]]&lt;&gt;"",1,0)</f>
        <v>1</v>
      </c>
      <c r="L300" s="3" t="s">
        <v>2</v>
      </c>
      <c r="M300" s="3">
        <f>IF(Table1[[#This Row],[Cancellation Status]]&lt;&gt;"Yes",1,0)</f>
        <v>1</v>
      </c>
      <c r="O300" s="30">
        <v>45982</v>
      </c>
      <c r="P300" s="3">
        <v>4</v>
      </c>
      <c r="Q300" s="3">
        <v>5</v>
      </c>
      <c r="R300" s="3">
        <v>6</v>
      </c>
      <c r="S300" s="3">
        <v>5</v>
      </c>
      <c r="T30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00" t="str">
        <f>IF(Table1[[#This Row],[Customer Rating]]&gt;=9,"Promoter",IF(Table1[[#This Row],[Customer Rating]]&gt;=7,"Passive","Detractor"))</f>
        <v>Detractor</v>
      </c>
    </row>
    <row r="301" spans="1:21" ht="14.25" customHeight="1" x14ac:dyDescent="0.3">
      <c r="A301" s="3" t="s">
        <v>336</v>
      </c>
      <c r="B301" s="3" t="s">
        <v>29</v>
      </c>
      <c r="C301" s="3" t="s">
        <v>30</v>
      </c>
      <c r="D301" s="14">
        <v>45952</v>
      </c>
      <c r="E301" s="11">
        <f>1</f>
        <v>1</v>
      </c>
      <c r="F301" s="14">
        <v>45953</v>
      </c>
      <c r="G301" s="11">
        <f>IF(Table1[[#This Row],[Pre-Booking Date]]&lt;&gt;"",1,0)</f>
        <v>1</v>
      </c>
      <c r="H301" s="4">
        <v>45955</v>
      </c>
      <c r="I301" s="11">
        <f>IF(Table1[[#This Row],[Booking Date]]&lt;&gt;"",1,0)</f>
        <v>1</v>
      </c>
      <c r="J301" s="30">
        <v>45961</v>
      </c>
      <c r="K301" s="11">
        <f>IF(Table1[[#This Row],[Delivery Date]]&lt;&gt;"",1,0)</f>
        <v>1</v>
      </c>
      <c r="L301" s="3" t="s">
        <v>2</v>
      </c>
      <c r="M301" s="3">
        <f>IF(Table1[[#This Row],[Cancellation Status]]&lt;&gt;"Yes",1,0)</f>
        <v>1</v>
      </c>
      <c r="O301" s="30">
        <v>45990</v>
      </c>
      <c r="P301" s="3">
        <v>1</v>
      </c>
      <c r="Q301" s="3">
        <v>2</v>
      </c>
      <c r="R301" s="3">
        <v>6</v>
      </c>
      <c r="S301" s="3">
        <v>1</v>
      </c>
      <c r="T30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01" t="str">
        <f>IF(Table1[[#This Row],[Customer Rating]]&gt;=9,"Promoter",IF(Table1[[#This Row],[Customer Rating]]&gt;=7,"Passive","Detractor"))</f>
        <v>Detractor</v>
      </c>
    </row>
    <row r="302" spans="1:21" ht="14.25" customHeight="1" x14ac:dyDescent="0.3">
      <c r="A302" s="3" t="s">
        <v>337</v>
      </c>
      <c r="B302" s="3" t="s">
        <v>32</v>
      </c>
      <c r="C302" s="3" t="s">
        <v>27</v>
      </c>
      <c r="D302" s="14">
        <v>45952</v>
      </c>
      <c r="E302" s="11">
        <f>1</f>
        <v>1</v>
      </c>
      <c r="F302" s="14">
        <v>45953</v>
      </c>
      <c r="G302" s="11">
        <f>IF(Table1[[#This Row],[Pre-Booking Date]]&lt;&gt;"",1,0)</f>
        <v>1</v>
      </c>
      <c r="H302" s="4">
        <v>45955</v>
      </c>
      <c r="I302" s="11">
        <f>IF(Table1[[#This Row],[Booking Date]]&lt;&gt;"",1,0)</f>
        <v>1</v>
      </c>
      <c r="J302" s="30">
        <v>45957</v>
      </c>
      <c r="K302" s="11">
        <f>IF(Table1[[#This Row],[Delivery Date]]&lt;&gt;"",1,0)</f>
        <v>1</v>
      </c>
      <c r="L302" s="3" t="s">
        <v>2</v>
      </c>
      <c r="M302" s="3">
        <f>IF(Table1[[#This Row],[Cancellation Status]]&lt;&gt;"Yes",1,0)</f>
        <v>1</v>
      </c>
      <c r="O302" s="30">
        <v>45976</v>
      </c>
      <c r="P302" s="3">
        <v>1</v>
      </c>
      <c r="Q302" s="3">
        <v>2</v>
      </c>
      <c r="R302" s="3">
        <v>2</v>
      </c>
      <c r="S302" s="3">
        <v>1</v>
      </c>
      <c r="T30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02" t="str">
        <f>IF(Table1[[#This Row],[Customer Rating]]&gt;=9,"Promoter",IF(Table1[[#This Row],[Customer Rating]]&gt;=7,"Passive","Detractor"))</f>
        <v>Detractor</v>
      </c>
    </row>
    <row r="303" spans="1:21" ht="14.25" customHeight="1" x14ac:dyDescent="0.3">
      <c r="A303" s="3" t="s">
        <v>338</v>
      </c>
      <c r="B303" s="3" t="s">
        <v>26</v>
      </c>
      <c r="C303" s="3" t="s">
        <v>27</v>
      </c>
      <c r="D303" s="14">
        <v>45952</v>
      </c>
      <c r="E303" s="11">
        <f>1</f>
        <v>1</v>
      </c>
      <c r="F303" s="14">
        <v>45956</v>
      </c>
      <c r="G303" s="11">
        <f>IF(Table1[[#This Row],[Pre-Booking Date]]&lt;&gt;"",1,0)</f>
        <v>1</v>
      </c>
      <c r="H303" s="4">
        <v>45958</v>
      </c>
      <c r="I303" s="11">
        <f>IF(Table1[[#This Row],[Booking Date]]&lt;&gt;"",1,0)</f>
        <v>1</v>
      </c>
      <c r="J303" s="30">
        <v>45965</v>
      </c>
      <c r="K303" s="11">
        <f>IF(Table1[[#This Row],[Delivery Date]]&lt;&gt;"",1,0)</f>
        <v>1</v>
      </c>
      <c r="L303" s="3" t="s">
        <v>2</v>
      </c>
      <c r="M303" s="3">
        <f>IF(Table1[[#This Row],[Cancellation Status]]&lt;&gt;"Yes",1,0)</f>
        <v>1</v>
      </c>
      <c r="O303" s="30">
        <v>45984</v>
      </c>
      <c r="P303" s="3">
        <v>4</v>
      </c>
      <c r="Q303" s="3">
        <v>2</v>
      </c>
      <c r="R303" s="3">
        <v>7</v>
      </c>
      <c r="S303" s="3">
        <v>2</v>
      </c>
      <c r="T30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03" t="str">
        <f>IF(Table1[[#This Row],[Customer Rating]]&gt;=9,"Promoter",IF(Table1[[#This Row],[Customer Rating]]&gt;=7,"Passive","Detractor"))</f>
        <v>Detractor</v>
      </c>
    </row>
    <row r="304" spans="1:21" ht="14.25" customHeight="1" x14ac:dyDescent="0.3">
      <c r="A304" s="3" t="s">
        <v>339</v>
      </c>
      <c r="B304" s="3" t="s">
        <v>26</v>
      </c>
      <c r="C304" s="3" t="s">
        <v>30</v>
      </c>
      <c r="D304" s="14">
        <v>45952</v>
      </c>
      <c r="E304" s="11">
        <f>1</f>
        <v>1</v>
      </c>
      <c r="F304" s="14">
        <v>45953</v>
      </c>
      <c r="G304" s="11">
        <f>IF(Table1[[#This Row],[Pre-Booking Date]]&lt;&gt;"",1,0)</f>
        <v>1</v>
      </c>
      <c r="H304" s="4">
        <v>45954</v>
      </c>
      <c r="I304" s="11">
        <f>IF(Table1[[#This Row],[Booking Date]]&lt;&gt;"",1,0)</f>
        <v>1</v>
      </c>
      <c r="J304" s="30">
        <v>45961</v>
      </c>
      <c r="K304" s="11">
        <f>IF(Table1[[#This Row],[Delivery Date]]&lt;&gt;"",1,0)</f>
        <v>1</v>
      </c>
      <c r="L304" s="3" t="s">
        <v>2</v>
      </c>
      <c r="M304" s="3">
        <f>IF(Table1[[#This Row],[Cancellation Status]]&lt;&gt;"Yes",1,0)</f>
        <v>1</v>
      </c>
      <c r="O304" s="30">
        <v>45981</v>
      </c>
      <c r="P304" s="3">
        <v>1</v>
      </c>
      <c r="Q304" s="3">
        <v>1</v>
      </c>
      <c r="R304" s="3">
        <v>7</v>
      </c>
      <c r="S304" s="3">
        <v>9</v>
      </c>
      <c r="T30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04" t="str">
        <f>IF(Table1[[#This Row],[Customer Rating]]&gt;=9,"Promoter",IF(Table1[[#This Row],[Customer Rating]]&gt;=7,"Passive","Detractor"))</f>
        <v>Promoter</v>
      </c>
    </row>
    <row r="305" spans="1:21" ht="14.25" customHeight="1" x14ac:dyDescent="0.3">
      <c r="A305" s="3" t="s">
        <v>340</v>
      </c>
      <c r="B305" s="3" t="s">
        <v>29</v>
      </c>
      <c r="C305" s="3" t="s">
        <v>27</v>
      </c>
      <c r="D305" s="14">
        <v>45952</v>
      </c>
      <c r="E305" s="11">
        <f>1</f>
        <v>1</v>
      </c>
      <c r="F305" s="14">
        <v>45957</v>
      </c>
      <c r="G305" s="11">
        <f>IF(Table1[[#This Row],[Pre-Booking Date]]&lt;&gt;"",1,0)</f>
        <v>1</v>
      </c>
      <c r="H305" s="4">
        <v>45958</v>
      </c>
      <c r="I305" s="11">
        <f>IF(Table1[[#This Row],[Booking Date]]&lt;&gt;"",1,0)</f>
        <v>1</v>
      </c>
      <c r="J305" s="30">
        <v>45961</v>
      </c>
      <c r="K305" s="11">
        <f>IF(Table1[[#This Row],[Delivery Date]]&lt;&gt;"",1,0)</f>
        <v>1</v>
      </c>
      <c r="L305" s="3" t="s">
        <v>2</v>
      </c>
      <c r="M305" s="3">
        <f>IF(Table1[[#This Row],[Cancellation Status]]&lt;&gt;"Yes",1,0)</f>
        <v>1</v>
      </c>
      <c r="O305" s="30">
        <v>45989</v>
      </c>
      <c r="P305" s="3">
        <v>5</v>
      </c>
      <c r="Q305" s="3">
        <v>1</v>
      </c>
      <c r="R305" s="3">
        <v>3</v>
      </c>
      <c r="S305" s="3">
        <v>3</v>
      </c>
      <c r="T30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05" t="str">
        <f>IF(Table1[[#This Row],[Customer Rating]]&gt;=9,"Promoter",IF(Table1[[#This Row],[Customer Rating]]&gt;=7,"Passive","Detractor"))</f>
        <v>Detractor</v>
      </c>
    </row>
    <row r="306" spans="1:21" ht="14.25" customHeight="1" x14ac:dyDescent="0.3">
      <c r="A306" s="3" t="s">
        <v>341</v>
      </c>
      <c r="B306" s="3" t="s">
        <v>29</v>
      </c>
      <c r="C306" s="3" t="s">
        <v>27</v>
      </c>
      <c r="D306" s="14">
        <v>45952</v>
      </c>
      <c r="E306" s="11">
        <f>1</f>
        <v>1</v>
      </c>
      <c r="F306" s="14">
        <v>45957</v>
      </c>
      <c r="G306" s="11">
        <f>IF(Table1[[#This Row],[Pre-Booking Date]]&lt;&gt;"",1,0)</f>
        <v>1</v>
      </c>
      <c r="H306" s="4">
        <v>45962</v>
      </c>
      <c r="I306" s="11">
        <f>IF(Table1[[#This Row],[Booking Date]]&lt;&gt;"",1,0)</f>
        <v>1</v>
      </c>
      <c r="J306" s="30">
        <v>45969</v>
      </c>
      <c r="K306" s="11">
        <f>IF(Table1[[#This Row],[Delivery Date]]&lt;&gt;"",1,0)</f>
        <v>1</v>
      </c>
      <c r="L306" s="3" t="s">
        <v>2</v>
      </c>
      <c r="M306" s="3">
        <f>IF(Table1[[#This Row],[Cancellation Status]]&lt;&gt;"Yes",1,0)</f>
        <v>1</v>
      </c>
      <c r="O306" s="30">
        <v>45986</v>
      </c>
      <c r="P306" s="3">
        <v>5</v>
      </c>
      <c r="Q306" s="3">
        <v>5</v>
      </c>
      <c r="R306" s="3">
        <v>7</v>
      </c>
      <c r="S306" s="3">
        <v>8</v>
      </c>
      <c r="T30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06" t="str">
        <f>IF(Table1[[#This Row],[Customer Rating]]&gt;=9,"Promoter",IF(Table1[[#This Row],[Customer Rating]]&gt;=7,"Passive","Detractor"))</f>
        <v>Passive</v>
      </c>
    </row>
    <row r="307" spans="1:21" ht="14.25" customHeight="1" x14ac:dyDescent="0.3">
      <c r="A307" s="3" t="s">
        <v>342</v>
      </c>
      <c r="B307" s="3" t="s">
        <v>39</v>
      </c>
      <c r="C307" s="3" t="s">
        <v>33</v>
      </c>
      <c r="D307" s="14">
        <v>45952</v>
      </c>
      <c r="E307" s="11">
        <f>1</f>
        <v>1</v>
      </c>
      <c r="G307" s="12">
        <f>IF(Table1[[#This Row],[Pre-Booking Date]]&lt;&gt;"",1,0)</f>
        <v>0</v>
      </c>
      <c r="I307" s="12">
        <f>IF(Table1[[#This Row],[Booking Date]]&lt;&gt;"",1,0)</f>
        <v>0</v>
      </c>
      <c r="K307" s="12">
        <f>IF(Table1[[#This Row],[Delivery Date]]&lt;&gt;"",1,0)</f>
        <v>0</v>
      </c>
      <c r="L307" s="3" t="s">
        <v>3</v>
      </c>
      <c r="M307" s="3">
        <f>IF(Table1[[#This Row],[Cancellation Status]]&lt;&gt;"Yes",1,0)</f>
        <v>0</v>
      </c>
      <c r="N307" s="3" t="s">
        <v>34</v>
      </c>
      <c r="T30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07" t="str">
        <f>IF(Table1[[#This Row],[Customer Rating]]&gt;=9,"Promoter",IF(Table1[[#This Row],[Customer Rating]]&gt;=7,"Passive","Detractor"))</f>
        <v>Detractor</v>
      </c>
    </row>
    <row r="308" spans="1:21" ht="14.25" customHeight="1" x14ac:dyDescent="0.3">
      <c r="A308" s="3" t="s">
        <v>343</v>
      </c>
      <c r="B308" s="3" t="s">
        <v>39</v>
      </c>
      <c r="C308" s="3" t="s">
        <v>27</v>
      </c>
      <c r="D308" s="14">
        <v>45952</v>
      </c>
      <c r="E308" s="11">
        <f>1</f>
        <v>1</v>
      </c>
      <c r="F308" s="14">
        <v>45956</v>
      </c>
      <c r="G308" s="11">
        <f>IF(Table1[[#This Row],[Pre-Booking Date]]&lt;&gt;"",1,0)</f>
        <v>1</v>
      </c>
      <c r="H308" s="4">
        <v>45957</v>
      </c>
      <c r="I308" s="11">
        <f>IF(Table1[[#This Row],[Booking Date]]&lt;&gt;"",1,0)</f>
        <v>1</v>
      </c>
      <c r="J308" s="30">
        <v>45961</v>
      </c>
      <c r="K308" s="11">
        <f>IF(Table1[[#This Row],[Delivery Date]]&lt;&gt;"",1,0)</f>
        <v>1</v>
      </c>
      <c r="L308" s="3" t="s">
        <v>2</v>
      </c>
      <c r="M308" s="3">
        <f>IF(Table1[[#This Row],[Cancellation Status]]&lt;&gt;"Yes",1,0)</f>
        <v>1</v>
      </c>
      <c r="O308" s="30">
        <v>45984</v>
      </c>
      <c r="P308" s="3">
        <v>4</v>
      </c>
      <c r="Q308" s="3">
        <v>1</v>
      </c>
      <c r="R308" s="3">
        <v>4</v>
      </c>
      <c r="S308" s="3">
        <v>9</v>
      </c>
      <c r="T30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08" t="str">
        <f>IF(Table1[[#This Row],[Customer Rating]]&gt;=9,"Promoter",IF(Table1[[#This Row],[Customer Rating]]&gt;=7,"Passive","Detractor"))</f>
        <v>Promoter</v>
      </c>
    </row>
    <row r="309" spans="1:21" ht="14.25" customHeight="1" x14ac:dyDescent="0.3">
      <c r="A309" s="3" t="s">
        <v>344</v>
      </c>
      <c r="B309" s="3" t="s">
        <v>39</v>
      </c>
      <c r="C309" s="3" t="s">
        <v>33</v>
      </c>
      <c r="D309" s="14">
        <v>45952</v>
      </c>
      <c r="E309" s="11">
        <f>1</f>
        <v>1</v>
      </c>
      <c r="G309" s="12">
        <f>IF(Table1[[#This Row],[Pre-Booking Date]]&lt;&gt;"",1,0)</f>
        <v>0</v>
      </c>
      <c r="I309" s="12">
        <f>IF(Table1[[#This Row],[Booking Date]]&lt;&gt;"",1,0)</f>
        <v>0</v>
      </c>
      <c r="K309" s="12">
        <f>IF(Table1[[#This Row],[Delivery Date]]&lt;&gt;"",1,0)</f>
        <v>0</v>
      </c>
      <c r="L309" s="3" t="s">
        <v>3</v>
      </c>
      <c r="M309" s="3">
        <f>IF(Table1[[#This Row],[Cancellation Status]]&lt;&gt;"Yes",1,0)</f>
        <v>0</v>
      </c>
      <c r="N309" s="3" t="s">
        <v>34</v>
      </c>
      <c r="T30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09" t="str">
        <f>IF(Table1[[#This Row],[Customer Rating]]&gt;=9,"Promoter",IF(Table1[[#This Row],[Customer Rating]]&gt;=7,"Passive","Detractor"))</f>
        <v>Detractor</v>
      </c>
    </row>
    <row r="310" spans="1:21" ht="14.25" customHeight="1" x14ac:dyDescent="0.3">
      <c r="A310" s="3" t="s">
        <v>345</v>
      </c>
      <c r="B310" s="3" t="s">
        <v>39</v>
      </c>
      <c r="C310" s="3" t="s">
        <v>27</v>
      </c>
      <c r="D310" s="14">
        <v>45952</v>
      </c>
      <c r="E310" s="11">
        <f>1</f>
        <v>1</v>
      </c>
      <c r="F310" s="14">
        <v>45955</v>
      </c>
      <c r="G310" s="11">
        <f>IF(Table1[[#This Row],[Pre-Booking Date]]&lt;&gt;"",1,0)</f>
        <v>1</v>
      </c>
      <c r="H310" s="4">
        <v>45960</v>
      </c>
      <c r="I310" s="11">
        <f>IF(Table1[[#This Row],[Booking Date]]&lt;&gt;"",1,0)</f>
        <v>1</v>
      </c>
      <c r="J310" s="30">
        <v>45963</v>
      </c>
      <c r="K310" s="11">
        <f>IF(Table1[[#This Row],[Delivery Date]]&lt;&gt;"",1,0)</f>
        <v>1</v>
      </c>
      <c r="L310" s="3" t="s">
        <v>2</v>
      </c>
      <c r="M310" s="3">
        <f>IF(Table1[[#This Row],[Cancellation Status]]&lt;&gt;"Yes",1,0)</f>
        <v>1</v>
      </c>
      <c r="O310" s="30">
        <v>45976</v>
      </c>
      <c r="P310" s="3">
        <v>3</v>
      </c>
      <c r="Q310" s="3">
        <v>5</v>
      </c>
      <c r="R310" s="3">
        <v>3</v>
      </c>
      <c r="S310" s="3">
        <v>5</v>
      </c>
      <c r="T31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10" t="str">
        <f>IF(Table1[[#This Row],[Customer Rating]]&gt;=9,"Promoter",IF(Table1[[#This Row],[Customer Rating]]&gt;=7,"Passive","Detractor"))</f>
        <v>Detractor</v>
      </c>
    </row>
    <row r="311" spans="1:21" ht="14.25" customHeight="1" x14ac:dyDescent="0.3">
      <c r="A311" s="3" t="s">
        <v>346</v>
      </c>
      <c r="B311" s="3" t="s">
        <v>29</v>
      </c>
      <c r="C311" s="3" t="s">
        <v>30</v>
      </c>
      <c r="D311" s="14">
        <v>45952</v>
      </c>
      <c r="E311" s="11">
        <f>1</f>
        <v>1</v>
      </c>
      <c r="F311" s="14">
        <v>45956</v>
      </c>
      <c r="G311" s="11">
        <f>IF(Table1[[#This Row],[Pre-Booking Date]]&lt;&gt;"",1,0)</f>
        <v>1</v>
      </c>
      <c r="H311" s="4">
        <v>45957</v>
      </c>
      <c r="I311" s="11">
        <f>IF(Table1[[#This Row],[Booking Date]]&lt;&gt;"",1,0)</f>
        <v>1</v>
      </c>
      <c r="J311" s="30">
        <v>45961</v>
      </c>
      <c r="K311" s="11">
        <f>IF(Table1[[#This Row],[Delivery Date]]&lt;&gt;"",1,0)</f>
        <v>1</v>
      </c>
      <c r="L311" s="3" t="s">
        <v>2</v>
      </c>
      <c r="M311" s="3">
        <f>IF(Table1[[#This Row],[Cancellation Status]]&lt;&gt;"Yes",1,0)</f>
        <v>1</v>
      </c>
      <c r="O311" s="30">
        <v>45983</v>
      </c>
      <c r="P311" s="3">
        <v>4</v>
      </c>
      <c r="Q311" s="3">
        <v>1</v>
      </c>
      <c r="R311" s="3">
        <v>4</v>
      </c>
      <c r="S311" s="3">
        <v>2</v>
      </c>
      <c r="T31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11" t="str">
        <f>IF(Table1[[#This Row],[Customer Rating]]&gt;=9,"Promoter",IF(Table1[[#This Row],[Customer Rating]]&gt;=7,"Passive","Detractor"))</f>
        <v>Detractor</v>
      </c>
    </row>
    <row r="312" spans="1:21" ht="14.25" customHeight="1" x14ac:dyDescent="0.3">
      <c r="A312" s="3" t="s">
        <v>347</v>
      </c>
      <c r="B312" s="3" t="s">
        <v>29</v>
      </c>
      <c r="C312" s="3" t="s">
        <v>27</v>
      </c>
      <c r="D312" s="14">
        <v>45952</v>
      </c>
      <c r="E312" s="11">
        <f>1</f>
        <v>1</v>
      </c>
      <c r="F312" s="14">
        <v>45957</v>
      </c>
      <c r="G312" s="11">
        <f>IF(Table1[[#This Row],[Pre-Booking Date]]&lt;&gt;"",1,0)</f>
        <v>1</v>
      </c>
      <c r="H312" s="4">
        <v>45959</v>
      </c>
      <c r="I312" s="11">
        <f>IF(Table1[[#This Row],[Booking Date]]&lt;&gt;"",1,0)</f>
        <v>1</v>
      </c>
      <c r="J312" s="30">
        <v>45961</v>
      </c>
      <c r="K312" s="11">
        <f>IF(Table1[[#This Row],[Delivery Date]]&lt;&gt;"",1,0)</f>
        <v>1</v>
      </c>
      <c r="L312" s="3" t="s">
        <v>3</v>
      </c>
      <c r="M312" s="3">
        <f>IF(Table1[[#This Row],[Cancellation Status]]&lt;&gt;"Yes",1,0)</f>
        <v>0</v>
      </c>
      <c r="N312" s="3" t="s">
        <v>34</v>
      </c>
      <c r="P312" s="3">
        <v>5</v>
      </c>
      <c r="Q312" s="3">
        <v>2</v>
      </c>
      <c r="R312" s="3">
        <v>2</v>
      </c>
      <c r="T31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12" t="str">
        <f>IF(Table1[[#This Row],[Customer Rating]]&gt;=9,"Promoter",IF(Table1[[#This Row],[Customer Rating]]&gt;=7,"Passive","Detractor"))</f>
        <v>Detractor</v>
      </c>
    </row>
    <row r="313" spans="1:21" ht="14.25" customHeight="1" x14ac:dyDescent="0.3">
      <c r="A313" s="3" t="s">
        <v>348</v>
      </c>
      <c r="B313" s="3" t="s">
        <v>26</v>
      </c>
      <c r="C313" s="3" t="s">
        <v>27</v>
      </c>
      <c r="D313" s="14">
        <v>45952</v>
      </c>
      <c r="E313" s="11">
        <f>1</f>
        <v>1</v>
      </c>
      <c r="F313" s="14">
        <v>45953</v>
      </c>
      <c r="G313" s="11">
        <f>IF(Table1[[#This Row],[Pre-Booking Date]]&lt;&gt;"",1,0)</f>
        <v>1</v>
      </c>
      <c r="H313" s="4">
        <v>45957</v>
      </c>
      <c r="I313" s="11">
        <f>IF(Table1[[#This Row],[Booking Date]]&lt;&gt;"",1,0)</f>
        <v>1</v>
      </c>
      <c r="J313" s="30">
        <v>45963</v>
      </c>
      <c r="K313" s="11">
        <f>IF(Table1[[#This Row],[Delivery Date]]&lt;&gt;"",1,0)</f>
        <v>1</v>
      </c>
      <c r="L313" s="3" t="s">
        <v>2</v>
      </c>
      <c r="M313" s="3">
        <f>IF(Table1[[#This Row],[Cancellation Status]]&lt;&gt;"Yes",1,0)</f>
        <v>1</v>
      </c>
      <c r="O313" s="30">
        <v>45973</v>
      </c>
      <c r="P313" s="3">
        <v>1</v>
      </c>
      <c r="Q313" s="3">
        <v>4</v>
      </c>
      <c r="R313" s="3">
        <v>6</v>
      </c>
      <c r="S313" s="3">
        <v>7</v>
      </c>
      <c r="T31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13" t="str">
        <f>IF(Table1[[#This Row],[Customer Rating]]&gt;=9,"Promoter",IF(Table1[[#This Row],[Customer Rating]]&gt;=7,"Passive","Detractor"))</f>
        <v>Passive</v>
      </c>
    </row>
    <row r="314" spans="1:21" ht="14.25" customHeight="1" x14ac:dyDescent="0.3">
      <c r="A314" s="3" t="s">
        <v>349</v>
      </c>
      <c r="B314" s="3" t="s">
        <v>39</v>
      </c>
      <c r="C314" s="3" t="s">
        <v>33</v>
      </c>
      <c r="D314" s="14">
        <v>45952</v>
      </c>
      <c r="E314" s="11">
        <f>1</f>
        <v>1</v>
      </c>
      <c r="G314" s="12">
        <f>IF(Table1[[#This Row],[Pre-Booking Date]]&lt;&gt;"",1,0)</f>
        <v>0</v>
      </c>
      <c r="I314" s="12">
        <f>IF(Table1[[#This Row],[Booking Date]]&lt;&gt;"",1,0)</f>
        <v>0</v>
      </c>
      <c r="K314" s="12">
        <f>IF(Table1[[#This Row],[Delivery Date]]&lt;&gt;"",1,0)</f>
        <v>0</v>
      </c>
      <c r="L314" s="3" t="s">
        <v>3</v>
      </c>
      <c r="M314" s="3">
        <f>IF(Table1[[#This Row],[Cancellation Status]]&lt;&gt;"Yes",1,0)</f>
        <v>0</v>
      </c>
      <c r="N314" s="3" t="s">
        <v>55</v>
      </c>
      <c r="T31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14" t="str">
        <f>IF(Table1[[#This Row],[Customer Rating]]&gt;=9,"Promoter",IF(Table1[[#This Row],[Customer Rating]]&gt;=7,"Passive","Detractor"))</f>
        <v>Detractor</v>
      </c>
    </row>
    <row r="315" spans="1:21" ht="14.25" customHeight="1" x14ac:dyDescent="0.3">
      <c r="A315" s="3" t="s">
        <v>350</v>
      </c>
      <c r="B315" s="3" t="s">
        <v>26</v>
      </c>
      <c r="C315" s="3" t="s">
        <v>33</v>
      </c>
      <c r="D315" s="14">
        <v>45952</v>
      </c>
      <c r="E315" s="11">
        <f>1</f>
        <v>1</v>
      </c>
      <c r="G315" s="12">
        <f>IF(Table1[[#This Row],[Pre-Booking Date]]&lt;&gt;"",1,0)</f>
        <v>0</v>
      </c>
      <c r="I315" s="12">
        <f>IF(Table1[[#This Row],[Booking Date]]&lt;&gt;"",1,0)</f>
        <v>0</v>
      </c>
      <c r="K315" s="12">
        <f>IF(Table1[[#This Row],[Delivery Date]]&lt;&gt;"",1,0)</f>
        <v>0</v>
      </c>
      <c r="L315" s="3" t="s">
        <v>3</v>
      </c>
      <c r="M315" s="3">
        <f>IF(Table1[[#This Row],[Cancellation Status]]&lt;&gt;"Yes",1,0)</f>
        <v>0</v>
      </c>
      <c r="N315" s="3" t="s">
        <v>34</v>
      </c>
      <c r="T31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15" t="str">
        <f>IF(Table1[[#This Row],[Customer Rating]]&gt;=9,"Promoter",IF(Table1[[#This Row],[Customer Rating]]&gt;=7,"Passive","Detractor"))</f>
        <v>Detractor</v>
      </c>
    </row>
    <row r="316" spans="1:21" ht="14.25" customHeight="1" x14ac:dyDescent="0.3">
      <c r="A316" s="3" t="s">
        <v>351</v>
      </c>
      <c r="B316" s="3" t="s">
        <v>39</v>
      </c>
      <c r="C316" s="3" t="s">
        <v>30</v>
      </c>
      <c r="D316" s="14">
        <v>45952</v>
      </c>
      <c r="E316" s="11">
        <f>1</f>
        <v>1</v>
      </c>
      <c r="F316" s="14">
        <v>45954</v>
      </c>
      <c r="G316" s="11">
        <f>IF(Table1[[#This Row],[Pre-Booking Date]]&lt;&gt;"",1,0)</f>
        <v>1</v>
      </c>
      <c r="H316" s="4">
        <v>45959</v>
      </c>
      <c r="I316" s="11">
        <f>IF(Table1[[#This Row],[Booking Date]]&lt;&gt;"",1,0)</f>
        <v>1</v>
      </c>
      <c r="J316" s="30">
        <v>45964</v>
      </c>
      <c r="K316" s="11">
        <f>IF(Table1[[#This Row],[Delivery Date]]&lt;&gt;"",1,0)</f>
        <v>1</v>
      </c>
      <c r="L316" s="3" t="s">
        <v>2</v>
      </c>
      <c r="M316" s="3">
        <f>IF(Table1[[#This Row],[Cancellation Status]]&lt;&gt;"Yes",1,0)</f>
        <v>1</v>
      </c>
      <c r="O316" s="30">
        <v>45990</v>
      </c>
      <c r="P316" s="3">
        <v>2</v>
      </c>
      <c r="Q316" s="3">
        <v>5</v>
      </c>
      <c r="R316" s="3">
        <v>5</v>
      </c>
      <c r="S316" s="3">
        <v>10</v>
      </c>
      <c r="T31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16" t="str">
        <f>IF(Table1[[#This Row],[Customer Rating]]&gt;=9,"Promoter",IF(Table1[[#This Row],[Customer Rating]]&gt;=7,"Passive","Detractor"))</f>
        <v>Promoter</v>
      </c>
    </row>
    <row r="317" spans="1:21" ht="14.25" customHeight="1" x14ac:dyDescent="0.3">
      <c r="A317" s="3" t="s">
        <v>352</v>
      </c>
      <c r="B317" s="3" t="s">
        <v>29</v>
      </c>
      <c r="C317" s="3" t="s">
        <v>33</v>
      </c>
      <c r="D317" s="14">
        <v>45952</v>
      </c>
      <c r="E317" s="11">
        <f>1</f>
        <v>1</v>
      </c>
      <c r="G317" s="12">
        <f>IF(Table1[[#This Row],[Pre-Booking Date]]&lt;&gt;"",1,0)</f>
        <v>0</v>
      </c>
      <c r="I317" s="12">
        <f>IF(Table1[[#This Row],[Booking Date]]&lt;&gt;"",1,0)</f>
        <v>0</v>
      </c>
      <c r="K317" s="12">
        <f>IF(Table1[[#This Row],[Delivery Date]]&lt;&gt;"",1,0)</f>
        <v>0</v>
      </c>
      <c r="L317" s="3" t="s">
        <v>3</v>
      </c>
      <c r="M317" s="3">
        <f>IF(Table1[[#This Row],[Cancellation Status]]&lt;&gt;"Yes",1,0)</f>
        <v>0</v>
      </c>
      <c r="N317" s="3" t="s">
        <v>52</v>
      </c>
      <c r="T31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17" t="str">
        <f>IF(Table1[[#This Row],[Customer Rating]]&gt;=9,"Promoter",IF(Table1[[#This Row],[Customer Rating]]&gt;=7,"Passive","Detractor"))</f>
        <v>Detractor</v>
      </c>
    </row>
    <row r="318" spans="1:21" ht="14.25" customHeight="1" x14ac:dyDescent="0.3">
      <c r="A318" s="3" t="s">
        <v>353</v>
      </c>
      <c r="B318" s="3" t="s">
        <v>29</v>
      </c>
      <c r="C318" s="3" t="s">
        <v>27</v>
      </c>
      <c r="D318" s="14">
        <v>45952</v>
      </c>
      <c r="E318" s="11">
        <f>1</f>
        <v>1</v>
      </c>
      <c r="F318" s="14">
        <v>45956</v>
      </c>
      <c r="G318" s="11">
        <f>IF(Table1[[#This Row],[Pre-Booking Date]]&lt;&gt;"",1,0)</f>
        <v>1</v>
      </c>
      <c r="H318" s="4">
        <v>45960</v>
      </c>
      <c r="I318" s="11">
        <f>IF(Table1[[#This Row],[Booking Date]]&lt;&gt;"",1,0)</f>
        <v>1</v>
      </c>
      <c r="J318" s="30">
        <v>45962</v>
      </c>
      <c r="K318" s="11">
        <f>IF(Table1[[#This Row],[Delivery Date]]&lt;&gt;"",1,0)</f>
        <v>1</v>
      </c>
      <c r="L318" s="3" t="s">
        <v>2</v>
      </c>
      <c r="M318" s="3">
        <f>IF(Table1[[#This Row],[Cancellation Status]]&lt;&gt;"Yes",1,0)</f>
        <v>1</v>
      </c>
      <c r="O318" s="30">
        <v>45972</v>
      </c>
      <c r="P318" s="3">
        <v>4</v>
      </c>
      <c r="Q318" s="3">
        <v>4</v>
      </c>
      <c r="R318" s="3">
        <v>2</v>
      </c>
      <c r="S318" s="3">
        <v>3</v>
      </c>
      <c r="T31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18" t="str">
        <f>IF(Table1[[#This Row],[Customer Rating]]&gt;=9,"Promoter",IF(Table1[[#This Row],[Customer Rating]]&gt;=7,"Passive","Detractor"))</f>
        <v>Detractor</v>
      </c>
    </row>
    <row r="319" spans="1:21" ht="14.25" customHeight="1" x14ac:dyDescent="0.3">
      <c r="A319" s="3" t="s">
        <v>354</v>
      </c>
      <c r="B319" s="3" t="s">
        <v>32</v>
      </c>
      <c r="C319" s="3" t="s">
        <v>27</v>
      </c>
      <c r="D319" s="14">
        <v>45952</v>
      </c>
      <c r="E319" s="11">
        <f>1</f>
        <v>1</v>
      </c>
      <c r="F319" s="14">
        <v>45956</v>
      </c>
      <c r="G319" s="11">
        <f>IF(Table1[[#This Row],[Pre-Booking Date]]&lt;&gt;"",1,0)</f>
        <v>1</v>
      </c>
      <c r="H319" s="4">
        <v>45960</v>
      </c>
      <c r="I319" s="11">
        <f>IF(Table1[[#This Row],[Booking Date]]&lt;&gt;"",1,0)</f>
        <v>1</v>
      </c>
      <c r="J319" s="30">
        <v>45966</v>
      </c>
      <c r="K319" s="11">
        <f>IF(Table1[[#This Row],[Delivery Date]]&lt;&gt;"",1,0)</f>
        <v>1</v>
      </c>
      <c r="L319" s="3" t="s">
        <v>2</v>
      </c>
      <c r="M319" s="3">
        <f>IF(Table1[[#This Row],[Cancellation Status]]&lt;&gt;"Yes",1,0)</f>
        <v>1</v>
      </c>
      <c r="O319" s="30">
        <v>45979</v>
      </c>
      <c r="P319" s="3">
        <v>4</v>
      </c>
      <c r="Q319" s="3">
        <v>4</v>
      </c>
      <c r="R319" s="3">
        <v>6</v>
      </c>
      <c r="S319" s="3">
        <v>9</v>
      </c>
      <c r="T31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19" t="str">
        <f>IF(Table1[[#This Row],[Customer Rating]]&gt;=9,"Promoter",IF(Table1[[#This Row],[Customer Rating]]&gt;=7,"Passive","Detractor"))</f>
        <v>Promoter</v>
      </c>
    </row>
    <row r="320" spans="1:21" ht="14.25" customHeight="1" x14ac:dyDescent="0.3">
      <c r="A320" s="3" t="s">
        <v>355</v>
      </c>
      <c r="B320" s="3" t="s">
        <v>39</v>
      </c>
      <c r="C320" s="3" t="s">
        <v>27</v>
      </c>
      <c r="D320" s="14">
        <v>45952</v>
      </c>
      <c r="E320" s="11">
        <f>1</f>
        <v>1</v>
      </c>
      <c r="F320" s="14">
        <v>45955</v>
      </c>
      <c r="G320" s="11">
        <f>IF(Table1[[#This Row],[Pre-Booking Date]]&lt;&gt;"",1,0)</f>
        <v>1</v>
      </c>
      <c r="H320" s="4">
        <v>45959</v>
      </c>
      <c r="I320" s="11">
        <f>IF(Table1[[#This Row],[Booking Date]]&lt;&gt;"",1,0)</f>
        <v>1</v>
      </c>
      <c r="J320" s="30">
        <v>45964</v>
      </c>
      <c r="K320" s="11">
        <f>IF(Table1[[#This Row],[Delivery Date]]&lt;&gt;"",1,0)</f>
        <v>1</v>
      </c>
      <c r="L320" s="3" t="s">
        <v>2</v>
      </c>
      <c r="M320" s="3">
        <f>IF(Table1[[#This Row],[Cancellation Status]]&lt;&gt;"Yes",1,0)</f>
        <v>1</v>
      </c>
      <c r="O320" s="30">
        <v>45990</v>
      </c>
      <c r="P320" s="3">
        <v>3</v>
      </c>
      <c r="Q320" s="3">
        <v>4</v>
      </c>
      <c r="R320" s="3">
        <v>5</v>
      </c>
      <c r="S320" s="3">
        <v>9</v>
      </c>
      <c r="T32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20" t="str">
        <f>IF(Table1[[#This Row],[Customer Rating]]&gt;=9,"Promoter",IF(Table1[[#This Row],[Customer Rating]]&gt;=7,"Passive","Detractor"))</f>
        <v>Promoter</v>
      </c>
    </row>
    <row r="321" spans="1:21" ht="14.25" customHeight="1" x14ac:dyDescent="0.3">
      <c r="A321" s="3" t="s">
        <v>356</v>
      </c>
      <c r="B321" s="3" t="s">
        <v>39</v>
      </c>
      <c r="C321" s="3" t="s">
        <v>30</v>
      </c>
      <c r="D321" s="14">
        <v>45952</v>
      </c>
      <c r="E321" s="11">
        <f>1</f>
        <v>1</v>
      </c>
      <c r="F321" s="14">
        <v>45955</v>
      </c>
      <c r="G321" s="11">
        <f>IF(Table1[[#This Row],[Pre-Booking Date]]&lt;&gt;"",1,0)</f>
        <v>1</v>
      </c>
      <c r="H321" s="4">
        <v>45959</v>
      </c>
      <c r="I321" s="11">
        <f>IF(Table1[[#This Row],[Booking Date]]&lt;&gt;"",1,0)</f>
        <v>1</v>
      </c>
      <c r="J321" s="30">
        <v>45963</v>
      </c>
      <c r="K321" s="11">
        <f>IF(Table1[[#This Row],[Delivery Date]]&lt;&gt;"",1,0)</f>
        <v>1</v>
      </c>
      <c r="L321" s="3" t="s">
        <v>2</v>
      </c>
      <c r="M321" s="3">
        <f>IF(Table1[[#This Row],[Cancellation Status]]&lt;&gt;"Yes",1,0)</f>
        <v>1</v>
      </c>
      <c r="O321" s="30">
        <v>45978</v>
      </c>
      <c r="P321" s="3">
        <v>3</v>
      </c>
      <c r="Q321" s="3">
        <v>4</v>
      </c>
      <c r="R321" s="3">
        <v>4</v>
      </c>
      <c r="S321" s="3">
        <v>4</v>
      </c>
      <c r="T32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21" t="str">
        <f>IF(Table1[[#This Row],[Customer Rating]]&gt;=9,"Promoter",IF(Table1[[#This Row],[Customer Rating]]&gt;=7,"Passive","Detractor"))</f>
        <v>Detractor</v>
      </c>
    </row>
    <row r="322" spans="1:21" ht="14.25" customHeight="1" x14ac:dyDescent="0.3">
      <c r="A322" s="3" t="s">
        <v>357</v>
      </c>
      <c r="B322" s="3" t="s">
        <v>29</v>
      </c>
      <c r="C322" s="3" t="s">
        <v>30</v>
      </c>
      <c r="D322" s="14">
        <v>45952</v>
      </c>
      <c r="E322" s="11">
        <f>1</f>
        <v>1</v>
      </c>
      <c r="F322" s="14">
        <v>45953</v>
      </c>
      <c r="G322" s="11">
        <f>IF(Table1[[#This Row],[Pre-Booking Date]]&lt;&gt;"",1,0)</f>
        <v>1</v>
      </c>
      <c r="H322" s="4">
        <v>45956</v>
      </c>
      <c r="I322" s="11">
        <f>IF(Table1[[#This Row],[Booking Date]]&lt;&gt;"",1,0)</f>
        <v>1</v>
      </c>
      <c r="J322" s="30">
        <v>45961</v>
      </c>
      <c r="K322" s="11">
        <f>IF(Table1[[#This Row],[Delivery Date]]&lt;&gt;"",1,0)</f>
        <v>1</v>
      </c>
      <c r="L322" s="3" t="s">
        <v>2</v>
      </c>
      <c r="M322" s="3">
        <f>IF(Table1[[#This Row],[Cancellation Status]]&lt;&gt;"Yes",1,0)</f>
        <v>1</v>
      </c>
      <c r="O322" s="30">
        <v>45974</v>
      </c>
      <c r="P322" s="3">
        <v>1</v>
      </c>
      <c r="Q322" s="3">
        <v>3</v>
      </c>
      <c r="R322" s="3">
        <v>5</v>
      </c>
      <c r="S322" s="3">
        <v>1</v>
      </c>
      <c r="T32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22" t="str">
        <f>IF(Table1[[#This Row],[Customer Rating]]&gt;=9,"Promoter",IF(Table1[[#This Row],[Customer Rating]]&gt;=7,"Passive","Detractor"))</f>
        <v>Detractor</v>
      </c>
    </row>
    <row r="323" spans="1:21" ht="14.25" customHeight="1" x14ac:dyDescent="0.3">
      <c r="A323" s="3" t="s">
        <v>358</v>
      </c>
      <c r="B323" s="3" t="s">
        <v>29</v>
      </c>
      <c r="C323" s="3" t="s">
        <v>27</v>
      </c>
      <c r="D323" s="14">
        <v>45951</v>
      </c>
      <c r="E323" s="11">
        <f>1</f>
        <v>1</v>
      </c>
      <c r="F323" s="14">
        <v>45955</v>
      </c>
      <c r="G323" s="11">
        <f>IF(Table1[[#This Row],[Pre-Booking Date]]&lt;&gt;"",1,0)</f>
        <v>1</v>
      </c>
      <c r="H323" s="4">
        <v>45959</v>
      </c>
      <c r="I323" s="11">
        <f>IF(Table1[[#This Row],[Booking Date]]&lt;&gt;"",1,0)</f>
        <v>1</v>
      </c>
      <c r="J323" s="30">
        <v>45964</v>
      </c>
      <c r="K323" s="11">
        <f>IF(Table1[[#This Row],[Delivery Date]]&lt;&gt;"",1,0)</f>
        <v>1</v>
      </c>
      <c r="L323" s="3" t="s">
        <v>2</v>
      </c>
      <c r="M323" s="3">
        <f>IF(Table1[[#This Row],[Cancellation Status]]&lt;&gt;"Yes",1,0)</f>
        <v>1</v>
      </c>
      <c r="O323" s="30">
        <v>45989</v>
      </c>
      <c r="P323" s="3">
        <v>4</v>
      </c>
      <c r="Q323" s="3">
        <v>4</v>
      </c>
      <c r="R323" s="3">
        <v>5</v>
      </c>
      <c r="S323" s="3">
        <v>2</v>
      </c>
      <c r="T32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23" t="str">
        <f>IF(Table1[[#This Row],[Customer Rating]]&gt;=9,"Promoter",IF(Table1[[#This Row],[Customer Rating]]&gt;=7,"Passive","Detractor"))</f>
        <v>Detractor</v>
      </c>
    </row>
    <row r="324" spans="1:21" ht="14.25" customHeight="1" x14ac:dyDescent="0.3">
      <c r="A324" s="3" t="s">
        <v>359</v>
      </c>
      <c r="B324" s="3" t="s">
        <v>32</v>
      </c>
      <c r="C324" s="3" t="s">
        <v>27</v>
      </c>
      <c r="D324" s="14">
        <v>45951</v>
      </c>
      <c r="E324" s="11">
        <f>1</f>
        <v>1</v>
      </c>
      <c r="F324" s="14">
        <v>45954</v>
      </c>
      <c r="G324" s="11">
        <f>IF(Table1[[#This Row],[Pre-Booking Date]]&lt;&gt;"",1,0)</f>
        <v>1</v>
      </c>
      <c r="H324" s="4">
        <v>45958</v>
      </c>
      <c r="I324" s="11">
        <f>IF(Table1[[#This Row],[Booking Date]]&lt;&gt;"",1,0)</f>
        <v>1</v>
      </c>
      <c r="J324" s="30">
        <v>45960</v>
      </c>
      <c r="K324" s="11">
        <f>IF(Table1[[#This Row],[Delivery Date]]&lt;&gt;"",1,0)</f>
        <v>1</v>
      </c>
      <c r="L324" s="3" t="s">
        <v>2</v>
      </c>
      <c r="M324" s="3">
        <f>IF(Table1[[#This Row],[Cancellation Status]]&lt;&gt;"Yes",1,0)</f>
        <v>1</v>
      </c>
      <c r="O324" s="30">
        <v>45971</v>
      </c>
      <c r="P324" s="3">
        <v>3</v>
      </c>
      <c r="Q324" s="3">
        <v>4</v>
      </c>
      <c r="R324" s="3">
        <v>2</v>
      </c>
      <c r="S324" s="3">
        <v>0</v>
      </c>
      <c r="T32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24" t="str">
        <f>IF(Table1[[#This Row],[Customer Rating]]&gt;=9,"Promoter",IF(Table1[[#This Row],[Customer Rating]]&gt;=7,"Passive","Detractor"))</f>
        <v>Detractor</v>
      </c>
    </row>
    <row r="325" spans="1:21" ht="14.25" customHeight="1" x14ac:dyDescent="0.3">
      <c r="A325" s="3" t="s">
        <v>360</v>
      </c>
      <c r="B325" s="3" t="s">
        <v>32</v>
      </c>
      <c r="C325" s="3" t="s">
        <v>27</v>
      </c>
      <c r="D325" s="14">
        <v>45951</v>
      </c>
      <c r="E325" s="11">
        <f>1</f>
        <v>1</v>
      </c>
      <c r="F325" s="14">
        <v>45954</v>
      </c>
      <c r="G325" s="11">
        <f>IF(Table1[[#This Row],[Pre-Booking Date]]&lt;&gt;"",1,0)</f>
        <v>1</v>
      </c>
      <c r="H325" s="4">
        <v>45959</v>
      </c>
      <c r="I325" s="11">
        <f>IF(Table1[[#This Row],[Booking Date]]&lt;&gt;"",1,0)</f>
        <v>1</v>
      </c>
      <c r="J325" s="30">
        <v>45962</v>
      </c>
      <c r="K325" s="11">
        <f>IF(Table1[[#This Row],[Delivery Date]]&lt;&gt;"",1,0)</f>
        <v>1</v>
      </c>
      <c r="L325" s="3" t="s">
        <v>2</v>
      </c>
      <c r="M325" s="3">
        <f>IF(Table1[[#This Row],[Cancellation Status]]&lt;&gt;"Yes",1,0)</f>
        <v>1</v>
      </c>
      <c r="O325" s="30">
        <v>45978</v>
      </c>
      <c r="P325" s="3">
        <v>3</v>
      </c>
      <c r="Q325" s="3">
        <v>5</v>
      </c>
      <c r="R325" s="3">
        <v>3</v>
      </c>
      <c r="S325" s="3">
        <v>8</v>
      </c>
      <c r="T32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25" t="str">
        <f>IF(Table1[[#This Row],[Customer Rating]]&gt;=9,"Promoter",IF(Table1[[#This Row],[Customer Rating]]&gt;=7,"Passive","Detractor"))</f>
        <v>Passive</v>
      </c>
    </row>
    <row r="326" spans="1:21" ht="14.25" customHeight="1" x14ac:dyDescent="0.3">
      <c r="A326" s="3" t="s">
        <v>361</v>
      </c>
      <c r="B326" s="3" t="s">
        <v>32</v>
      </c>
      <c r="C326" s="3" t="s">
        <v>33</v>
      </c>
      <c r="D326" s="14">
        <v>45951</v>
      </c>
      <c r="E326" s="11">
        <f>1</f>
        <v>1</v>
      </c>
      <c r="G326" s="12">
        <f>IF(Table1[[#This Row],[Pre-Booking Date]]&lt;&gt;"",1,0)</f>
        <v>0</v>
      </c>
      <c r="I326" s="12">
        <f>IF(Table1[[#This Row],[Booking Date]]&lt;&gt;"",1,0)</f>
        <v>0</v>
      </c>
      <c r="K326" s="12">
        <f>IF(Table1[[#This Row],[Delivery Date]]&lt;&gt;"",1,0)</f>
        <v>0</v>
      </c>
      <c r="L326" s="3" t="s">
        <v>3</v>
      </c>
      <c r="M326" s="3">
        <f>IF(Table1[[#This Row],[Cancellation Status]]&lt;&gt;"Yes",1,0)</f>
        <v>0</v>
      </c>
      <c r="N326" s="3" t="s">
        <v>55</v>
      </c>
      <c r="T32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26" t="str">
        <f>IF(Table1[[#This Row],[Customer Rating]]&gt;=9,"Promoter",IF(Table1[[#This Row],[Customer Rating]]&gt;=7,"Passive","Detractor"))</f>
        <v>Detractor</v>
      </c>
    </row>
    <row r="327" spans="1:21" ht="14.25" customHeight="1" x14ac:dyDescent="0.3">
      <c r="A327" s="3" t="s">
        <v>362</v>
      </c>
      <c r="B327" s="3" t="s">
        <v>26</v>
      </c>
      <c r="C327" s="3" t="s">
        <v>33</v>
      </c>
      <c r="D327" s="14">
        <v>45951</v>
      </c>
      <c r="E327" s="11">
        <f>1</f>
        <v>1</v>
      </c>
      <c r="G327" s="12">
        <f>IF(Table1[[#This Row],[Pre-Booking Date]]&lt;&gt;"",1,0)</f>
        <v>0</v>
      </c>
      <c r="I327" s="12">
        <f>IF(Table1[[#This Row],[Booking Date]]&lt;&gt;"",1,0)</f>
        <v>0</v>
      </c>
      <c r="K327" s="12">
        <f>IF(Table1[[#This Row],[Delivery Date]]&lt;&gt;"",1,0)</f>
        <v>0</v>
      </c>
      <c r="L327" s="3" t="s">
        <v>3</v>
      </c>
      <c r="M327" s="3">
        <f>IF(Table1[[#This Row],[Cancellation Status]]&lt;&gt;"Yes",1,0)</f>
        <v>0</v>
      </c>
      <c r="N327" s="3" t="s">
        <v>55</v>
      </c>
      <c r="T32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27" t="str">
        <f>IF(Table1[[#This Row],[Customer Rating]]&gt;=9,"Promoter",IF(Table1[[#This Row],[Customer Rating]]&gt;=7,"Passive","Detractor"))</f>
        <v>Detractor</v>
      </c>
    </row>
    <row r="328" spans="1:21" ht="14.25" customHeight="1" x14ac:dyDescent="0.3">
      <c r="A328" s="3" t="s">
        <v>363</v>
      </c>
      <c r="B328" s="3" t="s">
        <v>32</v>
      </c>
      <c r="C328" s="3" t="s">
        <v>27</v>
      </c>
      <c r="D328" s="14">
        <v>45951</v>
      </c>
      <c r="E328" s="11">
        <f>1</f>
        <v>1</v>
      </c>
      <c r="F328" s="14">
        <v>45952</v>
      </c>
      <c r="G328" s="11">
        <f>IF(Table1[[#This Row],[Pre-Booking Date]]&lt;&gt;"",1,0)</f>
        <v>1</v>
      </c>
      <c r="H328" s="4">
        <v>45957</v>
      </c>
      <c r="I328" s="11">
        <f>IF(Table1[[#This Row],[Booking Date]]&lt;&gt;"",1,0)</f>
        <v>1</v>
      </c>
      <c r="J328" s="30">
        <v>45961</v>
      </c>
      <c r="K328" s="11">
        <f>IF(Table1[[#This Row],[Delivery Date]]&lt;&gt;"",1,0)</f>
        <v>1</v>
      </c>
      <c r="L328" s="3" t="s">
        <v>2</v>
      </c>
      <c r="M328" s="3">
        <f>IF(Table1[[#This Row],[Cancellation Status]]&lt;&gt;"Yes",1,0)</f>
        <v>1</v>
      </c>
      <c r="O328" s="30">
        <v>45991</v>
      </c>
      <c r="P328" s="3">
        <v>1</v>
      </c>
      <c r="Q328" s="3">
        <v>5</v>
      </c>
      <c r="R328" s="3">
        <v>4</v>
      </c>
      <c r="S328" s="3">
        <v>2</v>
      </c>
      <c r="T32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28" t="str">
        <f>IF(Table1[[#This Row],[Customer Rating]]&gt;=9,"Promoter",IF(Table1[[#This Row],[Customer Rating]]&gt;=7,"Passive","Detractor"))</f>
        <v>Detractor</v>
      </c>
    </row>
    <row r="329" spans="1:21" ht="14.25" customHeight="1" x14ac:dyDescent="0.3">
      <c r="A329" s="3" t="s">
        <v>364</v>
      </c>
      <c r="B329" s="3" t="s">
        <v>39</v>
      </c>
      <c r="C329" s="3" t="s">
        <v>27</v>
      </c>
      <c r="D329" s="14">
        <v>45951</v>
      </c>
      <c r="E329" s="11">
        <f>1</f>
        <v>1</v>
      </c>
      <c r="F329" s="14">
        <v>45953</v>
      </c>
      <c r="G329" s="11">
        <f>IF(Table1[[#This Row],[Pre-Booking Date]]&lt;&gt;"",1,0)</f>
        <v>1</v>
      </c>
      <c r="H329" s="4">
        <v>45958</v>
      </c>
      <c r="I329" s="11">
        <f>IF(Table1[[#This Row],[Booking Date]]&lt;&gt;"",1,0)</f>
        <v>1</v>
      </c>
      <c r="J329" s="30">
        <v>45964</v>
      </c>
      <c r="K329" s="11">
        <f>IF(Table1[[#This Row],[Delivery Date]]&lt;&gt;"",1,0)</f>
        <v>1</v>
      </c>
      <c r="L329" s="3" t="s">
        <v>3</v>
      </c>
      <c r="M329" s="3">
        <f>IF(Table1[[#This Row],[Cancellation Status]]&lt;&gt;"Yes",1,0)</f>
        <v>0</v>
      </c>
      <c r="N329" s="3" t="s">
        <v>42</v>
      </c>
      <c r="P329" s="3">
        <v>2</v>
      </c>
      <c r="Q329" s="3">
        <v>5</v>
      </c>
      <c r="R329" s="3">
        <v>6</v>
      </c>
      <c r="T32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29" t="str">
        <f>IF(Table1[[#This Row],[Customer Rating]]&gt;=9,"Promoter",IF(Table1[[#This Row],[Customer Rating]]&gt;=7,"Passive","Detractor"))</f>
        <v>Detractor</v>
      </c>
    </row>
    <row r="330" spans="1:21" ht="14.25" customHeight="1" x14ac:dyDescent="0.3">
      <c r="A330" s="3" t="s">
        <v>365</v>
      </c>
      <c r="B330" s="3" t="s">
        <v>32</v>
      </c>
      <c r="C330" s="3" t="s">
        <v>27</v>
      </c>
      <c r="D330" s="14">
        <v>45951</v>
      </c>
      <c r="E330" s="11">
        <f>1</f>
        <v>1</v>
      </c>
      <c r="F330" s="14">
        <v>45954</v>
      </c>
      <c r="G330" s="11">
        <f>IF(Table1[[#This Row],[Pre-Booking Date]]&lt;&gt;"",1,0)</f>
        <v>1</v>
      </c>
      <c r="H330" s="4">
        <v>45958</v>
      </c>
      <c r="I330" s="11">
        <f>IF(Table1[[#This Row],[Booking Date]]&lt;&gt;"",1,0)</f>
        <v>1</v>
      </c>
      <c r="J330" s="30">
        <v>45964</v>
      </c>
      <c r="K330" s="11">
        <f>IF(Table1[[#This Row],[Delivery Date]]&lt;&gt;"",1,0)</f>
        <v>1</v>
      </c>
      <c r="L330" s="3" t="s">
        <v>2</v>
      </c>
      <c r="M330" s="3">
        <f>IF(Table1[[#This Row],[Cancellation Status]]&lt;&gt;"Yes",1,0)</f>
        <v>1</v>
      </c>
      <c r="O330" s="30">
        <v>45982</v>
      </c>
      <c r="P330" s="3">
        <v>3</v>
      </c>
      <c r="Q330" s="3">
        <v>4</v>
      </c>
      <c r="R330" s="3">
        <v>6</v>
      </c>
      <c r="S330" s="3">
        <v>4</v>
      </c>
      <c r="T33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30" t="str">
        <f>IF(Table1[[#This Row],[Customer Rating]]&gt;=9,"Promoter",IF(Table1[[#This Row],[Customer Rating]]&gt;=7,"Passive","Detractor"))</f>
        <v>Detractor</v>
      </c>
    </row>
    <row r="331" spans="1:21" ht="14.25" customHeight="1" x14ac:dyDescent="0.3">
      <c r="A331" s="3" t="s">
        <v>366</v>
      </c>
      <c r="B331" s="3" t="s">
        <v>32</v>
      </c>
      <c r="C331" s="3" t="s">
        <v>27</v>
      </c>
      <c r="D331" s="14">
        <v>45951</v>
      </c>
      <c r="E331" s="11">
        <f>1</f>
        <v>1</v>
      </c>
      <c r="F331" s="14">
        <v>45954</v>
      </c>
      <c r="G331" s="11">
        <f>IF(Table1[[#This Row],[Pre-Booking Date]]&lt;&gt;"",1,0)</f>
        <v>1</v>
      </c>
      <c r="H331" s="4">
        <v>45956</v>
      </c>
      <c r="I331" s="11">
        <f>IF(Table1[[#This Row],[Booking Date]]&lt;&gt;"",1,0)</f>
        <v>1</v>
      </c>
      <c r="J331" s="30">
        <v>45958</v>
      </c>
      <c r="K331" s="11">
        <f>IF(Table1[[#This Row],[Delivery Date]]&lt;&gt;"",1,0)</f>
        <v>1</v>
      </c>
      <c r="L331" s="3" t="s">
        <v>2</v>
      </c>
      <c r="M331" s="3">
        <f>IF(Table1[[#This Row],[Cancellation Status]]&lt;&gt;"Yes",1,0)</f>
        <v>1</v>
      </c>
      <c r="O331" s="30">
        <v>45980</v>
      </c>
      <c r="P331" s="3">
        <v>3</v>
      </c>
      <c r="Q331" s="3">
        <v>2</v>
      </c>
      <c r="R331" s="3">
        <v>2</v>
      </c>
      <c r="S331" s="3">
        <v>1</v>
      </c>
      <c r="T33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31" t="str">
        <f>IF(Table1[[#This Row],[Customer Rating]]&gt;=9,"Promoter",IF(Table1[[#This Row],[Customer Rating]]&gt;=7,"Passive","Detractor"))</f>
        <v>Detractor</v>
      </c>
    </row>
    <row r="332" spans="1:21" ht="14.25" customHeight="1" x14ac:dyDescent="0.3">
      <c r="A332" s="3" t="s">
        <v>367</v>
      </c>
      <c r="B332" s="3" t="s">
        <v>39</v>
      </c>
      <c r="C332" s="3" t="s">
        <v>30</v>
      </c>
      <c r="D332" s="14">
        <v>45951</v>
      </c>
      <c r="E332" s="11">
        <f>1</f>
        <v>1</v>
      </c>
      <c r="F332" s="14">
        <v>45955</v>
      </c>
      <c r="G332" s="11">
        <f>IF(Table1[[#This Row],[Pre-Booking Date]]&lt;&gt;"",1,0)</f>
        <v>1</v>
      </c>
      <c r="H332" s="4">
        <v>45958</v>
      </c>
      <c r="I332" s="11">
        <f>IF(Table1[[#This Row],[Booking Date]]&lt;&gt;"",1,0)</f>
        <v>1</v>
      </c>
      <c r="J332" s="30">
        <v>45963</v>
      </c>
      <c r="K332" s="11">
        <f>IF(Table1[[#This Row],[Delivery Date]]&lt;&gt;"",1,0)</f>
        <v>1</v>
      </c>
      <c r="L332" s="3" t="s">
        <v>2</v>
      </c>
      <c r="M332" s="3">
        <f>IF(Table1[[#This Row],[Cancellation Status]]&lt;&gt;"Yes",1,0)</f>
        <v>1</v>
      </c>
      <c r="O332" s="30">
        <v>45978</v>
      </c>
      <c r="P332" s="3">
        <v>4</v>
      </c>
      <c r="Q332" s="3">
        <v>3</v>
      </c>
      <c r="R332" s="3">
        <v>5</v>
      </c>
      <c r="S332" s="3">
        <v>1</v>
      </c>
      <c r="T33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32" t="str">
        <f>IF(Table1[[#This Row],[Customer Rating]]&gt;=9,"Promoter",IF(Table1[[#This Row],[Customer Rating]]&gt;=7,"Passive","Detractor"))</f>
        <v>Detractor</v>
      </c>
    </row>
    <row r="333" spans="1:21" ht="14.25" customHeight="1" x14ac:dyDescent="0.3">
      <c r="A333" s="3" t="s">
        <v>368</v>
      </c>
      <c r="B333" s="3" t="s">
        <v>39</v>
      </c>
      <c r="C333" s="3" t="s">
        <v>33</v>
      </c>
      <c r="D333" s="14">
        <v>45951</v>
      </c>
      <c r="E333" s="11">
        <f>1</f>
        <v>1</v>
      </c>
      <c r="G333" s="12">
        <f>IF(Table1[[#This Row],[Pre-Booking Date]]&lt;&gt;"",1,0)</f>
        <v>0</v>
      </c>
      <c r="I333" s="12">
        <f>IF(Table1[[#This Row],[Booking Date]]&lt;&gt;"",1,0)</f>
        <v>0</v>
      </c>
      <c r="K333" s="12">
        <f>IF(Table1[[#This Row],[Delivery Date]]&lt;&gt;"",1,0)</f>
        <v>0</v>
      </c>
      <c r="L333" s="3" t="s">
        <v>3</v>
      </c>
      <c r="M333" s="3">
        <f>IF(Table1[[#This Row],[Cancellation Status]]&lt;&gt;"Yes",1,0)</f>
        <v>0</v>
      </c>
      <c r="N333" s="3" t="s">
        <v>37</v>
      </c>
      <c r="T33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33" t="str">
        <f>IF(Table1[[#This Row],[Customer Rating]]&gt;=9,"Promoter",IF(Table1[[#This Row],[Customer Rating]]&gt;=7,"Passive","Detractor"))</f>
        <v>Detractor</v>
      </c>
    </row>
    <row r="334" spans="1:21" ht="14.25" customHeight="1" x14ac:dyDescent="0.3">
      <c r="A334" s="3" t="s">
        <v>369</v>
      </c>
      <c r="B334" s="3" t="s">
        <v>26</v>
      </c>
      <c r="C334" s="3" t="s">
        <v>27</v>
      </c>
      <c r="D334" s="14">
        <v>45951</v>
      </c>
      <c r="E334" s="11">
        <f>1</f>
        <v>1</v>
      </c>
      <c r="F334" s="14">
        <v>45956</v>
      </c>
      <c r="G334" s="11">
        <f>IF(Table1[[#This Row],[Pre-Booking Date]]&lt;&gt;"",1,0)</f>
        <v>1</v>
      </c>
      <c r="H334" s="4">
        <v>45959</v>
      </c>
      <c r="I334" s="11">
        <f>IF(Table1[[#This Row],[Booking Date]]&lt;&gt;"",1,0)</f>
        <v>1</v>
      </c>
      <c r="J334" s="30">
        <v>45962</v>
      </c>
      <c r="K334" s="11">
        <f>IF(Table1[[#This Row],[Delivery Date]]&lt;&gt;"",1,0)</f>
        <v>1</v>
      </c>
      <c r="L334" s="3" t="s">
        <v>2</v>
      </c>
      <c r="M334" s="3">
        <f>IF(Table1[[#This Row],[Cancellation Status]]&lt;&gt;"Yes",1,0)</f>
        <v>1</v>
      </c>
      <c r="O334" s="30">
        <v>45985</v>
      </c>
      <c r="P334" s="3">
        <v>5</v>
      </c>
      <c r="Q334" s="3">
        <v>3</v>
      </c>
      <c r="R334" s="3">
        <v>3</v>
      </c>
      <c r="S334" s="3">
        <v>5</v>
      </c>
      <c r="T33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34" t="str">
        <f>IF(Table1[[#This Row],[Customer Rating]]&gt;=9,"Promoter",IF(Table1[[#This Row],[Customer Rating]]&gt;=7,"Passive","Detractor"))</f>
        <v>Detractor</v>
      </c>
    </row>
    <row r="335" spans="1:21" ht="14.25" customHeight="1" x14ac:dyDescent="0.3">
      <c r="A335" s="3" t="s">
        <v>370</v>
      </c>
      <c r="B335" s="3" t="s">
        <v>39</v>
      </c>
      <c r="C335" s="3" t="s">
        <v>27</v>
      </c>
      <c r="D335" s="14">
        <v>45951</v>
      </c>
      <c r="E335" s="11">
        <f>1</f>
        <v>1</v>
      </c>
      <c r="F335" s="14">
        <v>45955</v>
      </c>
      <c r="G335" s="11">
        <f>IF(Table1[[#This Row],[Pre-Booking Date]]&lt;&gt;"",1,0)</f>
        <v>1</v>
      </c>
      <c r="H335" s="4">
        <v>45959</v>
      </c>
      <c r="I335" s="11">
        <f>IF(Table1[[#This Row],[Booking Date]]&lt;&gt;"",1,0)</f>
        <v>1</v>
      </c>
      <c r="J335" s="30">
        <v>45961</v>
      </c>
      <c r="K335" s="11">
        <f>IF(Table1[[#This Row],[Delivery Date]]&lt;&gt;"",1,0)</f>
        <v>1</v>
      </c>
      <c r="L335" s="3" t="s">
        <v>2</v>
      </c>
      <c r="M335" s="3">
        <f>IF(Table1[[#This Row],[Cancellation Status]]&lt;&gt;"Yes",1,0)</f>
        <v>1</v>
      </c>
      <c r="O335" s="30">
        <v>45990</v>
      </c>
      <c r="P335" s="3">
        <v>4</v>
      </c>
      <c r="Q335" s="3">
        <v>4</v>
      </c>
      <c r="R335" s="3">
        <v>2</v>
      </c>
      <c r="S335" s="3">
        <v>7</v>
      </c>
      <c r="T33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35" t="str">
        <f>IF(Table1[[#This Row],[Customer Rating]]&gt;=9,"Promoter",IF(Table1[[#This Row],[Customer Rating]]&gt;=7,"Passive","Detractor"))</f>
        <v>Passive</v>
      </c>
    </row>
    <row r="336" spans="1:21" ht="14.25" customHeight="1" x14ac:dyDescent="0.3">
      <c r="A336" s="3" t="s">
        <v>371</v>
      </c>
      <c r="B336" s="3" t="s">
        <v>32</v>
      </c>
      <c r="C336" s="3" t="s">
        <v>30</v>
      </c>
      <c r="D336" s="14">
        <v>45951</v>
      </c>
      <c r="E336" s="11">
        <f>1</f>
        <v>1</v>
      </c>
      <c r="F336" s="14">
        <v>45954</v>
      </c>
      <c r="G336" s="11">
        <f>IF(Table1[[#This Row],[Pre-Booking Date]]&lt;&gt;"",1,0)</f>
        <v>1</v>
      </c>
      <c r="H336" s="4">
        <v>45959</v>
      </c>
      <c r="I336" s="11">
        <f>IF(Table1[[#This Row],[Booking Date]]&lt;&gt;"",1,0)</f>
        <v>1</v>
      </c>
      <c r="J336" s="30">
        <v>45964</v>
      </c>
      <c r="K336" s="11">
        <f>IF(Table1[[#This Row],[Delivery Date]]&lt;&gt;"",1,0)</f>
        <v>1</v>
      </c>
      <c r="L336" s="3" t="s">
        <v>2</v>
      </c>
      <c r="M336" s="3">
        <f>IF(Table1[[#This Row],[Cancellation Status]]&lt;&gt;"Yes",1,0)</f>
        <v>1</v>
      </c>
      <c r="O336" s="30">
        <v>45982</v>
      </c>
      <c r="P336" s="3">
        <v>3</v>
      </c>
      <c r="Q336" s="3">
        <v>5</v>
      </c>
      <c r="R336" s="3">
        <v>5</v>
      </c>
      <c r="S336" s="3">
        <v>7</v>
      </c>
      <c r="T33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36" t="str">
        <f>IF(Table1[[#This Row],[Customer Rating]]&gt;=9,"Promoter",IF(Table1[[#This Row],[Customer Rating]]&gt;=7,"Passive","Detractor"))</f>
        <v>Passive</v>
      </c>
    </row>
    <row r="337" spans="1:21" ht="14.25" customHeight="1" x14ac:dyDescent="0.3">
      <c r="A337" s="3" t="s">
        <v>372</v>
      </c>
      <c r="B337" s="3" t="s">
        <v>26</v>
      </c>
      <c r="C337" s="3" t="s">
        <v>27</v>
      </c>
      <c r="D337" s="14">
        <v>45951</v>
      </c>
      <c r="E337" s="11">
        <f>1</f>
        <v>1</v>
      </c>
      <c r="F337" s="14">
        <v>45953</v>
      </c>
      <c r="G337" s="11">
        <f>IF(Table1[[#This Row],[Pre-Booking Date]]&lt;&gt;"",1,0)</f>
        <v>1</v>
      </c>
      <c r="H337" s="4">
        <v>45957</v>
      </c>
      <c r="I337" s="11">
        <f>IF(Table1[[#This Row],[Booking Date]]&lt;&gt;"",1,0)</f>
        <v>1</v>
      </c>
      <c r="J337" s="30">
        <v>45961</v>
      </c>
      <c r="K337" s="11">
        <f>IF(Table1[[#This Row],[Delivery Date]]&lt;&gt;"",1,0)</f>
        <v>1</v>
      </c>
      <c r="L337" s="3" t="s">
        <v>2</v>
      </c>
      <c r="M337" s="3">
        <f>IF(Table1[[#This Row],[Cancellation Status]]&lt;&gt;"Yes",1,0)</f>
        <v>1</v>
      </c>
      <c r="O337" s="30">
        <v>45988</v>
      </c>
      <c r="P337" s="3">
        <v>2</v>
      </c>
      <c r="Q337" s="3">
        <v>4</v>
      </c>
      <c r="R337" s="3">
        <v>4</v>
      </c>
      <c r="S337" s="3">
        <v>10</v>
      </c>
      <c r="T33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37" t="str">
        <f>IF(Table1[[#This Row],[Customer Rating]]&gt;=9,"Promoter",IF(Table1[[#This Row],[Customer Rating]]&gt;=7,"Passive","Detractor"))</f>
        <v>Promoter</v>
      </c>
    </row>
    <row r="338" spans="1:21" ht="14.25" customHeight="1" x14ac:dyDescent="0.3">
      <c r="A338" s="3" t="s">
        <v>373</v>
      </c>
      <c r="B338" s="3" t="s">
        <v>26</v>
      </c>
      <c r="C338" s="3" t="s">
        <v>33</v>
      </c>
      <c r="D338" s="14">
        <v>45951</v>
      </c>
      <c r="E338" s="11">
        <f>1</f>
        <v>1</v>
      </c>
      <c r="G338" s="12">
        <f>IF(Table1[[#This Row],[Pre-Booking Date]]&lt;&gt;"",1,0)</f>
        <v>0</v>
      </c>
      <c r="I338" s="12">
        <f>IF(Table1[[#This Row],[Booking Date]]&lt;&gt;"",1,0)</f>
        <v>0</v>
      </c>
      <c r="K338" s="12">
        <f>IF(Table1[[#This Row],[Delivery Date]]&lt;&gt;"",1,0)</f>
        <v>0</v>
      </c>
      <c r="L338" s="3" t="s">
        <v>3</v>
      </c>
      <c r="M338" s="3">
        <f>IF(Table1[[#This Row],[Cancellation Status]]&lt;&gt;"Yes",1,0)</f>
        <v>0</v>
      </c>
      <c r="N338" s="3" t="s">
        <v>55</v>
      </c>
      <c r="T33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38" t="str">
        <f>IF(Table1[[#This Row],[Customer Rating]]&gt;=9,"Promoter",IF(Table1[[#This Row],[Customer Rating]]&gt;=7,"Passive","Detractor"))</f>
        <v>Detractor</v>
      </c>
    </row>
    <row r="339" spans="1:21" ht="14.25" customHeight="1" x14ac:dyDescent="0.3">
      <c r="A339" s="3" t="s">
        <v>374</v>
      </c>
      <c r="B339" s="3" t="s">
        <v>29</v>
      </c>
      <c r="C339" s="3" t="s">
        <v>27</v>
      </c>
      <c r="D339" s="14">
        <v>45951</v>
      </c>
      <c r="E339" s="11">
        <f>1</f>
        <v>1</v>
      </c>
      <c r="F339" s="14">
        <v>45953</v>
      </c>
      <c r="G339" s="11">
        <f>IF(Table1[[#This Row],[Pre-Booking Date]]&lt;&gt;"",1,0)</f>
        <v>1</v>
      </c>
      <c r="H339" s="4">
        <v>45957</v>
      </c>
      <c r="I339" s="11">
        <f>IF(Table1[[#This Row],[Booking Date]]&lt;&gt;"",1,0)</f>
        <v>1</v>
      </c>
      <c r="J339" s="30">
        <v>45960</v>
      </c>
      <c r="K339" s="11">
        <f>IF(Table1[[#This Row],[Delivery Date]]&lt;&gt;"",1,0)</f>
        <v>1</v>
      </c>
      <c r="L339" s="3" t="s">
        <v>3</v>
      </c>
      <c r="M339" s="3">
        <f>IF(Table1[[#This Row],[Cancellation Status]]&lt;&gt;"Yes",1,0)</f>
        <v>0</v>
      </c>
      <c r="N339" s="3" t="s">
        <v>34</v>
      </c>
      <c r="P339" s="3">
        <v>2</v>
      </c>
      <c r="Q339" s="3">
        <v>4</v>
      </c>
      <c r="R339" s="3">
        <v>3</v>
      </c>
      <c r="T33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39" t="str">
        <f>IF(Table1[[#This Row],[Customer Rating]]&gt;=9,"Promoter",IF(Table1[[#This Row],[Customer Rating]]&gt;=7,"Passive","Detractor"))</f>
        <v>Detractor</v>
      </c>
    </row>
    <row r="340" spans="1:21" ht="14.25" customHeight="1" x14ac:dyDescent="0.3">
      <c r="A340" s="3" t="s">
        <v>375</v>
      </c>
      <c r="B340" s="3" t="s">
        <v>39</v>
      </c>
      <c r="C340" s="3" t="s">
        <v>27</v>
      </c>
      <c r="D340" s="14">
        <v>45951</v>
      </c>
      <c r="E340" s="11">
        <f>1</f>
        <v>1</v>
      </c>
      <c r="F340" s="14">
        <v>45952</v>
      </c>
      <c r="G340" s="11">
        <f>IF(Table1[[#This Row],[Pre-Booking Date]]&lt;&gt;"",1,0)</f>
        <v>1</v>
      </c>
      <c r="H340" s="4">
        <v>45954</v>
      </c>
      <c r="I340" s="11">
        <f>IF(Table1[[#This Row],[Booking Date]]&lt;&gt;"",1,0)</f>
        <v>1</v>
      </c>
      <c r="J340" s="30">
        <v>45958</v>
      </c>
      <c r="K340" s="11">
        <f>IF(Table1[[#This Row],[Delivery Date]]&lt;&gt;"",1,0)</f>
        <v>1</v>
      </c>
      <c r="L340" s="3" t="s">
        <v>2</v>
      </c>
      <c r="M340" s="3">
        <f>IF(Table1[[#This Row],[Cancellation Status]]&lt;&gt;"Yes",1,0)</f>
        <v>1</v>
      </c>
      <c r="O340" s="30">
        <v>45988</v>
      </c>
      <c r="P340" s="3">
        <v>1</v>
      </c>
      <c r="Q340" s="3">
        <v>2</v>
      </c>
      <c r="R340" s="3">
        <v>4</v>
      </c>
      <c r="S340" s="3">
        <v>3</v>
      </c>
      <c r="T34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40" t="str">
        <f>IF(Table1[[#This Row],[Customer Rating]]&gt;=9,"Promoter",IF(Table1[[#This Row],[Customer Rating]]&gt;=7,"Passive","Detractor"))</f>
        <v>Detractor</v>
      </c>
    </row>
    <row r="341" spans="1:21" ht="14.25" customHeight="1" x14ac:dyDescent="0.3">
      <c r="A341" s="3" t="s">
        <v>376</v>
      </c>
      <c r="B341" s="3" t="s">
        <v>32</v>
      </c>
      <c r="C341" s="3" t="s">
        <v>33</v>
      </c>
      <c r="D341" s="14">
        <v>45951</v>
      </c>
      <c r="E341" s="11">
        <f>1</f>
        <v>1</v>
      </c>
      <c r="G341" s="12">
        <f>IF(Table1[[#This Row],[Pre-Booking Date]]&lt;&gt;"",1,0)</f>
        <v>0</v>
      </c>
      <c r="I341" s="12">
        <f>IF(Table1[[#This Row],[Booking Date]]&lt;&gt;"",1,0)</f>
        <v>0</v>
      </c>
      <c r="K341" s="12">
        <f>IF(Table1[[#This Row],[Delivery Date]]&lt;&gt;"",1,0)</f>
        <v>0</v>
      </c>
      <c r="L341" s="3" t="s">
        <v>3</v>
      </c>
      <c r="M341" s="3">
        <f>IF(Table1[[#This Row],[Cancellation Status]]&lt;&gt;"Yes",1,0)</f>
        <v>0</v>
      </c>
      <c r="N341" s="3" t="s">
        <v>34</v>
      </c>
      <c r="T34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41" t="str">
        <f>IF(Table1[[#This Row],[Customer Rating]]&gt;=9,"Promoter",IF(Table1[[#This Row],[Customer Rating]]&gt;=7,"Passive","Detractor"))</f>
        <v>Detractor</v>
      </c>
    </row>
    <row r="342" spans="1:21" ht="14.25" customHeight="1" x14ac:dyDescent="0.3">
      <c r="A342" s="3" t="s">
        <v>377</v>
      </c>
      <c r="B342" s="3" t="s">
        <v>29</v>
      </c>
      <c r="C342" s="3" t="s">
        <v>27</v>
      </c>
      <c r="D342" s="14">
        <v>45951</v>
      </c>
      <c r="E342" s="11">
        <f>1</f>
        <v>1</v>
      </c>
      <c r="F342" s="14">
        <v>45954</v>
      </c>
      <c r="G342" s="11">
        <f>IF(Table1[[#This Row],[Pre-Booking Date]]&lt;&gt;"",1,0)</f>
        <v>1</v>
      </c>
      <c r="H342" s="4">
        <v>45959</v>
      </c>
      <c r="I342" s="11">
        <f>IF(Table1[[#This Row],[Booking Date]]&lt;&gt;"",1,0)</f>
        <v>1</v>
      </c>
      <c r="J342" s="30">
        <v>45966</v>
      </c>
      <c r="K342" s="11">
        <f>IF(Table1[[#This Row],[Delivery Date]]&lt;&gt;"",1,0)</f>
        <v>1</v>
      </c>
      <c r="L342" s="3" t="s">
        <v>2</v>
      </c>
      <c r="M342" s="3">
        <f>IF(Table1[[#This Row],[Cancellation Status]]&lt;&gt;"Yes",1,0)</f>
        <v>1</v>
      </c>
      <c r="O342" s="30">
        <v>45987</v>
      </c>
      <c r="P342" s="3">
        <v>3</v>
      </c>
      <c r="Q342" s="3">
        <v>5</v>
      </c>
      <c r="R342" s="3">
        <v>7</v>
      </c>
      <c r="S342" s="3">
        <v>2</v>
      </c>
      <c r="T34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42" t="str">
        <f>IF(Table1[[#This Row],[Customer Rating]]&gt;=9,"Promoter",IF(Table1[[#This Row],[Customer Rating]]&gt;=7,"Passive","Detractor"))</f>
        <v>Detractor</v>
      </c>
    </row>
    <row r="343" spans="1:21" ht="14.25" customHeight="1" x14ac:dyDescent="0.3">
      <c r="A343" s="3" t="s">
        <v>378</v>
      </c>
      <c r="B343" s="3" t="s">
        <v>39</v>
      </c>
      <c r="C343" s="3" t="s">
        <v>27</v>
      </c>
      <c r="D343" s="14">
        <v>45951</v>
      </c>
      <c r="E343" s="11">
        <f>1</f>
        <v>1</v>
      </c>
      <c r="F343" s="14">
        <v>45955</v>
      </c>
      <c r="G343" s="11">
        <f>IF(Table1[[#This Row],[Pre-Booking Date]]&lt;&gt;"",1,0)</f>
        <v>1</v>
      </c>
      <c r="H343" s="4">
        <v>45960</v>
      </c>
      <c r="I343" s="11">
        <f>IF(Table1[[#This Row],[Booking Date]]&lt;&gt;"",1,0)</f>
        <v>1</v>
      </c>
      <c r="J343" s="30">
        <v>45962</v>
      </c>
      <c r="K343" s="11">
        <f>IF(Table1[[#This Row],[Delivery Date]]&lt;&gt;"",1,0)</f>
        <v>1</v>
      </c>
      <c r="L343" s="3" t="s">
        <v>2</v>
      </c>
      <c r="M343" s="3">
        <f>IF(Table1[[#This Row],[Cancellation Status]]&lt;&gt;"Yes",1,0)</f>
        <v>1</v>
      </c>
      <c r="O343" s="30">
        <v>45984</v>
      </c>
      <c r="P343" s="3">
        <v>4</v>
      </c>
      <c r="Q343" s="3">
        <v>5</v>
      </c>
      <c r="R343" s="3">
        <v>2</v>
      </c>
      <c r="S343" s="3">
        <v>8</v>
      </c>
      <c r="T34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43" t="str">
        <f>IF(Table1[[#This Row],[Customer Rating]]&gt;=9,"Promoter",IF(Table1[[#This Row],[Customer Rating]]&gt;=7,"Passive","Detractor"))</f>
        <v>Passive</v>
      </c>
    </row>
    <row r="344" spans="1:21" ht="14.25" customHeight="1" x14ac:dyDescent="0.3">
      <c r="A344" s="3" t="s">
        <v>379</v>
      </c>
      <c r="B344" s="3" t="s">
        <v>32</v>
      </c>
      <c r="C344" s="3" t="s">
        <v>30</v>
      </c>
      <c r="D344" s="14">
        <v>45951</v>
      </c>
      <c r="E344" s="11">
        <f>1</f>
        <v>1</v>
      </c>
      <c r="F344" s="14">
        <v>45952</v>
      </c>
      <c r="G344" s="11">
        <f>IF(Table1[[#This Row],[Pre-Booking Date]]&lt;&gt;"",1,0)</f>
        <v>1</v>
      </c>
      <c r="H344" s="4">
        <v>45954</v>
      </c>
      <c r="I344" s="11">
        <f>IF(Table1[[#This Row],[Booking Date]]&lt;&gt;"",1,0)</f>
        <v>1</v>
      </c>
      <c r="J344" s="30">
        <v>45956</v>
      </c>
      <c r="K344" s="11">
        <f>IF(Table1[[#This Row],[Delivery Date]]&lt;&gt;"",1,0)</f>
        <v>1</v>
      </c>
      <c r="L344" s="3" t="s">
        <v>2</v>
      </c>
      <c r="M344" s="3">
        <f>IF(Table1[[#This Row],[Cancellation Status]]&lt;&gt;"Yes",1,0)</f>
        <v>1</v>
      </c>
      <c r="O344" s="30">
        <v>45982</v>
      </c>
      <c r="P344" s="3">
        <v>1</v>
      </c>
      <c r="Q344" s="3">
        <v>2</v>
      </c>
      <c r="R344" s="3">
        <v>2</v>
      </c>
      <c r="S344" s="3">
        <v>9</v>
      </c>
      <c r="T34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44" t="str">
        <f>IF(Table1[[#This Row],[Customer Rating]]&gt;=9,"Promoter",IF(Table1[[#This Row],[Customer Rating]]&gt;=7,"Passive","Detractor"))</f>
        <v>Promoter</v>
      </c>
    </row>
    <row r="345" spans="1:21" ht="14.25" customHeight="1" x14ac:dyDescent="0.3">
      <c r="A345" s="3" t="s">
        <v>380</v>
      </c>
      <c r="B345" s="3" t="s">
        <v>32</v>
      </c>
      <c r="C345" s="3" t="s">
        <v>27</v>
      </c>
      <c r="D345" s="14">
        <v>45951</v>
      </c>
      <c r="E345" s="11">
        <f>1</f>
        <v>1</v>
      </c>
      <c r="F345" s="14">
        <v>45952</v>
      </c>
      <c r="G345" s="11">
        <f>IF(Table1[[#This Row],[Pre-Booking Date]]&lt;&gt;"",1,0)</f>
        <v>1</v>
      </c>
      <c r="H345" s="4">
        <v>45953</v>
      </c>
      <c r="I345" s="11">
        <f>IF(Table1[[#This Row],[Booking Date]]&lt;&gt;"",1,0)</f>
        <v>1</v>
      </c>
      <c r="J345" s="30">
        <v>45959</v>
      </c>
      <c r="K345" s="11">
        <f>IF(Table1[[#This Row],[Delivery Date]]&lt;&gt;"",1,0)</f>
        <v>1</v>
      </c>
      <c r="L345" s="3" t="s">
        <v>2</v>
      </c>
      <c r="M345" s="3">
        <f>IF(Table1[[#This Row],[Cancellation Status]]&lt;&gt;"Yes",1,0)</f>
        <v>1</v>
      </c>
      <c r="O345" s="30">
        <v>45971</v>
      </c>
      <c r="P345" s="3">
        <v>1</v>
      </c>
      <c r="Q345" s="3">
        <v>1</v>
      </c>
      <c r="R345" s="3">
        <v>6</v>
      </c>
      <c r="S345" s="3">
        <v>2</v>
      </c>
      <c r="T34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45" t="str">
        <f>IF(Table1[[#This Row],[Customer Rating]]&gt;=9,"Promoter",IF(Table1[[#This Row],[Customer Rating]]&gt;=7,"Passive","Detractor"))</f>
        <v>Detractor</v>
      </c>
    </row>
    <row r="346" spans="1:21" ht="14.25" customHeight="1" x14ac:dyDescent="0.3">
      <c r="A346" s="3" t="s">
        <v>381</v>
      </c>
      <c r="B346" s="3" t="s">
        <v>26</v>
      </c>
      <c r="C346" s="3" t="s">
        <v>30</v>
      </c>
      <c r="D346" s="14">
        <v>45951</v>
      </c>
      <c r="E346" s="11">
        <f>1</f>
        <v>1</v>
      </c>
      <c r="F346" s="14">
        <v>45953</v>
      </c>
      <c r="G346" s="11">
        <f>IF(Table1[[#This Row],[Pre-Booking Date]]&lt;&gt;"",1,0)</f>
        <v>1</v>
      </c>
      <c r="H346" s="4">
        <v>45954</v>
      </c>
      <c r="I346" s="11">
        <f>IF(Table1[[#This Row],[Booking Date]]&lt;&gt;"",1,0)</f>
        <v>1</v>
      </c>
      <c r="J346" s="30">
        <v>45961</v>
      </c>
      <c r="K346" s="11">
        <f>IF(Table1[[#This Row],[Delivery Date]]&lt;&gt;"",1,0)</f>
        <v>1</v>
      </c>
      <c r="L346" s="3" t="s">
        <v>2</v>
      </c>
      <c r="M346" s="3">
        <f>IF(Table1[[#This Row],[Cancellation Status]]&lt;&gt;"Yes",1,0)</f>
        <v>1</v>
      </c>
      <c r="O346" s="30">
        <v>45984</v>
      </c>
      <c r="P346" s="3">
        <v>2</v>
      </c>
      <c r="Q346" s="3">
        <v>1</v>
      </c>
      <c r="R346" s="3">
        <v>7</v>
      </c>
      <c r="S346" s="3">
        <v>8</v>
      </c>
      <c r="T34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46" t="str">
        <f>IF(Table1[[#This Row],[Customer Rating]]&gt;=9,"Promoter",IF(Table1[[#This Row],[Customer Rating]]&gt;=7,"Passive","Detractor"))</f>
        <v>Passive</v>
      </c>
    </row>
    <row r="347" spans="1:21" ht="14.25" customHeight="1" x14ac:dyDescent="0.3">
      <c r="A347" s="3" t="s">
        <v>382</v>
      </c>
      <c r="B347" s="3" t="s">
        <v>26</v>
      </c>
      <c r="C347" s="3" t="s">
        <v>30</v>
      </c>
      <c r="D347" s="14">
        <v>45951</v>
      </c>
      <c r="E347" s="11">
        <f>1</f>
        <v>1</v>
      </c>
      <c r="F347" s="14">
        <v>45953</v>
      </c>
      <c r="G347" s="11">
        <f>IF(Table1[[#This Row],[Pre-Booking Date]]&lt;&gt;"",1,0)</f>
        <v>1</v>
      </c>
      <c r="H347" s="4">
        <v>45955</v>
      </c>
      <c r="I347" s="11">
        <f>IF(Table1[[#This Row],[Booking Date]]&lt;&gt;"",1,0)</f>
        <v>1</v>
      </c>
      <c r="J347" s="30">
        <v>45960</v>
      </c>
      <c r="K347" s="11">
        <f>IF(Table1[[#This Row],[Delivery Date]]&lt;&gt;"",1,0)</f>
        <v>1</v>
      </c>
      <c r="L347" s="3" t="s">
        <v>2</v>
      </c>
      <c r="M347" s="3">
        <f>IF(Table1[[#This Row],[Cancellation Status]]&lt;&gt;"Yes",1,0)</f>
        <v>1</v>
      </c>
      <c r="O347" s="30">
        <v>45974</v>
      </c>
      <c r="P347" s="3">
        <v>2</v>
      </c>
      <c r="Q347" s="3">
        <v>2</v>
      </c>
      <c r="R347" s="3">
        <v>5</v>
      </c>
      <c r="S347" s="3">
        <v>2</v>
      </c>
      <c r="T34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47" t="str">
        <f>IF(Table1[[#This Row],[Customer Rating]]&gt;=9,"Promoter",IF(Table1[[#This Row],[Customer Rating]]&gt;=7,"Passive","Detractor"))</f>
        <v>Detractor</v>
      </c>
    </row>
    <row r="348" spans="1:21" ht="14.25" customHeight="1" x14ac:dyDescent="0.3">
      <c r="A348" s="3" t="s">
        <v>383</v>
      </c>
      <c r="B348" s="3" t="s">
        <v>32</v>
      </c>
      <c r="C348" s="3" t="s">
        <v>27</v>
      </c>
      <c r="D348" s="14">
        <v>45951</v>
      </c>
      <c r="E348" s="11">
        <f>1</f>
        <v>1</v>
      </c>
      <c r="F348" s="14">
        <v>45955</v>
      </c>
      <c r="G348" s="11">
        <f>IF(Table1[[#This Row],[Pre-Booking Date]]&lt;&gt;"",1,0)</f>
        <v>1</v>
      </c>
      <c r="H348" s="4">
        <v>45959</v>
      </c>
      <c r="I348" s="11">
        <f>IF(Table1[[#This Row],[Booking Date]]&lt;&gt;"",1,0)</f>
        <v>1</v>
      </c>
      <c r="J348" s="30">
        <v>45963</v>
      </c>
      <c r="K348" s="11">
        <f>IF(Table1[[#This Row],[Delivery Date]]&lt;&gt;"",1,0)</f>
        <v>1</v>
      </c>
      <c r="L348" s="3" t="s">
        <v>2</v>
      </c>
      <c r="M348" s="3">
        <f>IF(Table1[[#This Row],[Cancellation Status]]&lt;&gt;"Yes",1,0)</f>
        <v>1</v>
      </c>
      <c r="O348" s="30">
        <v>45979</v>
      </c>
      <c r="P348" s="3">
        <v>4</v>
      </c>
      <c r="Q348" s="3">
        <v>4</v>
      </c>
      <c r="R348" s="3">
        <v>4</v>
      </c>
      <c r="S348" s="3">
        <v>9</v>
      </c>
      <c r="T34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48" t="str">
        <f>IF(Table1[[#This Row],[Customer Rating]]&gt;=9,"Promoter",IF(Table1[[#This Row],[Customer Rating]]&gt;=7,"Passive","Detractor"))</f>
        <v>Promoter</v>
      </c>
    </row>
    <row r="349" spans="1:21" ht="14.25" customHeight="1" x14ac:dyDescent="0.3">
      <c r="A349" s="3" t="s">
        <v>384</v>
      </c>
      <c r="B349" s="3" t="s">
        <v>39</v>
      </c>
      <c r="C349" s="3" t="s">
        <v>33</v>
      </c>
      <c r="D349" s="14">
        <v>45951</v>
      </c>
      <c r="E349" s="11">
        <f>1</f>
        <v>1</v>
      </c>
      <c r="G349" s="12">
        <f>IF(Table1[[#This Row],[Pre-Booking Date]]&lt;&gt;"",1,0)</f>
        <v>0</v>
      </c>
      <c r="I349" s="12">
        <f>IF(Table1[[#This Row],[Booking Date]]&lt;&gt;"",1,0)</f>
        <v>0</v>
      </c>
      <c r="K349" s="12">
        <f>IF(Table1[[#This Row],[Delivery Date]]&lt;&gt;"",1,0)</f>
        <v>0</v>
      </c>
      <c r="L349" s="3" t="s">
        <v>3</v>
      </c>
      <c r="M349" s="3">
        <f>IF(Table1[[#This Row],[Cancellation Status]]&lt;&gt;"Yes",1,0)</f>
        <v>0</v>
      </c>
      <c r="N349" s="3" t="s">
        <v>52</v>
      </c>
      <c r="T34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49" t="str">
        <f>IF(Table1[[#This Row],[Customer Rating]]&gt;=9,"Promoter",IF(Table1[[#This Row],[Customer Rating]]&gt;=7,"Passive","Detractor"))</f>
        <v>Detractor</v>
      </c>
    </row>
    <row r="350" spans="1:21" ht="14.25" customHeight="1" x14ac:dyDescent="0.3">
      <c r="A350" s="3" t="s">
        <v>385</v>
      </c>
      <c r="B350" s="3" t="s">
        <v>26</v>
      </c>
      <c r="C350" s="3" t="s">
        <v>27</v>
      </c>
      <c r="D350" s="14">
        <v>45951</v>
      </c>
      <c r="E350" s="11">
        <f>1</f>
        <v>1</v>
      </c>
      <c r="F350" s="14">
        <v>45954</v>
      </c>
      <c r="G350" s="11">
        <f>IF(Table1[[#This Row],[Pre-Booking Date]]&lt;&gt;"",1,0)</f>
        <v>1</v>
      </c>
      <c r="H350" s="4">
        <v>45959</v>
      </c>
      <c r="I350" s="11">
        <f>IF(Table1[[#This Row],[Booking Date]]&lt;&gt;"",1,0)</f>
        <v>1</v>
      </c>
      <c r="J350" s="30">
        <v>45962</v>
      </c>
      <c r="K350" s="11">
        <f>IF(Table1[[#This Row],[Delivery Date]]&lt;&gt;"",1,0)</f>
        <v>1</v>
      </c>
      <c r="L350" s="3" t="s">
        <v>2</v>
      </c>
      <c r="M350" s="3">
        <f>IF(Table1[[#This Row],[Cancellation Status]]&lt;&gt;"Yes",1,0)</f>
        <v>1</v>
      </c>
      <c r="O350" s="30">
        <v>45983</v>
      </c>
      <c r="P350" s="3">
        <v>3</v>
      </c>
      <c r="Q350" s="3">
        <v>5</v>
      </c>
      <c r="R350" s="3">
        <v>3</v>
      </c>
      <c r="S350" s="3">
        <v>3</v>
      </c>
      <c r="T35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50" t="str">
        <f>IF(Table1[[#This Row],[Customer Rating]]&gt;=9,"Promoter",IF(Table1[[#This Row],[Customer Rating]]&gt;=7,"Passive","Detractor"))</f>
        <v>Detractor</v>
      </c>
    </row>
    <row r="351" spans="1:21" ht="14.25" customHeight="1" x14ac:dyDescent="0.3">
      <c r="A351" s="3" t="s">
        <v>386</v>
      </c>
      <c r="B351" s="3" t="s">
        <v>26</v>
      </c>
      <c r="C351" s="3" t="s">
        <v>30</v>
      </c>
      <c r="D351" s="14">
        <v>45951</v>
      </c>
      <c r="E351" s="11">
        <f>1</f>
        <v>1</v>
      </c>
      <c r="F351" s="14">
        <v>45953</v>
      </c>
      <c r="G351" s="11">
        <f>IF(Table1[[#This Row],[Pre-Booking Date]]&lt;&gt;"",1,0)</f>
        <v>1</v>
      </c>
      <c r="H351" s="4">
        <v>45956</v>
      </c>
      <c r="I351" s="11">
        <f>IF(Table1[[#This Row],[Booking Date]]&lt;&gt;"",1,0)</f>
        <v>1</v>
      </c>
      <c r="J351" s="30">
        <v>45959</v>
      </c>
      <c r="K351" s="11">
        <f>IF(Table1[[#This Row],[Delivery Date]]&lt;&gt;"",1,0)</f>
        <v>1</v>
      </c>
      <c r="L351" s="3" t="s">
        <v>2</v>
      </c>
      <c r="M351" s="3">
        <f>IF(Table1[[#This Row],[Cancellation Status]]&lt;&gt;"Yes",1,0)</f>
        <v>1</v>
      </c>
      <c r="O351" s="30">
        <v>45974</v>
      </c>
      <c r="P351" s="3">
        <v>2</v>
      </c>
      <c r="Q351" s="3">
        <v>3</v>
      </c>
      <c r="R351" s="3">
        <v>3</v>
      </c>
      <c r="S351" s="3">
        <v>3</v>
      </c>
      <c r="T35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51" t="str">
        <f>IF(Table1[[#This Row],[Customer Rating]]&gt;=9,"Promoter",IF(Table1[[#This Row],[Customer Rating]]&gt;=7,"Passive","Detractor"))</f>
        <v>Detractor</v>
      </c>
    </row>
    <row r="352" spans="1:21" ht="14.25" customHeight="1" x14ac:dyDescent="0.3">
      <c r="A352" s="3" t="s">
        <v>387</v>
      </c>
      <c r="B352" s="3" t="s">
        <v>39</v>
      </c>
      <c r="C352" s="3" t="s">
        <v>27</v>
      </c>
      <c r="D352" s="14">
        <v>45951</v>
      </c>
      <c r="E352" s="11">
        <f>1</f>
        <v>1</v>
      </c>
      <c r="F352" s="14">
        <v>45954</v>
      </c>
      <c r="G352" s="11">
        <f>IF(Table1[[#This Row],[Pre-Booking Date]]&lt;&gt;"",1,0)</f>
        <v>1</v>
      </c>
      <c r="H352" s="4">
        <v>45958</v>
      </c>
      <c r="I352" s="11">
        <f>IF(Table1[[#This Row],[Booking Date]]&lt;&gt;"",1,0)</f>
        <v>1</v>
      </c>
      <c r="J352" s="30">
        <v>45960</v>
      </c>
      <c r="K352" s="11">
        <f>IF(Table1[[#This Row],[Delivery Date]]&lt;&gt;"",1,0)</f>
        <v>1</v>
      </c>
      <c r="L352" s="3" t="s">
        <v>2</v>
      </c>
      <c r="M352" s="3">
        <f>IF(Table1[[#This Row],[Cancellation Status]]&lt;&gt;"Yes",1,0)</f>
        <v>1</v>
      </c>
      <c r="O352" s="30">
        <v>45974</v>
      </c>
      <c r="P352" s="3">
        <v>3</v>
      </c>
      <c r="Q352" s="3">
        <v>4</v>
      </c>
      <c r="R352" s="3">
        <v>2</v>
      </c>
      <c r="S352" s="3">
        <v>4</v>
      </c>
      <c r="T35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52" t="str">
        <f>IF(Table1[[#This Row],[Customer Rating]]&gt;=9,"Promoter",IF(Table1[[#This Row],[Customer Rating]]&gt;=7,"Passive","Detractor"))</f>
        <v>Detractor</v>
      </c>
    </row>
    <row r="353" spans="1:21" ht="14.25" customHeight="1" x14ac:dyDescent="0.3">
      <c r="A353" s="3" t="s">
        <v>388</v>
      </c>
      <c r="B353" s="3" t="s">
        <v>39</v>
      </c>
      <c r="C353" s="3" t="s">
        <v>27</v>
      </c>
      <c r="D353" s="14">
        <v>45951</v>
      </c>
      <c r="E353" s="11">
        <f>1</f>
        <v>1</v>
      </c>
      <c r="F353" s="14">
        <v>45952</v>
      </c>
      <c r="G353" s="11">
        <f>IF(Table1[[#This Row],[Pre-Booking Date]]&lt;&gt;"",1,0)</f>
        <v>1</v>
      </c>
      <c r="H353" s="4">
        <v>45955</v>
      </c>
      <c r="I353" s="11">
        <f>IF(Table1[[#This Row],[Booking Date]]&lt;&gt;"",1,0)</f>
        <v>1</v>
      </c>
      <c r="J353" s="30">
        <v>45959</v>
      </c>
      <c r="K353" s="11">
        <f>IF(Table1[[#This Row],[Delivery Date]]&lt;&gt;"",1,0)</f>
        <v>1</v>
      </c>
      <c r="L353" s="3" t="s">
        <v>2</v>
      </c>
      <c r="M353" s="3">
        <f>IF(Table1[[#This Row],[Cancellation Status]]&lt;&gt;"Yes",1,0)</f>
        <v>1</v>
      </c>
      <c r="O353" s="30">
        <v>45969</v>
      </c>
      <c r="P353" s="3">
        <v>1</v>
      </c>
      <c r="Q353" s="3">
        <v>3</v>
      </c>
      <c r="R353" s="3">
        <v>4</v>
      </c>
      <c r="S353" s="3">
        <v>6</v>
      </c>
      <c r="T35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53" t="str">
        <f>IF(Table1[[#This Row],[Customer Rating]]&gt;=9,"Promoter",IF(Table1[[#This Row],[Customer Rating]]&gt;=7,"Passive","Detractor"))</f>
        <v>Detractor</v>
      </c>
    </row>
    <row r="354" spans="1:21" ht="14.25" customHeight="1" x14ac:dyDescent="0.3">
      <c r="A354" s="3" t="s">
        <v>389</v>
      </c>
      <c r="B354" s="3" t="s">
        <v>32</v>
      </c>
      <c r="C354" s="3" t="s">
        <v>27</v>
      </c>
      <c r="D354" s="14">
        <v>45951</v>
      </c>
      <c r="E354" s="11">
        <f>1</f>
        <v>1</v>
      </c>
      <c r="F354" s="14">
        <v>45953</v>
      </c>
      <c r="G354" s="11">
        <f>IF(Table1[[#This Row],[Pre-Booking Date]]&lt;&gt;"",1,0)</f>
        <v>1</v>
      </c>
      <c r="H354" s="4">
        <v>45958</v>
      </c>
      <c r="I354" s="11">
        <f>IF(Table1[[#This Row],[Booking Date]]&lt;&gt;"",1,0)</f>
        <v>1</v>
      </c>
      <c r="J354" s="30">
        <v>45960</v>
      </c>
      <c r="K354" s="11">
        <f>IF(Table1[[#This Row],[Delivery Date]]&lt;&gt;"",1,0)</f>
        <v>1</v>
      </c>
      <c r="L354" s="3" t="s">
        <v>2</v>
      </c>
      <c r="M354" s="3">
        <f>IF(Table1[[#This Row],[Cancellation Status]]&lt;&gt;"Yes",1,0)</f>
        <v>1</v>
      </c>
      <c r="O354" s="30">
        <v>45973</v>
      </c>
      <c r="P354" s="3">
        <v>2</v>
      </c>
      <c r="Q354" s="3">
        <v>5</v>
      </c>
      <c r="R354" s="3">
        <v>2</v>
      </c>
      <c r="S354" s="3">
        <v>4</v>
      </c>
      <c r="T35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54" t="str">
        <f>IF(Table1[[#This Row],[Customer Rating]]&gt;=9,"Promoter",IF(Table1[[#This Row],[Customer Rating]]&gt;=7,"Passive","Detractor"))</f>
        <v>Detractor</v>
      </c>
    </row>
    <row r="355" spans="1:21" ht="14.25" customHeight="1" x14ac:dyDescent="0.3">
      <c r="A355" s="3" t="s">
        <v>390</v>
      </c>
      <c r="B355" s="3" t="s">
        <v>29</v>
      </c>
      <c r="C355" s="3" t="s">
        <v>33</v>
      </c>
      <c r="D355" s="14">
        <v>45951</v>
      </c>
      <c r="E355" s="11">
        <f>1</f>
        <v>1</v>
      </c>
      <c r="G355" s="12">
        <f>IF(Table1[[#This Row],[Pre-Booking Date]]&lt;&gt;"",1,0)</f>
        <v>0</v>
      </c>
      <c r="I355" s="12">
        <f>IF(Table1[[#This Row],[Booking Date]]&lt;&gt;"",1,0)</f>
        <v>0</v>
      </c>
      <c r="K355" s="12">
        <f>IF(Table1[[#This Row],[Delivery Date]]&lt;&gt;"",1,0)</f>
        <v>0</v>
      </c>
      <c r="L355" s="3" t="s">
        <v>3</v>
      </c>
      <c r="M355" s="3">
        <f>IF(Table1[[#This Row],[Cancellation Status]]&lt;&gt;"Yes",1,0)</f>
        <v>0</v>
      </c>
      <c r="N355" s="3" t="s">
        <v>55</v>
      </c>
      <c r="T35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55" t="str">
        <f>IF(Table1[[#This Row],[Customer Rating]]&gt;=9,"Promoter",IF(Table1[[#This Row],[Customer Rating]]&gt;=7,"Passive","Detractor"))</f>
        <v>Detractor</v>
      </c>
    </row>
    <row r="356" spans="1:21" ht="14.25" customHeight="1" x14ac:dyDescent="0.3">
      <c r="A356" s="3" t="s">
        <v>391</v>
      </c>
      <c r="B356" s="3" t="s">
        <v>32</v>
      </c>
      <c r="C356" s="3" t="s">
        <v>27</v>
      </c>
      <c r="D356" s="14">
        <v>45951</v>
      </c>
      <c r="E356" s="11">
        <f>1</f>
        <v>1</v>
      </c>
      <c r="F356" s="14">
        <v>45954</v>
      </c>
      <c r="G356" s="11">
        <f>IF(Table1[[#This Row],[Pre-Booking Date]]&lt;&gt;"",1,0)</f>
        <v>1</v>
      </c>
      <c r="H356" s="4">
        <v>45956</v>
      </c>
      <c r="I356" s="11">
        <f>IF(Table1[[#This Row],[Booking Date]]&lt;&gt;"",1,0)</f>
        <v>1</v>
      </c>
      <c r="J356" s="30">
        <v>45958</v>
      </c>
      <c r="K356" s="11">
        <f>IF(Table1[[#This Row],[Delivery Date]]&lt;&gt;"",1,0)</f>
        <v>1</v>
      </c>
      <c r="L356" s="3" t="s">
        <v>2</v>
      </c>
      <c r="M356" s="3">
        <f>IF(Table1[[#This Row],[Cancellation Status]]&lt;&gt;"Yes",1,0)</f>
        <v>1</v>
      </c>
      <c r="O356" s="30">
        <v>45971</v>
      </c>
      <c r="P356" s="3">
        <v>3</v>
      </c>
      <c r="Q356" s="3">
        <v>2</v>
      </c>
      <c r="R356" s="3">
        <v>2</v>
      </c>
      <c r="S356" s="3">
        <v>9</v>
      </c>
      <c r="T35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56" t="str">
        <f>IF(Table1[[#This Row],[Customer Rating]]&gt;=9,"Promoter",IF(Table1[[#This Row],[Customer Rating]]&gt;=7,"Passive","Detractor"))</f>
        <v>Promoter</v>
      </c>
    </row>
    <row r="357" spans="1:21" ht="14.25" customHeight="1" x14ac:dyDescent="0.3">
      <c r="A357" s="3" t="s">
        <v>392</v>
      </c>
      <c r="B357" s="3" t="s">
        <v>26</v>
      </c>
      <c r="C357" s="3" t="s">
        <v>30</v>
      </c>
      <c r="D357" s="14">
        <v>45951</v>
      </c>
      <c r="E357" s="11">
        <f>1</f>
        <v>1</v>
      </c>
      <c r="F357" s="14">
        <v>45955</v>
      </c>
      <c r="G357" s="11">
        <f>IF(Table1[[#This Row],[Pre-Booking Date]]&lt;&gt;"",1,0)</f>
        <v>1</v>
      </c>
      <c r="H357" s="4">
        <v>45960</v>
      </c>
      <c r="I357" s="11">
        <f>IF(Table1[[#This Row],[Booking Date]]&lt;&gt;"",1,0)</f>
        <v>1</v>
      </c>
      <c r="J357" s="30">
        <v>45962</v>
      </c>
      <c r="K357" s="11">
        <f>IF(Table1[[#This Row],[Delivery Date]]&lt;&gt;"",1,0)</f>
        <v>1</v>
      </c>
      <c r="L357" s="3" t="s">
        <v>2</v>
      </c>
      <c r="M357" s="3">
        <f>IF(Table1[[#This Row],[Cancellation Status]]&lt;&gt;"Yes",1,0)</f>
        <v>1</v>
      </c>
      <c r="O357" s="30">
        <v>45986</v>
      </c>
      <c r="P357" s="3">
        <v>4</v>
      </c>
      <c r="Q357" s="3">
        <v>5</v>
      </c>
      <c r="R357" s="3">
        <v>2</v>
      </c>
      <c r="S357" s="3">
        <v>6</v>
      </c>
      <c r="T35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57" t="str">
        <f>IF(Table1[[#This Row],[Customer Rating]]&gt;=9,"Promoter",IF(Table1[[#This Row],[Customer Rating]]&gt;=7,"Passive","Detractor"))</f>
        <v>Detractor</v>
      </c>
    </row>
    <row r="358" spans="1:21" ht="14.25" customHeight="1" x14ac:dyDescent="0.3">
      <c r="A358" s="3" t="s">
        <v>393</v>
      </c>
      <c r="B358" s="3" t="s">
        <v>39</v>
      </c>
      <c r="C358" s="3" t="s">
        <v>30</v>
      </c>
      <c r="D358" s="14">
        <v>45951</v>
      </c>
      <c r="E358" s="11">
        <f>1</f>
        <v>1</v>
      </c>
      <c r="F358" s="14">
        <v>45952</v>
      </c>
      <c r="G358" s="11">
        <f>IF(Table1[[#This Row],[Pre-Booking Date]]&lt;&gt;"",1,0)</f>
        <v>1</v>
      </c>
      <c r="H358" s="4">
        <v>45955</v>
      </c>
      <c r="I358" s="11">
        <f>IF(Table1[[#This Row],[Booking Date]]&lt;&gt;"",1,0)</f>
        <v>1</v>
      </c>
      <c r="J358" s="30">
        <v>45962</v>
      </c>
      <c r="K358" s="11">
        <f>IF(Table1[[#This Row],[Delivery Date]]&lt;&gt;"",1,0)</f>
        <v>1</v>
      </c>
      <c r="L358" s="3" t="s">
        <v>2</v>
      </c>
      <c r="M358" s="3">
        <f>IF(Table1[[#This Row],[Cancellation Status]]&lt;&gt;"Yes",1,0)</f>
        <v>1</v>
      </c>
      <c r="O358" s="30">
        <v>45984</v>
      </c>
      <c r="P358" s="3">
        <v>1</v>
      </c>
      <c r="Q358" s="3">
        <v>3</v>
      </c>
      <c r="R358" s="3">
        <v>7</v>
      </c>
      <c r="S358" s="3">
        <v>10</v>
      </c>
      <c r="T35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58" t="str">
        <f>IF(Table1[[#This Row],[Customer Rating]]&gt;=9,"Promoter",IF(Table1[[#This Row],[Customer Rating]]&gt;=7,"Passive","Detractor"))</f>
        <v>Promoter</v>
      </c>
    </row>
    <row r="359" spans="1:21" ht="14.25" customHeight="1" x14ac:dyDescent="0.3">
      <c r="A359" s="3" t="s">
        <v>394</v>
      </c>
      <c r="B359" s="3" t="s">
        <v>29</v>
      </c>
      <c r="C359" s="3" t="s">
        <v>27</v>
      </c>
      <c r="D359" s="14">
        <v>45951</v>
      </c>
      <c r="E359" s="11">
        <f>1</f>
        <v>1</v>
      </c>
      <c r="F359" s="14">
        <v>45954</v>
      </c>
      <c r="G359" s="11">
        <f>IF(Table1[[#This Row],[Pre-Booking Date]]&lt;&gt;"",1,0)</f>
        <v>1</v>
      </c>
      <c r="H359" s="4">
        <v>45956</v>
      </c>
      <c r="I359" s="11">
        <f>IF(Table1[[#This Row],[Booking Date]]&lt;&gt;"",1,0)</f>
        <v>1</v>
      </c>
      <c r="J359" s="30">
        <v>45962</v>
      </c>
      <c r="K359" s="11">
        <f>IF(Table1[[#This Row],[Delivery Date]]&lt;&gt;"",1,0)</f>
        <v>1</v>
      </c>
      <c r="L359" s="3" t="s">
        <v>2</v>
      </c>
      <c r="M359" s="3">
        <f>IF(Table1[[#This Row],[Cancellation Status]]&lt;&gt;"Yes",1,0)</f>
        <v>1</v>
      </c>
      <c r="O359" s="30">
        <v>45980</v>
      </c>
      <c r="P359" s="3">
        <v>3</v>
      </c>
      <c r="Q359" s="3">
        <v>2</v>
      </c>
      <c r="R359" s="3">
        <v>6</v>
      </c>
      <c r="S359" s="3">
        <v>4</v>
      </c>
      <c r="T35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59" t="str">
        <f>IF(Table1[[#This Row],[Customer Rating]]&gt;=9,"Promoter",IF(Table1[[#This Row],[Customer Rating]]&gt;=7,"Passive","Detractor"))</f>
        <v>Detractor</v>
      </c>
    </row>
    <row r="360" spans="1:21" ht="14.25" customHeight="1" x14ac:dyDescent="0.3">
      <c r="A360" s="3" t="s">
        <v>395</v>
      </c>
      <c r="B360" s="3" t="s">
        <v>26</v>
      </c>
      <c r="C360" s="3" t="s">
        <v>33</v>
      </c>
      <c r="D360" s="14">
        <v>45951</v>
      </c>
      <c r="E360" s="11">
        <f>1</f>
        <v>1</v>
      </c>
      <c r="G360" s="12">
        <f>IF(Table1[[#This Row],[Pre-Booking Date]]&lt;&gt;"",1,0)</f>
        <v>0</v>
      </c>
      <c r="I360" s="12">
        <f>IF(Table1[[#This Row],[Booking Date]]&lt;&gt;"",1,0)</f>
        <v>0</v>
      </c>
      <c r="K360" s="12">
        <f>IF(Table1[[#This Row],[Delivery Date]]&lt;&gt;"",1,0)</f>
        <v>0</v>
      </c>
      <c r="L360" s="3" t="s">
        <v>3</v>
      </c>
      <c r="M360" s="3">
        <f>IF(Table1[[#This Row],[Cancellation Status]]&lt;&gt;"Yes",1,0)</f>
        <v>0</v>
      </c>
      <c r="N360" s="3" t="s">
        <v>55</v>
      </c>
      <c r="T36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60" t="str">
        <f>IF(Table1[[#This Row],[Customer Rating]]&gt;=9,"Promoter",IF(Table1[[#This Row],[Customer Rating]]&gt;=7,"Passive","Detractor"))</f>
        <v>Detractor</v>
      </c>
    </row>
    <row r="361" spans="1:21" ht="14.25" customHeight="1" x14ac:dyDescent="0.3">
      <c r="A361" s="3" t="s">
        <v>396</v>
      </c>
      <c r="B361" s="3" t="s">
        <v>32</v>
      </c>
      <c r="C361" s="3" t="s">
        <v>27</v>
      </c>
      <c r="D361" s="14">
        <v>45950</v>
      </c>
      <c r="E361" s="11">
        <f>1</f>
        <v>1</v>
      </c>
      <c r="F361" s="14">
        <v>45955</v>
      </c>
      <c r="G361" s="11">
        <f>IF(Table1[[#This Row],[Pre-Booking Date]]&lt;&gt;"",1,0)</f>
        <v>1</v>
      </c>
      <c r="H361" s="4">
        <v>45957</v>
      </c>
      <c r="I361" s="11">
        <f>IF(Table1[[#This Row],[Booking Date]]&lt;&gt;"",1,0)</f>
        <v>1</v>
      </c>
      <c r="J361" s="30">
        <v>45964</v>
      </c>
      <c r="K361" s="11">
        <f>IF(Table1[[#This Row],[Delivery Date]]&lt;&gt;"",1,0)</f>
        <v>1</v>
      </c>
      <c r="L361" s="3" t="s">
        <v>2</v>
      </c>
      <c r="M361" s="3">
        <f>IF(Table1[[#This Row],[Cancellation Status]]&lt;&gt;"Yes",1,0)</f>
        <v>1</v>
      </c>
      <c r="O361" s="30">
        <v>45984</v>
      </c>
      <c r="P361" s="3">
        <v>5</v>
      </c>
      <c r="Q361" s="3">
        <v>2</v>
      </c>
      <c r="R361" s="3">
        <v>7</v>
      </c>
      <c r="S361" s="3">
        <v>1</v>
      </c>
      <c r="T36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61" t="str">
        <f>IF(Table1[[#This Row],[Customer Rating]]&gt;=9,"Promoter",IF(Table1[[#This Row],[Customer Rating]]&gt;=7,"Passive","Detractor"))</f>
        <v>Detractor</v>
      </c>
    </row>
    <row r="362" spans="1:21" ht="14.25" customHeight="1" x14ac:dyDescent="0.3">
      <c r="A362" s="3" t="s">
        <v>397</v>
      </c>
      <c r="B362" s="3" t="s">
        <v>29</v>
      </c>
      <c r="C362" s="3" t="s">
        <v>30</v>
      </c>
      <c r="D362" s="14">
        <v>45950</v>
      </c>
      <c r="E362" s="11">
        <f>1</f>
        <v>1</v>
      </c>
      <c r="F362" s="14">
        <v>45954</v>
      </c>
      <c r="G362" s="11">
        <f>IF(Table1[[#This Row],[Pre-Booking Date]]&lt;&gt;"",1,0)</f>
        <v>1</v>
      </c>
      <c r="H362" s="4">
        <v>45958</v>
      </c>
      <c r="I362" s="11">
        <f>IF(Table1[[#This Row],[Booking Date]]&lt;&gt;"",1,0)</f>
        <v>1</v>
      </c>
      <c r="J362" s="30">
        <v>45963</v>
      </c>
      <c r="K362" s="11">
        <f>IF(Table1[[#This Row],[Delivery Date]]&lt;&gt;"",1,0)</f>
        <v>1</v>
      </c>
      <c r="L362" s="3" t="s">
        <v>2</v>
      </c>
      <c r="M362" s="3">
        <f>IF(Table1[[#This Row],[Cancellation Status]]&lt;&gt;"Yes",1,0)</f>
        <v>1</v>
      </c>
      <c r="O362" s="30">
        <v>45983</v>
      </c>
      <c r="P362" s="3">
        <v>4</v>
      </c>
      <c r="Q362" s="3">
        <v>4</v>
      </c>
      <c r="R362" s="3">
        <v>5</v>
      </c>
      <c r="S362" s="3">
        <v>6</v>
      </c>
      <c r="T36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62" t="str">
        <f>IF(Table1[[#This Row],[Customer Rating]]&gt;=9,"Promoter",IF(Table1[[#This Row],[Customer Rating]]&gt;=7,"Passive","Detractor"))</f>
        <v>Detractor</v>
      </c>
    </row>
    <row r="363" spans="1:21" ht="14.25" customHeight="1" x14ac:dyDescent="0.3">
      <c r="A363" s="3" t="s">
        <v>398</v>
      </c>
      <c r="B363" s="3" t="s">
        <v>29</v>
      </c>
      <c r="C363" s="3" t="s">
        <v>27</v>
      </c>
      <c r="D363" s="14">
        <v>45950</v>
      </c>
      <c r="E363" s="11">
        <f>1</f>
        <v>1</v>
      </c>
      <c r="F363" s="14">
        <v>45955</v>
      </c>
      <c r="G363" s="11">
        <f>IF(Table1[[#This Row],[Pre-Booking Date]]&lt;&gt;"",1,0)</f>
        <v>1</v>
      </c>
      <c r="H363" s="4">
        <v>45958</v>
      </c>
      <c r="I363" s="11">
        <f>IF(Table1[[#This Row],[Booking Date]]&lt;&gt;"",1,0)</f>
        <v>1</v>
      </c>
      <c r="J363" s="30">
        <v>45962</v>
      </c>
      <c r="K363" s="11">
        <f>IF(Table1[[#This Row],[Delivery Date]]&lt;&gt;"",1,0)</f>
        <v>1</v>
      </c>
      <c r="L363" s="3" t="s">
        <v>2</v>
      </c>
      <c r="M363" s="3">
        <f>IF(Table1[[#This Row],[Cancellation Status]]&lt;&gt;"Yes",1,0)</f>
        <v>1</v>
      </c>
      <c r="O363" s="30">
        <v>45984</v>
      </c>
      <c r="P363" s="3">
        <v>5</v>
      </c>
      <c r="Q363" s="3">
        <v>3</v>
      </c>
      <c r="R363" s="3">
        <v>4</v>
      </c>
      <c r="S363" s="3">
        <v>4</v>
      </c>
      <c r="T36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63" t="str">
        <f>IF(Table1[[#This Row],[Customer Rating]]&gt;=9,"Promoter",IF(Table1[[#This Row],[Customer Rating]]&gt;=7,"Passive","Detractor"))</f>
        <v>Detractor</v>
      </c>
    </row>
    <row r="364" spans="1:21" ht="14.25" customHeight="1" x14ac:dyDescent="0.3">
      <c r="A364" s="3" t="s">
        <v>399</v>
      </c>
      <c r="B364" s="3" t="s">
        <v>32</v>
      </c>
      <c r="C364" s="3" t="s">
        <v>27</v>
      </c>
      <c r="D364" s="14">
        <v>45950</v>
      </c>
      <c r="E364" s="11">
        <f>1</f>
        <v>1</v>
      </c>
      <c r="F364" s="14">
        <v>45954</v>
      </c>
      <c r="G364" s="11">
        <f>IF(Table1[[#This Row],[Pre-Booking Date]]&lt;&gt;"",1,0)</f>
        <v>1</v>
      </c>
      <c r="H364" s="4">
        <v>45959</v>
      </c>
      <c r="I364" s="11">
        <f>IF(Table1[[#This Row],[Booking Date]]&lt;&gt;"",1,0)</f>
        <v>1</v>
      </c>
      <c r="J364" s="30">
        <v>45966</v>
      </c>
      <c r="K364" s="11">
        <f>IF(Table1[[#This Row],[Delivery Date]]&lt;&gt;"",1,0)</f>
        <v>1</v>
      </c>
      <c r="L364" s="3" t="s">
        <v>2</v>
      </c>
      <c r="M364" s="3">
        <f>IF(Table1[[#This Row],[Cancellation Status]]&lt;&gt;"Yes",1,0)</f>
        <v>1</v>
      </c>
      <c r="O364" s="30">
        <v>45981</v>
      </c>
      <c r="P364" s="3">
        <v>4</v>
      </c>
      <c r="Q364" s="3">
        <v>5</v>
      </c>
      <c r="R364" s="3">
        <v>7</v>
      </c>
      <c r="S364" s="3">
        <v>0</v>
      </c>
      <c r="T36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64" t="str">
        <f>IF(Table1[[#This Row],[Customer Rating]]&gt;=9,"Promoter",IF(Table1[[#This Row],[Customer Rating]]&gt;=7,"Passive","Detractor"))</f>
        <v>Detractor</v>
      </c>
    </row>
    <row r="365" spans="1:21" ht="14.25" customHeight="1" x14ac:dyDescent="0.3">
      <c r="A365" s="3" t="s">
        <v>400</v>
      </c>
      <c r="B365" s="3" t="s">
        <v>39</v>
      </c>
      <c r="C365" s="3" t="s">
        <v>30</v>
      </c>
      <c r="D365" s="14">
        <v>45950</v>
      </c>
      <c r="E365" s="11">
        <f>1</f>
        <v>1</v>
      </c>
      <c r="F365" s="14">
        <v>45953</v>
      </c>
      <c r="G365" s="11">
        <f>IF(Table1[[#This Row],[Pre-Booking Date]]&lt;&gt;"",1,0)</f>
        <v>1</v>
      </c>
      <c r="H365" s="4">
        <v>45956</v>
      </c>
      <c r="I365" s="11">
        <f>IF(Table1[[#This Row],[Booking Date]]&lt;&gt;"",1,0)</f>
        <v>1</v>
      </c>
      <c r="J365" s="30">
        <v>45962</v>
      </c>
      <c r="K365" s="11">
        <f>IF(Table1[[#This Row],[Delivery Date]]&lt;&gt;"",1,0)</f>
        <v>1</v>
      </c>
      <c r="L365" s="3" t="s">
        <v>2</v>
      </c>
      <c r="M365" s="3">
        <f>IF(Table1[[#This Row],[Cancellation Status]]&lt;&gt;"Yes",1,0)</f>
        <v>1</v>
      </c>
      <c r="O365" s="30">
        <v>45985</v>
      </c>
      <c r="P365" s="3">
        <v>3</v>
      </c>
      <c r="Q365" s="3">
        <v>3</v>
      </c>
      <c r="R365" s="3">
        <v>6</v>
      </c>
      <c r="S365" s="3">
        <v>6</v>
      </c>
      <c r="T36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65" t="str">
        <f>IF(Table1[[#This Row],[Customer Rating]]&gt;=9,"Promoter",IF(Table1[[#This Row],[Customer Rating]]&gt;=7,"Passive","Detractor"))</f>
        <v>Detractor</v>
      </c>
    </row>
    <row r="366" spans="1:21" ht="14.25" customHeight="1" x14ac:dyDescent="0.3">
      <c r="A366" s="3" t="s">
        <v>401</v>
      </c>
      <c r="B366" s="3" t="s">
        <v>32</v>
      </c>
      <c r="C366" s="3" t="s">
        <v>30</v>
      </c>
      <c r="D366" s="14">
        <v>45950</v>
      </c>
      <c r="E366" s="11">
        <f>1</f>
        <v>1</v>
      </c>
      <c r="F366" s="14">
        <v>45952</v>
      </c>
      <c r="G366" s="11">
        <f>IF(Table1[[#This Row],[Pre-Booking Date]]&lt;&gt;"",1,0)</f>
        <v>1</v>
      </c>
      <c r="H366" s="4">
        <v>45954</v>
      </c>
      <c r="I366" s="11">
        <f>IF(Table1[[#This Row],[Booking Date]]&lt;&gt;"",1,0)</f>
        <v>1</v>
      </c>
      <c r="J366" s="30">
        <v>45961</v>
      </c>
      <c r="K366" s="11">
        <f>IF(Table1[[#This Row],[Delivery Date]]&lt;&gt;"",1,0)</f>
        <v>1</v>
      </c>
      <c r="L366" s="3" t="s">
        <v>2</v>
      </c>
      <c r="M366" s="3">
        <f>IF(Table1[[#This Row],[Cancellation Status]]&lt;&gt;"Yes",1,0)</f>
        <v>1</v>
      </c>
      <c r="O366" s="30">
        <v>45988</v>
      </c>
      <c r="P366" s="3">
        <v>2</v>
      </c>
      <c r="Q366" s="3">
        <v>2</v>
      </c>
      <c r="R366" s="3">
        <v>7</v>
      </c>
      <c r="S366" s="3">
        <v>2</v>
      </c>
      <c r="T36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66" t="str">
        <f>IF(Table1[[#This Row],[Customer Rating]]&gt;=9,"Promoter",IF(Table1[[#This Row],[Customer Rating]]&gt;=7,"Passive","Detractor"))</f>
        <v>Detractor</v>
      </c>
    </row>
    <row r="367" spans="1:21" ht="14.25" customHeight="1" x14ac:dyDescent="0.3">
      <c r="A367" s="3" t="s">
        <v>402</v>
      </c>
      <c r="B367" s="3" t="s">
        <v>32</v>
      </c>
      <c r="C367" s="3" t="s">
        <v>27</v>
      </c>
      <c r="D367" s="14">
        <v>45950</v>
      </c>
      <c r="E367" s="11">
        <f>1</f>
        <v>1</v>
      </c>
      <c r="F367" s="14">
        <v>45954</v>
      </c>
      <c r="G367" s="11">
        <f>IF(Table1[[#This Row],[Pre-Booking Date]]&lt;&gt;"",1,0)</f>
        <v>1</v>
      </c>
      <c r="H367" s="4">
        <v>45957</v>
      </c>
      <c r="I367" s="11">
        <f>IF(Table1[[#This Row],[Booking Date]]&lt;&gt;"",1,0)</f>
        <v>1</v>
      </c>
      <c r="J367" s="30">
        <v>45964</v>
      </c>
      <c r="K367" s="11">
        <f>IF(Table1[[#This Row],[Delivery Date]]&lt;&gt;"",1,0)</f>
        <v>1</v>
      </c>
      <c r="L367" s="3" t="s">
        <v>2</v>
      </c>
      <c r="M367" s="3">
        <f>IF(Table1[[#This Row],[Cancellation Status]]&lt;&gt;"Yes",1,0)</f>
        <v>1</v>
      </c>
      <c r="O367" s="30">
        <v>45982</v>
      </c>
      <c r="P367" s="3">
        <v>4</v>
      </c>
      <c r="Q367" s="3">
        <v>3</v>
      </c>
      <c r="R367" s="3">
        <v>7</v>
      </c>
      <c r="S367" s="3">
        <v>9</v>
      </c>
      <c r="T36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67" t="str">
        <f>IF(Table1[[#This Row],[Customer Rating]]&gt;=9,"Promoter",IF(Table1[[#This Row],[Customer Rating]]&gt;=7,"Passive","Detractor"))</f>
        <v>Promoter</v>
      </c>
    </row>
    <row r="368" spans="1:21" ht="14.25" customHeight="1" x14ac:dyDescent="0.3">
      <c r="A368" s="3" t="s">
        <v>403</v>
      </c>
      <c r="B368" s="3" t="s">
        <v>32</v>
      </c>
      <c r="C368" s="3" t="s">
        <v>27</v>
      </c>
      <c r="D368" s="14">
        <v>45950</v>
      </c>
      <c r="E368" s="11">
        <f>1</f>
        <v>1</v>
      </c>
      <c r="F368" s="14">
        <v>45954</v>
      </c>
      <c r="G368" s="11">
        <f>IF(Table1[[#This Row],[Pre-Booking Date]]&lt;&gt;"",1,0)</f>
        <v>1</v>
      </c>
      <c r="H368" s="4">
        <v>45959</v>
      </c>
      <c r="I368" s="11">
        <f>IF(Table1[[#This Row],[Booking Date]]&lt;&gt;"",1,0)</f>
        <v>1</v>
      </c>
      <c r="J368" s="30">
        <v>45962</v>
      </c>
      <c r="K368" s="11">
        <f>IF(Table1[[#This Row],[Delivery Date]]&lt;&gt;"",1,0)</f>
        <v>1</v>
      </c>
      <c r="L368" s="3" t="s">
        <v>3</v>
      </c>
      <c r="M368" s="3">
        <f>IF(Table1[[#This Row],[Cancellation Status]]&lt;&gt;"Yes",1,0)</f>
        <v>0</v>
      </c>
      <c r="N368" s="3" t="s">
        <v>34</v>
      </c>
      <c r="P368" s="3">
        <v>4</v>
      </c>
      <c r="Q368" s="3">
        <v>5</v>
      </c>
      <c r="R368" s="3">
        <v>3</v>
      </c>
      <c r="T36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68" t="str">
        <f>IF(Table1[[#This Row],[Customer Rating]]&gt;=9,"Promoter",IF(Table1[[#This Row],[Customer Rating]]&gt;=7,"Passive","Detractor"))</f>
        <v>Detractor</v>
      </c>
    </row>
    <row r="369" spans="1:21" ht="14.25" customHeight="1" x14ac:dyDescent="0.3">
      <c r="A369" s="3" t="s">
        <v>404</v>
      </c>
      <c r="B369" s="3" t="s">
        <v>26</v>
      </c>
      <c r="C369" s="3" t="s">
        <v>33</v>
      </c>
      <c r="D369" s="14">
        <v>45950</v>
      </c>
      <c r="E369" s="11">
        <f>1</f>
        <v>1</v>
      </c>
      <c r="G369" s="12">
        <f>IF(Table1[[#This Row],[Pre-Booking Date]]&lt;&gt;"",1,0)</f>
        <v>0</v>
      </c>
      <c r="I369" s="12">
        <f>IF(Table1[[#This Row],[Booking Date]]&lt;&gt;"",1,0)</f>
        <v>0</v>
      </c>
      <c r="K369" s="12">
        <f>IF(Table1[[#This Row],[Delivery Date]]&lt;&gt;"",1,0)</f>
        <v>0</v>
      </c>
      <c r="L369" s="3" t="s">
        <v>3</v>
      </c>
      <c r="M369" s="3">
        <f>IF(Table1[[#This Row],[Cancellation Status]]&lt;&gt;"Yes",1,0)</f>
        <v>0</v>
      </c>
      <c r="N369" s="3" t="s">
        <v>52</v>
      </c>
      <c r="T36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69" t="str">
        <f>IF(Table1[[#This Row],[Customer Rating]]&gt;=9,"Promoter",IF(Table1[[#This Row],[Customer Rating]]&gt;=7,"Passive","Detractor"))</f>
        <v>Detractor</v>
      </c>
    </row>
    <row r="370" spans="1:21" ht="14.25" customHeight="1" x14ac:dyDescent="0.3">
      <c r="A370" s="3" t="s">
        <v>405</v>
      </c>
      <c r="B370" s="3" t="s">
        <v>39</v>
      </c>
      <c r="C370" s="3" t="s">
        <v>30</v>
      </c>
      <c r="D370" s="14">
        <v>45950</v>
      </c>
      <c r="E370" s="11">
        <f>1</f>
        <v>1</v>
      </c>
      <c r="F370" s="14">
        <v>45952</v>
      </c>
      <c r="G370" s="11">
        <f>IF(Table1[[#This Row],[Pre-Booking Date]]&lt;&gt;"",1,0)</f>
        <v>1</v>
      </c>
      <c r="H370" s="4">
        <v>45956</v>
      </c>
      <c r="I370" s="11">
        <f>IF(Table1[[#This Row],[Booking Date]]&lt;&gt;"",1,0)</f>
        <v>1</v>
      </c>
      <c r="J370" s="30">
        <v>45958</v>
      </c>
      <c r="K370" s="11">
        <f>IF(Table1[[#This Row],[Delivery Date]]&lt;&gt;"",1,0)</f>
        <v>1</v>
      </c>
      <c r="L370" s="3" t="s">
        <v>2</v>
      </c>
      <c r="M370" s="3">
        <f>IF(Table1[[#This Row],[Cancellation Status]]&lt;&gt;"Yes",1,0)</f>
        <v>1</v>
      </c>
      <c r="O370" s="30">
        <v>45968</v>
      </c>
      <c r="P370" s="3">
        <v>2</v>
      </c>
      <c r="Q370" s="3">
        <v>4</v>
      </c>
      <c r="R370" s="3">
        <v>2</v>
      </c>
      <c r="S370" s="3">
        <v>1</v>
      </c>
      <c r="T37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70" t="str">
        <f>IF(Table1[[#This Row],[Customer Rating]]&gt;=9,"Promoter",IF(Table1[[#This Row],[Customer Rating]]&gt;=7,"Passive","Detractor"))</f>
        <v>Detractor</v>
      </c>
    </row>
    <row r="371" spans="1:21" ht="14.25" customHeight="1" x14ac:dyDescent="0.3">
      <c r="A371" s="3" t="s">
        <v>406</v>
      </c>
      <c r="B371" s="3" t="s">
        <v>29</v>
      </c>
      <c r="C371" s="3" t="s">
        <v>27</v>
      </c>
      <c r="D371" s="14">
        <v>45950</v>
      </c>
      <c r="E371" s="11">
        <f>1</f>
        <v>1</v>
      </c>
      <c r="F371" s="14">
        <v>45951</v>
      </c>
      <c r="G371" s="11">
        <f>IF(Table1[[#This Row],[Pre-Booking Date]]&lt;&gt;"",1,0)</f>
        <v>1</v>
      </c>
      <c r="H371" s="4">
        <v>45955</v>
      </c>
      <c r="I371" s="11">
        <f>IF(Table1[[#This Row],[Booking Date]]&lt;&gt;"",1,0)</f>
        <v>1</v>
      </c>
      <c r="J371" s="30">
        <v>45960</v>
      </c>
      <c r="K371" s="11">
        <f>IF(Table1[[#This Row],[Delivery Date]]&lt;&gt;"",1,0)</f>
        <v>1</v>
      </c>
      <c r="L371" s="3" t="s">
        <v>2</v>
      </c>
      <c r="M371" s="3">
        <f>IF(Table1[[#This Row],[Cancellation Status]]&lt;&gt;"Yes",1,0)</f>
        <v>1</v>
      </c>
      <c r="O371" s="30">
        <v>45977</v>
      </c>
      <c r="P371" s="3">
        <v>1</v>
      </c>
      <c r="Q371" s="3">
        <v>4</v>
      </c>
      <c r="R371" s="3">
        <v>5</v>
      </c>
      <c r="S371" s="3">
        <v>8</v>
      </c>
      <c r="T37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71" t="str">
        <f>IF(Table1[[#This Row],[Customer Rating]]&gt;=9,"Promoter",IF(Table1[[#This Row],[Customer Rating]]&gt;=7,"Passive","Detractor"))</f>
        <v>Passive</v>
      </c>
    </row>
    <row r="372" spans="1:21" ht="14.25" customHeight="1" x14ac:dyDescent="0.3">
      <c r="A372" s="3" t="s">
        <v>407</v>
      </c>
      <c r="B372" s="3" t="s">
        <v>32</v>
      </c>
      <c r="C372" s="3" t="s">
        <v>33</v>
      </c>
      <c r="D372" s="14">
        <v>45950</v>
      </c>
      <c r="E372" s="11">
        <f>1</f>
        <v>1</v>
      </c>
      <c r="G372" s="12">
        <f>IF(Table1[[#This Row],[Pre-Booking Date]]&lt;&gt;"",1,0)</f>
        <v>0</v>
      </c>
      <c r="I372" s="12">
        <f>IF(Table1[[#This Row],[Booking Date]]&lt;&gt;"",1,0)</f>
        <v>0</v>
      </c>
      <c r="K372" s="12">
        <f>IF(Table1[[#This Row],[Delivery Date]]&lt;&gt;"",1,0)</f>
        <v>0</v>
      </c>
      <c r="L372" s="3" t="s">
        <v>3</v>
      </c>
      <c r="M372" s="3">
        <f>IF(Table1[[#This Row],[Cancellation Status]]&lt;&gt;"Yes",1,0)</f>
        <v>0</v>
      </c>
      <c r="N372" s="3" t="s">
        <v>34</v>
      </c>
      <c r="T37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72" t="str">
        <f>IF(Table1[[#This Row],[Customer Rating]]&gt;=9,"Promoter",IF(Table1[[#This Row],[Customer Rating]]&gt;=7,"Passive","Detractor"))</f>
        <v>Detractor</v>
      </c>
    </row>
    <row r="373" spans="1:21" ht="14.25" customHeight="1" x14ac:dyDescent="0.3">
      <c r="A373" s="3" t="s">
        <v>408</v>
      </c>
      <c r="B373" s="3" t="s">
        <v>39</v>
      </c>
      <c r="C373" s="3" t="s">
        <v>27</v>
      </c>
      <c r="D373" s="14">
        <v>45950</v>
      </c>
      <c r="E373" s="11">
        <f>1</f>
        <v>1</v>
      </c>
      <c r="F373" s="14">
        <v>45955</v>
      </c>
      <c r="G373" s="11">
        <f>IF(Table1[[#This Row],[Pre-Booking Date]]&lt;&gt;"",1,0)</f>
        <v>1</v>
      </c>
      <c r="H373" s="4">
        <v>45960</v>
      </c>
      <c r="I373" s="11">
        <f>IF(Table1[[#This Row],[Booking Date]]&lt;&gt;"",1,0)</f>
        <v>1</v>
      </c>
      <c r="J373" s="30">
        <v>45965</v>
      </c>
      <c r="K373" s="11">
        <f>IF(Table1[[#This Row],[Delivery Date]]&lt;&gt;"",1,0)</f>
        <v>1</v>
      </c>
      <c r="L373" s="3" t="s">
        <v>2</v>
      </c>
      <c r="M373" s="3">
        <f>IF(Table1[[#This Row],[Cancellation Status]]&lt;&gt;"Yes",1,0)</f>
        <v>1</v>
      </c>
      <c r="O373" s="30">
        <v>45991</v>
      </c>
      <c r="P373" s="3">
        <v>5</v>
      </c>
      <c r="Q373" s="3">
        <v>5</v>
      </c>
      <c r="R373" s="3">
        <v>5</v>
      </c>
      <c r="S373" s="3">
        <v>8</v>
      </c>
      <c r="T37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73" t="str">
        <f>IF(Table1[[#This Row],[Customer Rating]]&gt;=9,"Promoter",IF(Table1[[#This Row],[Customer Rating]]&gt;=7,"Passive","Detractor"))</f>
        <v>Passive</v>
      </c>
    </row>
    <row r="374" spans="1:21" ht="14.25" customHeight="1" x14ac:dyDescent="0.3">
      <c r="A374" s="3" t="s">
        <v>409</v>
      </c>
      <c r="B374" s="3" t="s">
        <v>29</v>
      </c>
      <c r="C374" s="3" t="s">
        <v>30</v>
      </c>
      <c r="D374" s="14">
        <v>45950</v>
      </c>
      <c r="E374" s="11">
        <f>1</f>
        <v>1</v>
      </c>
      <c r="F374" s="14">
        <v>45951</v>
      </c>
      <c r="G374" s="11">
        <f>IF(Table1[[#This Row],[Pre-Booking Date]]&lt;&gt;"",1,0)</f>
        <v>1</v>
      </c>
      <c r="H374" s="4">
        <v>45953</v>
      </c>
      <c r="I374" s="11">
        <f>IF(Table1[[#This Row],[Booking Date]]&lt;&gt;"",1,0)</f>
        <v>1</v>
      </c>
      <c r="J374" s="30">
        <v>45958</v>
      </c>
      <c r="K374" s="11">
        <f>IF(Table1[[#This Row],[Delivery Date]]&lt;&gt;"",1,0)</f>
        <v>1</v>
      </c>
      <c r="L374" s="3" t="s">
        <v>2</v>
      </c>
      <c r="M374" s="3">
        <f>IF(Table1[[#This Row],[Cancellation Status]]&lt;&gt;"Yes",1,0)</f>
        <v>1</v>
      </c>
      <c r="O374" s="30">
        <v>45979</v>
      </c>
      <c r="P374" s="3">
        <v>1</v>
      </c>
      <c r="Q374" s="3">
        <v>2</v>
      </c>
      <c r="R374" s="3">
        <v>5</v>
      </c>
      <c r="S374" s="3">
        <v>9</v>
      </c>
      <c r="T37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74" t="str">
        <f>IF(Table1[[#This Row],[Customer Rating]]&gt;=9,"Promoter",IF(Table1[[#This Row],[Customer Rating]]&gt;=7,"Passive","Detractor"))</f>
        <v>Promoter</v>
      </c>
    </row>
    <row r="375" spans="1:21" ht="14.25" customHeight="1" x14ac:dyDescent="0.3">
      <c r="A375" s="3" t="s">
        <v>410</v>
      </c>
      <c r="B375" s="3" t="s">
        <v>32</v>
      </c>
      <c r="C375" s="3" t="s">
        <v>33</v>
      </c>
      <c r="D375" s="14">
        <v>45950</v>
      </c>
      <c r="E375" s="11">
        <f>1</f>
        <v>1</v>
      </c>
      <c r="G375" s="12">
        <f>IF(Table1[[#This Row],[Pre-Booking Date]]&lt;&gt;"",1,0)</f>
        <v>0</v>
      </c>
      <c r="I375" s="12">
        <f>IF(Table1[[#This Row],[Booking Date]]&lt;&gt;"",1,0)</f>
        <v>0</v>
      </c>
      <c r="K375" s="12">
        <f>IF(Table1[[#This Row],[Delivery Date]]&lt;&gt;"",1,0)</f>
        <v>0</v>
      </c>
      <c r="L375" s="3" t="s">
        <v>3</v>
      </c>
      <c r="M375" s="3">
        <f>IF(Table1[[#This Row],[Cancellation Status]]&lt;&gt;"Yes",1,0)</f>
        <v>0</v>
      </c>
      <c r="N375" s="3" t="s">
        <v>42</v>
      </c>
      <c r="T37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75" t="str">
        <f>IF(Table1[[#This Row],[Customer Rating]]&gt;=9,"Promoter",IF(Table1[[#This Row],[Customer Rating]]&gt;=7,"Passive","Detractor"))</f>
        <v>Detractor</v>
      </c>
    </row>
    <row r="376" spans="1:21" ht="14.25" customHeight="1" x14ac:dyDescent="0.3">
      <c r="A376" s="3" t="s">
        <v>411</v>
      </c>
      <c r="B376" s="3" t="s">
        <v>26</v>
      </c>
      <c r="C376" s="3" t="s">
        <v>33</v>
      </c>
      <c r="D376" s="14">
        <v>45950</v>
      </c>
      <c r="E376" s="11">
        <f>1</f>
        <v>1</v>
      </c>
      <c r="G376" s="12">
        <f>IF(Table1[[#This Row],[Pre-Booking Date]]&lt;&gt;"",1,0)</f>
        <v>0</v>
      </c>
      <c r="I376" s="12">
        <f>IF(Table1[[#This Row],[Booking Date]]&lt;&gt;"",1,0)</f>
        <v>0</v>
      </c>
      <c r="K376" s="12">
        <f>IF(Table1[[#This Row],[Delivery Date]]&lt;&gt;"",1,0)</f>
        <v>0</v>
      </c>
      <c r="L376" s="3" t="s">
        <v>3</v>
      </c>
      <c r="M376" s="3">
        <f>IF(Table1[[#This Row],[Cancellation Status]]&lt;&gt;"Yes",1,0)</f>
        <v>0</v>
      </c>
      <c r="N376" s="3" t="s">
        <v>42</v>
      </c>
      <c r="T37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76" t="str">
        <f>IF(Table1[[#This Row],[Customer Rating]]&gt;=9,"Promoter",IF(Table1[[#This Row],[Customer Rating]]&gt;=7,"Passive","Detractor"))</f>
        <v>Detractor</v>
      </c>
    </row>
    <row r="377" spans="1:21" ht="14.25" customHeight="1" x14ac:dyDescent="0.3">
      <c r="A377" s="3" t="s">
        <v>412</v>
      </c>
      <c r="B377" s="3" t="s">
        <v>26</v>
      </c>
      <c r="C377" s="3" t="s">
        <v>27</v>
      </c>
      <c r="D377" s="14">
        <v>45950</v>
      </c>
      <c r="E377" s="11">
        <f>1</f>
        <v>1</v>
      </c>
      <c r="F377" s="14">
        <v>45955</v>
      </c>
      <c r="G377" s="11">
        <f>IF(Table1[[#This Row],[Pre-Booking Date]]&lt;&gt;"",1,0)</f>
        <v>1</v>
      </c>
      <c r="H377" s="4">
        <v>45960</v>
      </c>
      <c r="I377" s="11">
        <f>IF(Table1[[#This Row],[Booking Date]]&lt;&gt;"",1,0)</f>
        <v>1</v>
      </c>
      <c r="J377" s="30">
        <v>45966</v>
      </c>
      <c r="K377" s="11">
        <f>IF(Table1[[#This Row],[Delivery Date]]&lt;&gt;"",1,0)</f>
        <v>1</v>
      </c>
      <c r="L377" s="3" t="s">
        <v>2</v>
      </c>
      <c r="M377" s="3">
        <f>IF(Table1[[#This Row],[Cancellation Status]]&lt;&gt;"Yes",1,0)</f>
        <v>1</v>
      </c>
      <c r="O377" s="30">
        <v>45976</v>
      </c>
      <c r="P377" s="3">
        <v>5</v>
      </c>
      <c r="Q377" s="3">
        <v>5</v>
      </c>
      <c r="R377" s="3">
        <v>6</v>
      </c>
      <c r="S377" s="3">
        <v>0</v>
      </c>
      <c r="T37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77" t="str">
        <f>IF(Table1[[#This Row],[Customer Rating]]&gt;=9,"Promoter",IF(Table1[[#This Row],[Customer Rating]]&gt;=7,"Passive","Detractor"))</f>
        <v>Detractor</v>
      </c>
    </row>
    <row r="378" spans="1:21" ht="14.25" customHeight="1" x14ac:dyDescent="0.3">
      <c r="A378" s="3" t="s">
        <v>413</v>
      </c>
      <c r="B378" s="3" t="s">
        <v>32</v>
      </c>
      <c r="C378" s="3" t="s">
        <v>27</v>
      </c>
      <c r="D378" s="14">
        <v>45950</v>
      </c>
      <c r="E378" s="11">
        <f>1</f>
        <v>1</v>
      </c>
      <c r="F378" s="14">
        <v>45951</v>
      </c>
      <c r="G378" s="11">
        <f>IF(Table1[[#This Row],[Pre-Booking Date]]&lt;&gt;"",1,0)</f>
        <v>1</v>
      </c>
      <c r="H378" s="4">
        <v>45955</v>
      </c>
      <c r="I378" s="11">
        <f>IF(Table1[[#This Row],[Booking Date]]&lt;&gt;"",1,0)</f>
        <v>1</v>
      </c>
      <c r="J378" s="30">
        <v>45957</v>
      </c>
      <c r="K378" s="11">
        <f>IF(Table1[[#This Row],[Delivery Date]]&lt;&gt;"",1,0)</f>
        <v>1</v>
      </c>
      <c r="L378" s="3" t="s">
        <v>2</v>
      </c>
      <c r="M378" s="3">
        <f>IF(Table1[[#This Row],[Cancellation Status]]&lt;&gt;"Yes",1,0)</f>
        <v>1</v>
      </c>
      <c r="O378" s="30">
        <v>45973</v>
      </c>
      <c r="P378" s="3">
        <v>1</v>
      </c>
      <c r="Q378" s="3">
        <v>4</v>
      </c>
      <c r="R378" s="3">
        <v>2</v>
      </c>
      <c r="S378" s="3">
        <v>6</v>
      </c>
      <c r="T37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78" t="str">
        <f>IF(Table1[[#This Row],[Customer Rating]]&gt;=9,"Promoter",IF(Table1[[#This Row],[Customer Rating]]&gt;=7,"Passive","Detractor"))</f>
        <v>Detractor</v>
      </c>
    </row>
    <row r="379" spans="1:21" ht="14.25" customHeight="1" x14ac:dyDescent="0.3">
      <c r="A379" s="3" t="s">
        <v>414</v>
      </c>
      <c r="B379" s="3" t="s">
        <v>32</v>
      </c>
      <c r="C379" s="3" t="s">
        <v>33</v>
      </c>
      <c r="D379" s="14">
        <v>45950</v>
      </c>
      <c r="E379" s="11">
        <f>1</f>
        <v>1</v>
      </c>
      <c r="G379" s="12">
        <f>IF(Table1[[#This Row],[Pre-Booking Date]]&lt;&gt;"",1,0)</f>
        <v>0</v>
      </c>
      <c r="I379" s="12">
        <f>IF(Table1[[#This Row],[Booking Date]]&lt;&gt;"",1,0)</f>
        <v>0</v>
      </c>
      <c r="K379" s="12">
        <f>IF(Table1[[#This Row],[Delivery Date]]&lt;&gt;"",1,0)</f>
        <v>0</v>
      </c>
      <c r="L379" s="3" t="s">
        <v>3</v>
      </c>
      <c r="M379" s="3">
        <f>IF(Table1[[#This Row],[Cancellation Status]]&lt;&gt;"Yes",1,0)</f>
        <v>0</v>
      </c>
      <c r="N379" s="3" t="s">
        <v>34</v>
      </c>
      <c r="T37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79" t="str">
        <f>IF(Table1[[#This Row],[Customer Rating]]&gt;=9,"Promoter",IF(Table1[[#This Row],[Customer Rating]]&gt;=7,"Passive","Detractor"))</f>
        <v>Detractor</v>
      </c>
    </row>
    <row r="380" spans="1:21" ht="14.25" customHeight="1" x14ac:dyDescent="0.3">
      <c r="A380" s="3" t="s">
        <v>415</v>
      </c>
      <c r="B380" s="3" t="s">
        <v>32</v>
      </c>
      <c r="C380" s="3" t="s">
        <v>27</v>
      </c>
      <c r="D380" s="14">
        <v>45950</v>
      </c>
      <c r="E380" s="11">
        <f>1</f>
        <v>1</v>
      </c>
      <c r="F380" s="14">
        <v>45953</v>
      </c>
      <c r="G380" s="11">
        <f>IF(Table1[[#This Row],[Pre-Booking Date]]&lt;&gt;"",1,0)</f>
        <v>1</v>
      </c>
      <c r="H380" s="4">
        <v>45956</v>
      </c>
      <c r="I380" s="11">
        <f>IF(Table1[[#This Row],[Booking Date]]&lt;&gt;"",1,0)</f>
        <v>1</v>
      </c>
      <c r="J380" s="30">
        <v>45960</v>
      </c>
      <c r="K380" s="11">
        <f>IF(Table1[[#This Row],[Delivery Date]]&lt;&gt;"",1,0)</f>
        <v>1</v>
      </c>
      <c r="L380" s="3" t="s">
        <v>2</v>
      </c>
      <c r="M380" s="3">
        <f>IF(Table1[[#This Row],[Cancellation Status]]&lt;&gt;"Yes",1,0)</f>
        <v>1</v>
      </c>
      <c r="O380" s="30">
        <v>45982</v>
      </c>
      <c r="P380" s="3">
        <v>3</v>
      </c>
      <c r="Q380" s="3">
        <v>3</v>
      </c>
      <c r="R380" s="3">
        <v>4</v>
      </c>
      <c r="S380" s="3">
        <v>6</v>
      </c>
      <c r="T38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80" t="str">
        <f>IF(Table1[[#This Row],[Customer Rating]]&gt;=9,"Promoter",IF(Table1[[#This Row],[Customer Rating]]&gt;=7,"Passive","Detractor"))</f>
        <v>Detractor</v>
      </c>
    </row>
    <row r="381" spans="1:21" ht="14.25" customHeight="1" x14ac:dyDescent="0.3">
      <c r="A381" s="3" t="s">
        <v>416</v>
      </c>
      <c r="B381" s="3" t="s">
        <v>26</v>
      </c>
      <c r="C381" s="3" t="s">
        <v>27</v>
      </c>
      <c r="D381" s="14">
        <v>45950</v>
      </c>
      <c r="E381" s="11">
        <f>1</f>
        <v>1</v>
      </c>
      <c r="F381" s="14">
        <v>45953</v>
      </c>
      <c r="G381" s="11">
        <f>IF(Table1[[#This Row],[Pre-Booking Date]]&lt;&gt;"",1,0)</f>
        <v>1</v>
      </c>
      <c r="H381" s="4">
        <v>45957</v>
      </c>
      <c r="I381" s="11">
        <f>IF(Table1[[#This Row],[Booking Date]]&lt;&gt;"",1,0)</f>
        <v>1</v>
      </c>
      <c r="J381" s="30">
        <v>45960</v>
      </c>
      <c r="K381" s="11">
        <f>IF(Table1[[#This Row],[Delivery Date]]&lt;&gt;"",1,0)</f>
        <v>1</v>
      </c>
      <c r="L381" s="3" t="s">
        <v>2</v>
      </c>
      <c r="M381" s="3">
        <f>IF(Table1[[#This Row],[Cancellation Status]]&lt;&gt;"Yes",1,0)</f>
        <v>1</v>
      </c>
      <c r="O381" s="30">
        <v>45979</v>
      </c>
      <c r="P381" s="3">
        <v>3</v>
      </c>
      <c r="Q381" s="3">
        <v>4</v>
      </c>
      <c r="R381" s="3">
        <v>3</v>
      </c>
      <c r="S381" s="3">
        <v>7</v>
      </c>
      <c r="T38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81" t="str">
        <f>IF(Table1[[#This Row],[Customer Rating]]&gt;=9,"Promoter",IF(Table1[[#This Row],[Customer Rating]]&gt;=7,"Passive","Detractor"))</f>
        <v>Passive</v>
      </c>
    </row>
    <row r="382" spans="1:21" ht="14.25" customHeight="1" x14ac:dyDescent="0.3">
      <c r="A382" s="3" t="s">
        <v>417</v>
      </c>
      <c r="B382" s="3" t="s">
        <v>29</v>
      </c>
      <c r="C382" s="3" t="s">
        <v>27</v>
      </c>
      <c r="D382" s="14">
        <v>45950</v>
      </c>
      <c r="E382" s="11">
        <f>1</f>
        <v>1</v>
      </c>
      <c r="F382" s="14">
        <v>45953</v>
      </c>
      <c r="G382" s="11">
        <f>IF(Table1[[#This Row],[Pre-Booking Date]]&lt;&gt;"",1,0)</f>
        <v>1</v>
      </c>
      <c r="H382" s="4">
        <v>45958</v>
      </c>
      <c r="I382" s="11">
        <f>IF(Table1[[#This Row],[Booking Date]]&lt;&gt;"",1,0)</f>
        <v>1</v>
      </c>
      <c r="J382" s="30">
        <v>45962</v>
      </c>
      <c r="K382" s="11">
        <f>IF(Table1[[#This Row],[Delivery Date]]&lt;&gt;"",1,0)</f>
        <v>1</v>
      </c>
      <c r="L382" s="3" t="s">
        <v>2</v>
      </c>
      <c r="M382" s="3">
        <f>IF(Table1[[#This Row],[Cancellation Status]]&lt;&gt;"Yes",1,0)</f>
        <v>1</v>
      </c>
      <c r="O382" s="30">
        <v>45990</v>
      </c>
      <c r="P382" s="3">
        <v>3</v>
      </c>
      <c r="Q382" s="3">
        <v>5</v>
      </c>
      <c r="R382" s="3">
        <v>4</v>
      </c>
      <c r="S382" s="3">
        <v>10</v>
      </c>
      <c r="T38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82" t="str">
        <f>IF(Table1[[#This Row],[Customer Rating]]&gt;=9,"Promoter",IF(Table1[[#This Row],[Customer Rating]]&gt;=7,"Passive","Detractor"))</f>
        <v>Promoter</v>
      </c>
    </row>
    <row r="383" spans="1:21" ht="14.25" customHeight="1" x14ac:dyDescent="0.3">
      <c r="A383" s="3" t="s">
        <v>418</v>
      </c>
      <c r="B383" s="3" t="s">
        <v>26</v>
      </c>
      <c r="C383" s="3" t="s">
        <v>30</v>
      </c>
      <c r="D383" s="14">
        <v>45950</v>
      </c>
      <c r="E383" s="11">
        <f>1</f>
        <v>1</v>
      </c>
      <c r="F383" s="14">
        <v>45952</v>
      </c>
      <c r="G383" s="11">
        <f>IF(Table1[[#This Row],[Pre-Booking Date]]&lt;&gt;"",1,0)</f>
        <v>1</v>
      </c>
      <c r="H383" s="4">
        <v>45955</v>
      </c>
      <c r="I383" s="11">
        <f>IF(Table1[[#This Row],[Booking Date]]&lt;&gt;"",1,0)</f>
        <v>1</v>
      </c>
      <c r="J383" s="30">
        <v>45957</v>
      </c>
      <c r="K383" s="11">
        <f>IF(Table1[[#This Row],[Delivery Date]]&lt;&gt;"",1,0)</f>
        <v>1</v>
      </c>
      <c r="L383" s="3" t="s">
        <v>2</v>
      </c>
      <c r="M383" s="3">
        <f>IF(Table1[[#This Row],[Cancellation Status]]&lt;&gt;"Yes",1,0)</f>
        <v>1</v>
      </c>
      <c r="O383" s="30">
        <v>45973</v>
      </c>
      <c r="P383" s="3">
        <v>2</v>
      </c>
      <c r="Q383" s="3">
        <v>3</v>
      </c>
      <c r="R383" s="3">
        <v>2</v>
      </c>
      <c r="S383" s="3">
        <v>8</v>
      </c>
      <c r="T38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83" t="str">
        <f>IF(Table1[[#This Row],[Customer Rating]]&gt;=9,"Promoter",IF(Table1[[#This Row],[Customer Rating]]&gt;=7,"Passive","Detractor"))</f>
        <v>Passive</v>
      </c>
    </row>
    <row r="384" spans="1:21" ht="14.25" customHeight="1" x14ac:dyDescent="0.3">
      <c r="A384" s="3" t="s">
        <v>419</v>
      </c>
      <c r="B384" s="3" t="s">
        <v>29</v>
      </c>
      <c r="C384" s="3" t="s">
        <v>27</v>
      </c>
      <c r="D384" s="14">
        <v>45950</v>
      </c>
      <c r="E384" s="11">
        <f>1</f>
        <v>1</v>
      </c>
      <c r="F384" s="14">
        <v>45955</v>
      </c>
      <c r="G384" s="11">
        <f>IF(Table1[[#This Row],[Pre-Booking Date]]&lt;&gt;"",1,0)</f>
        <v>1</v>
      </c>
      <c r="H384" s="4">
        <v>45956</v>
      </c>
      <c r="I384" s="11">
        <f>IF(Table1[[#This Row],[Booking Date]]&lt;&gt;"",1,0)</f>
        <v>1</v>
      </c>
      <c r="J384" s="30">
        <v>45958</v>
      </c>
      <c r="K384" s="11">
        <f>IF(Table1[[#This Row],[Delivery Date]]&lt;&gt;"",1,0)</f>
        <v>1</v>
      </c>
      <c r="L384" s="3" t="s">
        <v>2</v>
      </c>
      <c r="M384" s="3">
        <f>IF(Table1[[#This Row],[Cancellation Status]]&lt;&gt;"Yes",1,0)</f>
        <v>1</v>
      </c>
      <c r="O384" s="30">
        <v>45978</v>
      </c>
      <c r="P384" s="3">
        <v>5</v>
      </c>
      <c r="Q384" s="3">
        <v>1</v>
      </c>
      <c r="R384" s="3">
        <v>2</v>
      </c>
      <c r="S384" s="3">
        <v>2</v>
      </c>
      <c r="T38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84" t="str">
        <f>IF(Table1[[#This Row],[Customer Rating]]&gt;=9,"Promoter",IF(Table1[[#This Row],[Customer Rating]]&gt;=7,"Passive","Detractor"))</f>
        <v>Detractor</v>
      </c>
    </row>
    <row r="385" spans="1:21" ht="14.25" customHeight="1" x14ac:dyDescent="0.3">
      <c r="A385" s="3" t="s">
        <v>420</v>
      </c>
      <c r="B385" s="3" t="s">
        <v>26</v>
      </c>
      <c r="C385" s="3" t="s">
        <v>30</v>
      </c>
      <c r="D385" s="14">
        <v>45950</v>
      </c>
      <c r="E385" s="11">
        <f>1</f>
        <v>1</v>
      </c>
      <c r="F385" s="14">
        <v>45952</v>
      </c>
      <c r="G385" s="11">
        <f>IF(Table1[[#This Row],[Pre-Booking Date]]&lt;&gt;"",1,0)</f>
        <v>1</v>
      </c>
      <c r="H385" s="4">
        <v>45953</v>
      </c>
      <c r="I385" s="11">
        <f>IF(Table1[[#This Row],[Booking Date]]&lt;&gt;"",1,0)</f>
        <v>1</v>
      </c>
      <c r="J385" s="30">
        <v>45955</v>
      </c>
      <c r="K385" s="11">
        <f>IF(Table1[[#This Row],[Delivery Date]]&lt;&gt;"",1,0)</f>
        <v>1</v>
      </c>
      <c r="L385" s="3" t="s">
        <v>2</v>
      </c>
      <c r="M385" s="3">
        <f>IF(Table1[[#This Row],[Cancellation Status]]&lt;&gt;"Yes",1,0)</f>
        <v>1</v>
      </c>
      <c r="O385" s="30">
        <v>45980</v>
      </c>
      <c r="P385" s="3">
        <v>2</v>
      </c>
      <c r="Q385" s="3">
        <v>1</v>
      </c>
      <c r="R385" s="3">
        <v>2</v>
      </c>
      <c r="S385" s="3">
        <v>7</v>
      </c>
      <c r="T38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85" t="str">
        <f>IF(Table1[[#This Row],[Customer Rating]]&gt;=9,"Promoter",IF(Table1[[#This Row],[Customer Rating]]&gt;=7,"Passive","Detractor"))</f>
        <v>Passive</v>
      </c>
    </row>
    <row r="386" spans="1:21" ht="14.25" customHeight="1" x14ac:dyDescent="0.3">
      <c r="A386" s="3" t="s">
        <v>421</v>
      </c>
      <c r="B386" s="3" t="s">
        <v>32</v>
      </c>
      <c r="C386" s="3" t="s">
        <v>30</v>
      </c>
      <c r="D386" s="14">
        <v>45950</v>
      </c>
      <c r="E386" s="11">
        <f>1</f>
        <v>1</v>
      </c>
      <c r="F386" s="14">
        <v>45953</v>
      </c>
      <c r="G386" s="11">
        <f>IF(Table1[[#This Row],[Pre-Booking Date]]&lt;&gt;"",1,0)</f>
        <v>1</v>
      </c>
      <c r="H386" s="4">
        <v>45957</v>
      </c>
      <c r="I386" s="11">
        <f>IF(Table1[[#This Row],[Booking Date]]&lt;&gt;"",1,0)</f>
        <v>1</v>
      </c>
      <c r="J386" s="30">
        <v>45959</v>
      </c>
      <c r="K386" s="11">
        <f>IF(Table1[[#This Row],[Delivery Date]]&lt;&gt;"",1,0)</f>
        <v>1</v>
      </c>
      <c r="L386" s="3" t="s">
        <v>3</v>
      </c>
      <c r="M386" s="3">
        <f>IF(Table1[[#This Row],[Cancellation Status]]&lt;&gt;"Yes",1,0)</f>
        <v>0</v>
      </c>
      <c r="N386" s="3" t="s">
        <v>34</v>
      </c>
      <c r="P386" s="3">
        <v>3</v>
      </c>
      <c r="Q386" s="3">
        <v>4</v>
      </c>
      <c r="R386" s="3">
        <v>2</v>
      </c>
      <c r="T38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86" t="str">
        <f>IF(Table1[[#This Row],[Customer Rating]]&gt;=9,"Promoter",IF(Table1[[#This Row],[Customer Rating]]&gt;=7,"Passive","Detractor"))</f>
        <v>Detractor</v>
      </c>
    </row>
    <row r="387" spans="1:21" ht="14.25" customHeight="1" x14ac:dyDescent="0.3">
      <c r="A387" s="3" t="s">
        <v>422</v>
      </c>
      <c r="B387" s="3" t="s">
        <v>39</v>
      </c>
      <c r="C387" s="3" t="s">
        <v>30</v>
      </c>
      <c r="D387" s="14">
        <v>45950</v>
      </c>
      <c r="E387" s="11">
        <f>1</f>
        <v>1</v>
      </c>
      <c r="F387" s="14">
        <v>45955</v>
      </c>
      <c r="G387" s="11">
        <f>IF(Table1[[#This Row],[Pre-Booking Date]]&lt;&gt;"",1,0)</f>
        <v>1</v>
      </c>
      <c r="H387" s="4">
        <v>45958</v>
      </c>
      <c r="I387" s="11">
        <f>IF(Table1[[#This Row],[Booking Date]]&lt;&gt;"",1,0)</f>
        <v>1</v>
      </c>
      <c r="J387" s="30">
        <v>45960</v>
      </c>
      <c r="K387" s="11">
        <f>IF(Table1[[#This Row],[Delivery Date]]&lt;&gt;"",1,0)</f>
        <v>1</v>
      </c>
      <c r="L387" s="3" t="s">
        <v>2</v>
      </c>
      <c r="M387" s="3">
        <f>IF(Table1[[#This Row],[Cancellation Status]]&lt;&gt;"Yes",1,0)</f>
        <v>1</v>
      </c>
      <c r="O387" s="30">
        <v>45973</v>
      </c>
      <c r="P387" s="3">
        <v>5</v>
      </c>
      <c r="Q387" s="3">
        <v>3</v>
      </c>
      <c r="R387" s="3">
        <v>2</v>
      </c>
      <c r="S387" s="3">
        <v>9</v>
      </c>
      <c r="T38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87" t="str">
        <f>IF(Table1[[#This Row],[Customer Rating]]&gt;=9,"Promoter",IF(Table1[[#This Row],[Customer Rating]]&gt;=7,"Passive","Detractor"))</f>
        <v>Promoter</v>
      </c>
    </row>
    <row r="388" spans="1:21" ht="14.25" customHeight="1" x14ac:dyDescent="0.3">
      <c r="A388" s="3" t="s">
        <v>423</v>
      </c>
      <c r="B388" s="3" t="s">
        <v>29</v>
      </c>
      <c r="C388" s="3" t="s">
        <v>27</v>
      </c>
      <c r="D388" s="14">
        <v>45950</v>
      </c>
      <c r="E388" s="11">
        <f>1</f>
        <v>1</v>
      </c>
      <c r="F388" s="14">
        <v>45955</v>
      </c>
      <c r="G388" s="11">
        <f>IF(Table1[[#This Row],[Pre-Booking Date]]&lt;&gt;"",1,0)</f>
        <v>1</v>
      </c>
      <c r="H388" s="4">
        <v>45957</v>
      </c>
      <c r="I388" s="11">
        <f>IF(Table1[[#This Row],[Booking Date]]&lt;&gt;"",1,0)</f>
        <v>1</v>
      </c>
      <c r="J388" s="30">
        <v>45964</v>
      </c>
      <c r="K388" s="11">
        <f>IF(Table1[[#This Row],[Delivery Date]]&lt;&gt;"",1,0)</f>
        <v>1</v>
      </c>
      <c r="L388" s="3" t="s">
        <v>2</v>
      </c>
      <c r="M388" s="3">
        <f>IF(Table1[[#This Row],[Cancellation Status]]&lt;&gt;"Yes",1,0)</f>
        <v>1</v>
      </c>
      <c r="O388" s="30">
        <v>45974</v>
      </c>
      <c r="P388" s="3">
        <v>5</v>
      </c>
      <c r="Q388" s="3">
        <v>2</v>
      </c>
      <c r="R388" s="3">
        <v>7</v>
      </c>
      <c r="S388" s="3">
        <v>7</v>
      </c>
      <c r="T38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88" t="str">
        <f>IF(Table1[[#This Row],[Customer Rating]]&gt;=9,"Promoter",IF(Table1[[#This Row],[Customer Rating]]&gt;=7,"Passive","Detractor"))</f>
        <v>Passive</v>
      </c>
    </row>
    <row r="389" spans="1:21" ht="14.25" customHeight="1" x14ac:dyDescent="0.3">
      <c r="A389" s="3" t="s">
        <v>424</v>
      </c>
      <c r="B389" s="3" t="s">
        <v>32</v>
      </c>
      <c r="C389" s="3" t="s">
        <v>27</v>
      </c>
      <c r="D389" s="14">
        <v>45950</v>
      </c>
      <c r="E389" s="11">
        <f>1</f>
        <v>1</v>
      </c>
      <c r="F389" s="14">
        <v>45955</v>
      </c>
      <c r="G389" s="11">
        <f>IF(Table1[[#This Row],[Pre-Booking Date]]&lt;&gt;"",1,0)</f>
        <v>1</v>
      </c>
      <c r="H389" s="4">
        <v>45960</v>
      </c>
      <c r="I389" s="11">
        <f>IF(Table1[[#This Row],[Booking Date]]&lt;&gt;"",1,0)</f>
        <v>1</v>
      </c>
      <c r="J389" s="30">
        <v>45965</v>
      </c>
      <c r="K389" s="11">
        <f>IF(Table1[[#This Row],[Delivery Date]]&lt;&gt;"",1,0)</f>
        <v>1</v>
      </c>
      <c r="L389" s="3" t="s">
        <v>2</v>
      </c>
      <c r="M389" s="3">
        <f>IF(Table1[[#This Row],[Cancellation Status]]&lt;&gt;"Yes",1,0)</f>
        <v>1</v>
      </c>
      <c r="O389" s="30">
        <v>45983</v>
      </c>
      <c r="P389" s="3">
        <v>5</v>
      </c>
      <c r="Q389" s="3">
        <v>5</v>
      </c>
      <c r="R389" s="3">
        <v>5</v>
      </c>
      <c r="S389" s="3">
        <v>4</v>
      </c>
      <c r="T38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89" t="str">
        <f>IF(Table1[[#This Row],[Customer Rating]]&gt;=9,"Promoter",IF(Table1[[#This Row],[Customer Rating]]&gt;=7,"Passive","Detractor"))</f>
        <v>Detractor</v>
      </c>
    </row>
    <row r="390" spans="1:21" ht="14.25" customHeight="1" x14ac:dyDescent="0.3">
      <c r="A390" s="3" t="s">
        <v>425</v>
      </c>
      <c r="B390" s="3" t="s">
        <v>29</v>
      </c>
      <c r="C390" s="3" t="s">
        <v>27</v>
      </c>
      <c r="D390" s="14">
        <v>45950</v>
      </c>
      <c r="E390" s="11">
        <f>1</f>
        <v>1</v>
      </c>
      <c r="F390" s="14">
        <v>45952</v>
      </c>
      <c r="G390" s="11">
        <f>IF(Table1[[#This Row],[Pre-Booking Date]]&lt;&gt;"",1,0)</f>
        <v>1</v>
      </c>
      <c r="H390" s="4">
        <v>45955</v>
      </c>
      <c r="I390" s="11">
        <f>IF(Table1[[#This Row],[Booking Date]]&lt;&gt;"",1,0)</f>
        <v>1</v>
      </c>
      <c r="J390" s="30">
        <v>45958</v>
      </c>
      <c r="K390" s="11">
        <f>IF(Table1[[#This Row],[Delivery Date]]&lt;&gt;"",1,0)</f>
        <v>1</v>
      </c>
      <c r="L390" s="3" t="s">
        <v>2</v>
      </c>
      <c r="M390" s="3">
        <f>IF(Table1[[#This Row],[Cancellation Status]]&lt;&gt;"Yes",1,0)</f>
        <v>1</v>
      </c>
      <c r="O390" s="30">
        <v>45983</v>
      </c>
      <c r="P390" s="3">
        <v>2</v>
      </c>
      <c r="Q390" s="3">
        <v>3</v>
      </c>
      <c r="R390" s="3">
        <v>3</v>
      </c>
      <c r="S390" s="3">
        <v>9</v>
      </c>
      <c r="T39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90" t="str">
        <f>IF(Table1[[#This Row],[Customer Rating]]&gt;=9,"Promoter",IF(Table1[[#This Row],[Customer Rating]]&gt;=7,"Passive","Detractor"))</f>
        <v>Promoter</v>
      </c>
    </row>
    <row r="391" spans="1:21" ht="14.25" customHeight="1" x14ac:dyDescent="0.3">
      <c r="A391" s="3" t="s">
        <v>426</v>
      </c>
      <c r="B391" s="3" t="s">
        <v>29</v>
      </c>
      <c r="C391" s="3" t="s">
        <v>27</v>
      </c>
      <c r="D391" s="14">
        <v>45950</v>
      </c>
      <c r="E391" s="11">
        <f>1</f>
        <v>1</v>
      </c>
      <c r="F391" s="14">
        <v>45955</v>
      </c>
      <c r="G391" s="11">
        <f>IF(Table1[[#This Row],[Pre-Booking Date]]&lt;&gt;"",1,0)</f>
        <v>1</v>
      </c>
      <c r="H391" s="4">
        <v>45959</v>
      </c>
      <c r="I391" s="11">
        <f>IF(Table1[[#This Row],[Booking Date]]&lt;&gt;"",1,0)</f>
        <v>1</v>
      </c>
      <c r="J391" s="30">
        <v>45965</v>
      </c>
      <c r="K391" s="11">
        <f>IF(Table1[[#This Row],[Delivery Date]]&lt;&gt;"",1,0)</f>
        <v>1</v>
      </c>
      <c r="L391" s="3" t="s">
        <v>2</v>
      </c>
      <c r="M391" s="3">
        <f>IF(Table1[[#This Row],[Cancellation Status]]&lt;&gt;"Yes",1,0)</f>
        <v>1</v>
      </c>
      <c r="O391" s="30">
        <v>45994</v>
      </c>
      <c r="P391" s="3">
        <v>5</v>
      </c>
      <c r="Q391" s="3">
        <v>4</v>
      </c>
      <c r="R391" s="3">
        <v>6</v>
      </c>
      <c r="S391" s="3">
        <v>6</v>
      </c>
      <c r="T39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91" t="str">
        <f>IF(Table1[[#This Row],[Customer Rating]]&gt;=9,"Promoter",IF(Table1[[#This Row],[Customer Rating]]&gt;=7,"Passive","Detractor"))</f>
        <v>Detractor</v>
      </c>
    </row>
    <row r="392" spans="1:21" ht="14.25" customHeight="1" x14ac:dyDescent="0.3">
      <c r="A392" s="3" t="s">
        <v>427</v>
      </c>
      <c r="B392" s="3" t="s">
        <v>39</v>
      </c>
      <c r="C392" s="3" t="s">
        <v>27</v>
      </c>
      <c r="D392" s="14">
        <v>45950</v>
      </c>
      <c r="E392" s="11">
        <f>1</f>
        <v>1</v>
      </c>
      <c r="F392" s="14">
        <v>45954</v>
      </c>
      <c r="G392" s="11">
        <f>IF(Table1[[#This Row],[Pre-Booking Date]]&lt;&gt;"",1,0)</f>
        <v>1</v>
      </c>
      <c r="H392" s="4">
        <v>45957</v>
      </c>
      <c r="I392" s="11">
        <f>IF(Table1[[#This Row],[Booking Date]]&lt;&gt;"",1,0)</f>
        <v>1</v>
      </c>
      <c r="J392" s="30">
        <v>45961</v>
      </c>
      <c r="K392" s="11">
        <f>IF(Table1[[#This Row],[Delivery Date]]&lt;&gt;"",1,0)</f>
        <v>1</v>
      </c>
      <c r="L392" s="3" t="s">
        <v>3</v>
      </c>
      <c r="M392" s="3">
        <f>IF(Table1[[#This Row],[Cancellation Status]]&lt;&gt;"Yes",1,0)</f>
        <v>0</v>
      </c>
      <c r="N392" s="3" t="s">
        <v>34</v>
      </c>
      <c r="P392" s="3">
        <v>4</v>
      </c>
      <c r="Q392" s="3">
        <v>3</v>
      </c>
      <c r="R392" s="3">
        <v>4</v>
      </c>
      <c r="T39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92" t="str">
        <f>IF(Table1[[#This Row],[Customer Rating]]&gt;=9,"Promoter",IF(Table1[[#This Row],[Customer Rating]]&gt;=7,"Passive","Detractor"))</f>
        <v>Detractor</v>
      </c>
    </row>
    <row r="393" spans="1:21" ht="14.25" customHeight="1" x14ac:dyDescent="0.3">
      <c r="A393" s="3" t="s">
        <v>428</v>
      </c>
      <c r="B393" s="3" t="s">
        <v>26</v>
      </c>
      <c r="C393" s="3" t="s">
        <v>33</v>
      </c>
      <c r="D393" s="14">
        <v>45950</v>
      </c>
      <c r="E393" s="11">
        <f>1</f>
        <v>1</v>
      </c>
      <c r="G393" s="12">
        <f>IF(Table1[[#This Row],[Pre-Booking Date]]&lt;&gt;"",1,0)</f>
        <v>0</v>
      </c>
      <c r="I393" s="12">
        <f>IF(Table1[[#This Row],[Booking Date]]&lt;&gt;"",1,0)</f>
        <v>0</v>
      </c>
      <c r="K393" s="12">
        <f>IF(Table1[[#This Row],[Delivery Date]]&lt;&gt;"",1,0)</f>
        <v>0</v>
      </c>
      <c r="L393" s="3" t="s">
        <v>3</v>
      </c>
      <c r="M393" s="3">
        <f>IF(Table1[[#This Row],[Cancellation Status]]&lt;&gt;"Yes",1,0)</f>
        <v>0</v>
      </c>
      <c r="N393" s="3" t="s">
        <v>52</v>
      </c>
      <c r="T39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93" t="str">
        <f>IF(Table1[[#This Row],[Customer Rating]]&gt;=9,"Promoter",IF(Table1[[#This Row],[Customer Rating]]&gt;=7,"Passive","Detractor"))</f>
        <v>Detractor</v>
      </c>
    </row>
    <row r="394" spans="1:21" ht="14.25" customHeight="1" x14ac:dyDescent="0.3">
      <c r="A394" s="3" t="s">
        <v>429</v>
      </c>
      <c r="B394" s="3" t="s">
        <v>26</v>
      </c>
      <c r="C394" s="3" t="s">
        <v>33</v>
      </c>
      <c r="D394" s="14">
        <v>45949</v>
      </c>
      <c r="E394" s="11">
        <f>1</f>
        <v>1</v>
      </c>
      <c r="G394" s="12">
        <f>IF(Table1[[#This Row],[Pre-Booking Date]]&lt;&gt;"",1,0)</f>
        <v>0</v>
      </c>
      <c r="I394" s="12">
        <f>IF(Table1[[#This Row],[Booking Date]]&lt;&gt;"",1,0)</f>
        <v>0</v>
      </c>
      <c r="K394" s="12">
        <f>IF(Table1[[#This Row],[Delivery Date]]&lt;&gt;"",1,0)</f>
        <v>0</v>
      </c>
      <c r="L394" s="3" t="s">
        <v>3</v>
      </c>
      <c r="M394" s="3">
        <f>IF(Table1[[#This Row],[Cancellation Status]]&lt;&gt;"Yes",1,0)</f>
        <v>0</v>
      </c>
      <c r="N394" s="3" t="s">
        <v>55</v>
      </c>
      <c r="T39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394" t="str">
        <f>IF(Table1[[#This Row],[Customer Rating]]&gt;=9,"Promoter",IF(Table1[[#This Row],[Customer Rating]]&gt;=7,"Passive","Detractor"))</f>
        <v>Detractor</v>
      </c>
    </row>
    <row r="395" spans="1:21" ht="14.25" customHeight="1" x14ac:dyDescent="0.3">
      <c r="A395" s="3" t="s">
        <v>430</v>
      </c>
      <c r="B395" s="3" t="s">
        <v>39</v>
      </c>
      <c r="C395" s="3" t="s">
        <v>30</v>
      </c>
      <c r="D395" s="14">
        <v>45949</v>
      </c>
      <c r="E395" s="11">
        <f>1</f>
        <v>1</v>
      </c>
      <c r="F395" s="14">
        <v>45951</v>
      </c>
      <c r="G395" s="11">
        <f>IF(Table1[[#This Row],[Pre-Booking Date]]&lt;&gt;"",1,0)</f>
        <v>1</v>
      </c>
      <c r="H395" s="4">
        <v>45956</v>
      </c>
      <c r="I395" s="11">
        <f>IF(Table1[[#This Row],[Booking Date]]&lt;&gt;"",1,0)</f>
        <v>1</v>
      </c>
      <c r="J395" s="30">
        <v>45962</v>
      </c>
      <c r="K395" s="11">
        <f>IF(Table1[[#This Row],[Delivery Date]]&lt;&gt;"",1,0)</f>
        <v>1</v>
      </c>
      <c r="L395" s="3" t="s">
        <v>2</v>
      </c>
      <c r="M395" s="3">
        <f>IF(Table1[[#This Row],[Cancellation Status]]&lt;&gt;"Yes",1,0)</f>
        <v>1</v>
      </c>
      <c r="O395" s="30">
        <v>45981</v>
      </c>
      <c r="P395" s="3">
        <v>2</v>
      </c>
      <c r="Q395" s="3">
        <v>5</v>
      </c>
      <c r="R395" s="3">
        <v>6</v>
      </c>
      <c r="S395" s="3">
        <v>0</v>
      </c>
      <c r="T39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95" t="str">
        <f>IF(Table1[[#This Row],[Customer Rating]]&gt;=9,"Promoter",IF(Table1[[#This Row],[Customer Rating]]&gt;=7,"Passive","Detractor"))</f>
        <v>Detractor</v>
      </c>
    </row>
    <row r="396" spans="1:21" ht="14.25" customHeight="1" x14ac:dyDescent="0.3">
      <c r="A396" s="3" t="s">
        <v>431</v>
      </c>
      <c r="B396" s="3" t="s">
        <v>29</v>
      </c>
      <c r="C396" s="3" t="s">
        <v>27</v>
      </c>
      <c r="D396" s="14">
        <v>45949</v>
      </c>
      <c r="E396" s="11">
        <f>1</f>
        <v>1</v>
      </c>
      <c r="F396" s="14">
        <v>45952</v>
      </c>
      <c r="G396" s="11">
        <f>IF(Table1[[#This Row],[Pre-Booking Date]]&lt;&gt;"",1,0)</f>
        <v>1</v>
      </c>
      <c r="H396" s="4">
        <v>45957</v>
      </c>
      <c r="I396" s="11">
        <f>IF(Table1[[#This Row],[Booking Date]]&lt;&gt;"",1,0)</f>
        <v>1</v>
      </c>
      <c r="J396" s="30">
        <v>45964</v>
      </c>
      <c r="K396" s="11">
        <f>IF(Table1[[#This Row],[Delivery Date]]&lt;&gt;"",1,0)</f>
        <v>1</v>
      </c>
      <c r="L396" s="3" t="s">
        <v>2</v>
      </c>
      <c r="M396" s="3">
        <f>IF(Table1[[#This Row],[Cancellation Status]]&lt;&gt;"Yes",1,0)</f>
        <v>1</v>
      </c>
      <c r="O396" s="30">
        <v>45984</v>
      </c>
      <c r="P396" s="3">
        <v>3</v>
      </c>
      <c r="Q396" s="3">
        <v>5</v>
      </c>
      <c r="R396" s="3">
        <v>7</v>
      </c>
      <c r="S396" s="3">
        <v>10</v>
      </c>
      <c r="T39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96" t="str">
        <f>IF(Table1[[#This Row],[Customer Rating]]&gt;=9,"Promoter",IF(Table1[[#This Row],[Customer Rating]]&gt;=7,"Passive","Detractor"))</f>
        <v>Promoter</v>
      </c>
    </row>
    <row r="397" spans="1:21" ht="14.25" customHeight="1" x14ac:dyDescent="0.3">
      <c r="A397" s="3" t="s">
        <v>432</v>
      </c>
      <c r="B397" s="3" t="s">
        <v>39</v>
      </c>
      <c r="C397" s="3" t="s">
        <v>27</v>
      </c>
      <c r="D397" s="14">
        <v>45949</v>
      </c>
      <c r="E397" s="11">
        <f>1</f>
        <v>1</v>
      </c>
      <c r="F397" s="14">
        <v>45950</v>
      </c>
      <c r="G397" s="11">
        <f>IF(Table1[[#This Row],[Pre-Booking Date]]&lt;&gt;"",1,0)</f>
        <v>1</v>
      </c>
      <c r="H397" s="4">
        <v>45952</v>
      </c>
      <c r="I397" s="11">
        <f>IF(Table1[[#This Row],[Booking Date]]&lt;&gt;"",1,0)</f>
        <v>1</v>
      </c>
      <c r="J397" s="30">
        <v>45957</v>
      </c>
      <c r="K397" s="11">
        <f>IF(Table1[[#This Row],[Delivery Date]]&lt;&gt;"",1,0)</f>
        <v>1</v>
      </c>
      <c r="L397" s="3" t="s">
        <v>2</v>
      </c>
      <c r="M397" s="3">
        <f>IF(Table1[[#This Row],[Cancellation Status]]&lt;&gt;"Yes",1,0)</f>
        <v>1</v>
      </c>
      <c r="O397" s="30">
        <v>45981</v>
      </c>
      <c r="P397" s="3">
        <v>1</v>
      </c>
      <c r="Q397" s="3">
        <v>2</v>
      </c>
      <c r="R397" s="3">
        <v>5</v>
      </c>
      <c r="S397" s="3">
        <v>2</v>
      </c>
      <c r="T39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97" t="str">
        <f>IF(Table1[[#This Row],[Customer Rating]]&gt;=9,"Promoter",IF(Table1[[#This Row],[Customer Rating]]&gt;=7,"Passive","Detractor"))</f>
        <v>Detractor</v>
      </c>
    </row>
    <row r="398" spans="1:21" ht="14.25" customHeight="1" x14ac:dyDescent="0.3">
      <c r="A398" s="3" t="s">
        <v>433</v>
      </c>
      <c r="B398" s="3" t="s">
        <v>26</v>
      </c>
      <c r="C398" s="3" t="s">
        <v>27</v>
      </c>
      <c r="D398" s="14">
        <v>45949</v>
      </c>
      <c r="E398" s="11">
        <f>1</f>
        <v>1</v>
      </c>
      <c r="F398" s="14">
        <v>45950</v>
      </c>
      <c r="G398" s="11">
        <f>IF(Table1[[#This Row],[Pre-Booking Date]]&lt;&gt;"",1,0)</f>
        <v>1</v>
      </c>
      <c r="H398" s="4">
        <v>45951</v>
      </c>
      <c r="I398" s="11">
        <f>IF(Table1[[#This Row],[Booking Date]]&lt;&gt;"",1,0)</f>
        <v>1</v>
      </c>
      <c r="J398" s="30">
        <v>45953</v>
      </c>
      <c r="K398" s="11">
        <f>IF(Table1[[#This Row],[Delivery Date]]&lt;&gt;"",1,0)</f>
        <v>1</v>
      </c>
      <c r="L398" s="3" t="s">
        <v>2</v>
      </c>
      <c r="M398" s="3">
        <f>IF(Table1[[#This Row],[Cancellation Status]]&lt;&gt;"Yes",1,0)</f>
        <v>1</v>
      </c>
      <c r="O398" s="30">
        <v>45966</v>
      </c>
      <c r="P398" s="3">
        <v>1</v>
      </c>
      <c r="Q398" s="3">
        <v>1</v>
      </c>
      <c r="R398" s="3">
        <v>2</v>
      </c>
      <c r="S398" s="3">
        <v>2</v>
      </c>
      <c r="T39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98" t="str">
        <f>IF(Table1[[#This Row],[Customer Rating]]&gt;=9,"Promoter",IF(Table1[[#This Row],[Customer Rating]]&gt;=7,"Passive","Detractor"))</f>
        <v>Detractor</v>
      </c>
    </row>
    <row r="399" spans="1:21" ht="14.25" customHeight="1" x14ac:dyDescent="0.3">
      <c r="A399" s="3" t="s">
        <v>434</v>
      </c>
      <c r="B399" s="3" t="s">
        <v>29</v>
      </c>
      <c r="C399" s="3" t="s">
        <v>27</v>
      </c>
      <c r="D399" s="14">
        <v>45949</v>
      </c>
      <c r="E399" s="11">
        <f>1</f>
        <v>1</v>
      </c>
      <c r="F399" s="14">
        <v>45953</v>
      </c>
      <c r="G399" s="11">
        <f>IF(Table1[[#This Row],[Pre-Booking Date]]&lt;&gt;"",1,0)</f>
        <v>1</v>
      </c>
      <c r="H399" s="4">
        <v>45958</v>
      </c>
      <c r="I399" s="11">
        <f>IF(Table1[[#This Row],[Booking Date]]&lt;&gt;"",1,0)</f>
        <v>1</v>
      </c>
      <c r="J399" s="30">
        <v>45961</v>
      </c>
      <c r="K399" s="11">
        <f>IF(Table1[[#This Row],[Delivery Date]]&lt;&gt;"",1,0)</f>
        <v>1</v>
      </c>
      <c r="L399" s="3" t="s">
        <v>2</v>
      </c>
      <c r="M399" s="3">
        <f>IF(Table1[[#This Row],[Cancellation Status]]&lt;&gt;"Yes",1,0)</f>
        <v>1</v>
      </c>
      <c r="O399" s="30">
        <v>45984</v>
      </c>
      <c r="P399" s="3">
        <v>4</v>
      </c>
      <c r="Q399" s="3">
        <v>5</v>
      </c>
      <c r="R399" s="3">
        <v>3</v>
      </c>
      <c r="S399" s="3">
        <v>3</v>
      </c>
      <c r="T39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399" t="str">
        <f>IF(Table1[[#This Row],[Customer Rating]]&gt;=9,"Promoter",IF(Table1[[#This Row],[Customer Rating]]&gt;=7,"Passive","Detractor"))</f>
        <v>Detractor</v>
      </c>
    </row>
    <row r="400" spans="1:21" ht="14.25" customHeight="1" x14ac:dyDescent="0.3">
      <c r="A400" s="3" t="s">
        <v>435</v>
      </c>
      <c r="B400" s="3" t="s">
        <v>39</v>
      </c>
      <c r="C400" s="3" t="s">
        <v>27</v>
      </c>
      <c r="D400" s="14">
        <v>45949</v>
      </c>
      <c r="E400" s="11">
        <f>1</f>
        <v>1</v>
      </c>
      <c r="F400" s="14">
        <v>45954</v>
      </c>
      <c r="G400" s="11">
        <f>IF(Table1[[#This Row],[Pre-Booking Date]]&lt;&gt;"",1,0)</f>
        <v>1</v>
      </c>
      <c r="H400" s="4">
        <v>45958</v>
      </c>
      <c r="I400" s="11">
        <f>IF(Table1[[#This Row],[Booking Date]]&lt;&gt;"",1,0)</f>
        <v>1</v>
      </c>
      <c r="J400" s="30">
        <v>45962</v>
      </c>
      <c r="K400" s="11">
        <f>IF(Table1[[#This Row],[Delivery Date]]&lt;&gt;"",1,0)</f>
        <v>1</v>
      </c>
      <c r="L400" s="3" t="s">
        <v>2</v>
      </c>
      <c r="M400" s="3">
        <f>IF(Table1[[#This Row],[Cancellation Status]]&lt;&gt;"Yes",1,0)</f>
        <v>1</v>
      </c>
      <c r="O400" s="30">
        <v>45977</v>
      </c>
      <c r="P400" s="3">
        <v>5</v>
      </c>
      <c r="Q400" s="3">
        <v>4</v>
      </c>
      <c r="R400" s="3">
        <v>4</v>
      </c>
      <c r="S400" s="3">
        <v>10</v>
      </c>
      <c r="T40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00" t="str">
        <f>IF(Table1[[#This Row],[Customer Rating]]&gt;=9,"Promoter",IF(Table1[[#This Row],[Customer Rating]]&gt;=7,"Passive","Detractor"))</f>
        <v>Promoter</v>
      </c>
    </row>
    <row r="401" spans="1:21" ht="14.25" customHeight="1" x14ac:dyDescent="0.3">
      <c r="A401" s="3" t="s">
        <v>436</v>
      </c>
      <c r="B401" s="3" t="s">
        <v>29</v>
      </c>
      <c r="C401" s="3" t="s">
        <v>30</v>
      </c>
      <c r="D401" s="14">
        <v>45949</v>
      </c>
      <c r="E401" s="11">
        <f>1</f>
        <v>1</v>
      </c>
      <c r="F401" s="14">
        <v>45953</v>
      </c>
      <c r="G401" s="11">
        <f>IF(Table1[[#This Row],[Pre-Booking Date]]&lt;&gt;"",1,0)</f>
        <v>1</v>
      </c>
      <c r="H401" s="4">
        <v>45956</v>
      </c>
      <c r="I401" s="11">
        <f>IF(Table1[[#This Row],[Booking Date]]&lt;&gt;"",1,0)</f>
        <v>1</v>
      </c>
      <c r="J401" s="30">
        <v>45959</v>
      </c>
      <c r="K401" s="11">
        <f>IF(Table1[[#This Row],[Delivery Date]]&lt;&gt;"",1,0)</f>
        <v>1</v>
      </c>
      <c r="L401" s="3" t="s">
        <v>2</v>
      </c>
      <c r="M401" s="3">
        <f>IF(Table1[[#This Row],[Cancellation Status]]&lt;&gt;"Yes",1,0)</f>
        <v>1</v>
      </c>
      <c r="O401" s="30">
        <v>45970</v>
      </c>
      <c r="P401" s="3">
        <v>4</v>
      </c>
      <c r="Q401" s="3">
        <v>3</v>
      </c>
      <c r="R401" s="3">
        <v>3</v>
      </c>
      <c r="S401" s="3">
        <v>2</v>
      </c>
      <c r="T40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01" t="str">
        <f>IF(Table1[[#This Row],[Customer Rating]]&gt;=9,"Promoter",IF(Table1[[#This Row],[Customer Rating]]&gt;=7,"Passive","Detractor"))</f>
        <v>Detractor</v>
      </c>
    </row>
    <row r="402" spans="1:21" ht="14.25" customHeight="1" x14ac:dyDescent="0.3">
      <c r="A402" s="3" t="s">
        <v>437</v>
      </c>
      <c r="B402" s="3" t="s">
        <v>39</v>
      </c>
      <c r="C402" s="3" t="s">
        <v>30</v>
      </c>
      <c r="D402" s="14">
        <v>45949</v>
      </c>
      <c r="E402" s="11">
        <f>1</f>
        <v>1</v>
      </c>
      <c r="F402" s="14">
        <v>45954</v>
      </c>
      <c r="G402" s="11">
        <f>IF(Table1[[#This Row],[Pre-Booking Date]]&lt;&gt;"",1,0)</f>
        <v>1</v>
      </c>
      <c r="H402" s="4">
        <v>45957</v>
      </c>
      <c r="I402" s="11">
        <f>IF(Table1[[#This Row],[Booking Date]]&lt;&gt;"",1,0)</f>
        <v>1</v>
      </c>
      <c r="J402" s="30">
        <v>45960</v>
      </c>
      <c r="K402" s="11">
        <f>IF(Table1[[#This Row],[Delivery Date]]&lt;&gt;"",1,0)</f>
        <v>1</v>
      </c>
      <c r="L402" s="3" t="s">
        <v>2</v>
      </c>
      <c r="M402" s="3">
        <f>IF(Table1[[#This Row],[Cancellation Status]]&lt;&gt;"Yes",1,0)</f>
        <v>1</v>
      </c>
      <c r="O402" s="30">
        <v>45982</v>
      </c>
      <c r="P402" s="3">
        <v>5</v>
      </c>
      <c r="Q402" s="3">
        <v>3</v>
      </c>
      <c r="R402" s="3">
        <v>3</v>
      </c>
      <c r="S402" s="3">
        <v>0</v>
      </c>
      <c r="T40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02" t="str">
        <f>IF(Table1[[#This Row],[Customer Rating]]&gt;=9,"Promoter",IF(Table1[[#This Row],[Customer Rating]]&gt;=7,"Passive","Detractor"))</f>
        <v>Detractor</v>
      </c>
    </row>
    <row r="403" spans="1:21" ht="14.25" customHeight="1" x14ac:dyDescent="0.3">
      <c r="A403" s="3" t="s">
        <v>438</v>
      </c>
      <c r="B403" s="3" t="s">
        <v>32</v>
      </c>
      <c r="C403" s="3" t="s">
        <v>27</v>
      </c>
      <c r="D403" s="14">
        <v>45949</v>
      </c>
      <c r="E403" s="11">
        <f>1</f>
        <v>1</v>
      </c>
      <c r="F403" s="14">
        <v>45952</v>
      </c>
      <c r="G403" s="11">
        <f>IF(Table1[[#This Row],[Pre-Booking Date]]&lt;&gt;"",1,0)</f>
        <v>1</v>
      </c>
      <c r="H403" s="4">
        <v>45957</v>
      </c>
      <c r="I403" s="11">
        <f>IF(Table1[[#This Row],[Booking Date]]&lt;&gt;"",1,0)</f>
        <v>1</v>
      </c>
      <c r="J403" s="30">
        <v>45964</v>
      </c>
      <c r="K403" s="11">
        <f>IF(Table1[[#This Row],[Delivery Date]]&lt;&gt;"",1,0)</f>
        <v>1</v>
      </c>
      <c r="L403" s="3" t="s">
        <v>2</v>
      </c>
      <c r="M403" s="3">
        <f>IF(Table1[[#This Row],[Cancellation Status]]&lt;&gt;"Yes",1,0)</f>
        <v>1</v>
      </c>
      <c r="O403" s="30">
        <v>45976</v>
      </c>
      <c r="P403" s="3">
        <v>3</v>
      </c>
      <c r="Q403" s="3">
        <v>5</v>
      </c>
      <c r="R403" s="3">
        <v>7</v>
      </c>
      <c r="S403" s="3">
        <v>2</v>
      </c>
      <c r="T40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03" t="str">
        <f>IF(Table1[[#This Row],[Customer Rating]]&gt;=9,"Promoter",IF(Table1[[#This Row],[Customer Rating]]&gt;=7,"Passive","Detractor"))</f>
        <v>Detractor</v>
      </c>
    </row>
    <row r="404" spans="1:21" ht="14.25" customHeight="1" x14ac:dyDescent="0.3">
      <c r="A404" s="3" t="s">
        <v>439</v>
      </c>
      <c r="B404" s="3" t="s">
        <v>39</v>
      </c>
      <c r="C404" s="3" t="s">
        <v>33</v>
      </c>
      <c r="D404" s="14">
        <v>45949</v>
      </c>
      <c r="E404" s="11">
        <f>1</f>
        <v>1</v>
      </c>
      <c r="G404" s="12">
        <f>IF(Table1[[#This Row],[Pre-Booking Date]]&lt;&gt;"",1,0)</f>
        <v>0</v>
      </c>
      <c r="I404" s="12">
        <f>IF(Table1[[#This Row],[Booking Date]]&lt;&gt;"",1,0)</f>
        <v>0</v>
      </c>
      <c r="K404" s="12">
        <f>IF(Table1[[#This Row],[Delivery Date]]&lt;&gt;"",1,0)</f>
        <v>0</v>
      </c>
      <c r="L404" s="3" t="s">
        <v>3</v>
      </c>
      <c r="M404" s="3">
        <f>IF(Table1[[#This Row],[Cancellation Status]]&lt;&gt;"Yes",1,0)</f>
        <v>0</v>
      </c>
      <c r="N404" s="3" t="s">
        <v>42</v>
      </c>
      <c r="T40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04" t="str">
        <f>IF(Table1[[#This Row],[Customer Rating]]&gt;=9,"Promoter",IF(Table1[[#This Row],[Customer Rating]]&gt;=7,"Passive","Detractor"))</f>
        <v>Detractor</v>
      </c>
    </row>
    <row r="405" spans="1:21" ht="14.25" customHeight="1" x14ac:dyDescent="0.3">
      <c r="A405" s="3" t="s">
        <v>440</v>
      </c>
      <c r="B405" s="3" t="s">
        <v>29</v>
      </c>
      <c r="C405" s="3" t="s">
        <v>27</v>
      </c>
      <c r="D405" s="14">
        <v>45949</v>
      </c>
      <c r="E405" s="11">
        <f>1</f>
        <v>1</v>
      </c>
      <c r="F405" s="14">
        <v>45954</v>
      </c>
      <c r="G405" s="11">
        <f>IF(Table1[[#This Row],[Pre-Booking Date]]&lt;&gt;"",1,0)</f>
        <v>1</v>
      </c>
      <c r="H405" s="4">
        <v>45958</v>
      </c>
      <c r="I405" s="11">
        <f>IF(Table1[[#This Row],[Booking Date]]&lt;&gt;"",1,0)</f>
        <v>1</v>
      </c>
      <c r="J405" s="30">
        <v>45963</v>
      </c>
      <c r="K405" s="11">
        <f>IF(Table1[[#This Row],[Delivery Date]]&lt;&gt;"",1,0)</f>
        <v>1</v>
      </c>
      <c r="L405" s="3" t="s">
        <v>2</v>
      </c>
      <c r="M405" s="3">
        <f>IF(Table1[[#This Row],[Cancellation Status]]&lt;&gt;"Yes",1,0)</f>
        <v>1</v>
      </c>
      <c r="O405" s="30">
        <v>45985</v>
      </c>
      <c r="P405" s="3">
        <v>5</v>
      </c>
      <c r="Q405" s="3">
        <v>4</v>
      </c>
      <c r="R405" s="3">
        <v>5</v>
      </c>
      <c r="S405" s="3">
        <v>5</v>
      </c>
      <c r="T40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05" t="str">
        <f>IF(Table1[[#This Row],[Customer Rating]]&gt;=9,"Promoter",IF(Table1[[#This Row],[Customer Rating]]&gt;=7,"Passive","Detractor"))</f>
        <v>Detractor</v>
      </c>
    </row>
    <row r="406" spans="1:21" ht="14.25" customHeight="1" x14ac:dyDescent="0.3">
      <c r="A406" s="3" t="s">
        <v>441</v>
      </c>
      <c r="B406" s="3" t="s">
        <v>29</v>
      </c>
      <c r="C406" s="3" t="s">
        <v>27</v>
      </c>
      <c r="D406" s="14">
        <v>45949</v>
      </c>
      <c r="E406" s="11">
        <f>1</f>
        <v>1</v>
      </c>
      <c r="F406" s="14">
        <v>45951</v>
      </c>
      <c r="G406" s="11">
        <f>IF(Table1[[#This Row],[Pre-Booking Date]]&lt;&gt;"",1,0)</f>
        <v>1</v>
      </c>
      <c r="H406" s="4">
        <v>45952</v>
      </c>
      <c r="I406" s="11">
        <f>IF(Table1[[#This Row],[Booking Date]]&lt;&gt;"",1,0)</f>
        <v>1</v>
      </c>
      <c r="J406" s="30">
        <v>45956</v>
      </c>
      <c r="K406" s="11">
        <f>IF(Table1[[#This Row],[Delivery Date]]&lt;&gt;"",1,0)</f>
        <v>1</v>
      </c>
      <c r="L406" s="3" t="s">
        <v>2</v>
      </c>
      <c r="M406" s="3">
        <f>IF(Table1[[#This Row],[Cancellation Status]]&lt;&gt;"Yes",1,0)</f>
        <v>1</v>
      </c>
      <c r="O406" s="30">
        <v>45967</v>
      </c>
      <c r="P406" s="3">
        <v>2</v>
      </c>
      <c r="Q406" s="3">
        <v>1</v>
      </c>
      <c r="R406" s="3">
        <v>4</v>
      </c>
      <c r="S406" s="3">
        <v>9</v>
      </c>
      <c r="T40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06" t="str">
        <f>IF(Table1[[#This Row],[Customer Rating]]&gt;=9,"Promoter",IF(Table1[[#This Row],[Customer Rating]]&gt;=7,"Passive","Detractor"))</f>
        <v>Promoter</v>
      </c>
    </row>
    <row r="407" spans="1:21" ht="14.25" customHeight="1" x14ac:dyDescent="0.3">
      <c r="A407" s="3" t="s">
        <v>442</v>
      </c>
      <c r="B407" s="3" t="s">
        <v>39</v>
      </c>
      <c r="C407" s="3" t="s">
        <v>30</v>
      </c>
      <c r="D407" s="14">
        <v>45949</v>
      </c>
      <c r="E407" s="11">
        <f>1</f>
        <v>1</v>
      </c>
      <c r="F407" s="14">
        <v>45954</v>
      </c>
      <c r="G407" s="11">
        <f>IF(Table1[[#This Row],[Pre-Booking Date]]&lt;&gt;"",1,0)</f>
        <v>1</v>
      </c>
      <c r="H407" s="4">
        <v>45959</v>
      </c>
      <c r="I407" s="11">
        <f>IF(Table1[[#This Row],[Booking Date]]&lt;&gt;"",1,0)</f>
        <v>1</v>
      </c>
      <c r="J407" s="30">
        <v>45964</v>
      </c>
      <c r="K407" s="11">
        <f>IF(Table1[[#This Row],[Delivery Date]]&lt;&gt;"",1,0)</f>
        <v>1</v>
      </c>
      <c r="L407" s="3" t="s">
        <v>2</v>
      </c>
      <c r="M407" s="3">
        <f>IF(Table1[[#This Row],[Cancellation Status]]&lt;&gt;"Yes",1,0)</f>
        <v>1</v>
      </c>
      <c r="O407" s="30">
        <v>45990</v>
      </c>
      <c r="P407" s="3">
        <v>5</v>
      </c>
      <c r="Q407" s="3">
        <v>5</v>
      </c>
      <c r="R407" s="3">
        <v>5</v>
      </c>
      <c r="S407" s="3">
        <v>2</v>
      </c>
      <c r="T40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07" t="str">
        <f>IF(Table1[[#This Row],[Customer Rating]]&gt;=9,"Promoter",IF(Table1[[#This Row],[Customer Rating]]&gt;=7,"Passive","Detractor"))</f>
        <v>Detractor</v>
      </c>
    </row>
    <row r="408" spans="1:21" ht="14.25" customHeight="1" x14ac:dyDescent="0.3">
      <c r="A408" s="3" t="s">
        <v>443</v>
      </c>
      <c r="B408" s="3" t="s">
        <v>26</v>
      </c>
      <c r="C408" s="3" t="s">
        <v>33</v>
      </c>
      <c r="D408" s="14">
        <v>45949</v>
      </c>
      <c r="E408" s="11">
        <f>1</f>
        <v>1</v>
      </c>
      <c r="G408" s="12">
        <f>IF(Table1[[#This Row],[Pre-Booking Date]]&lt;&gt;"",1,0)</f>
        <v>0</v>
      </c>
      <c r="I408" s="12">
        <f>IF(Table1[[#This Row],[Booking Date]]&lt;&gt;"",1,0)</f>
        <v>0</v>
      </c>
      <c r="K408" s="12">
        <f>IF(Table1[[#This Row],[Delivery Date]]&lt;&gt;"",1,0)</f>
        <v>0</v>
      </c>
      <c r="L408" s="3" t="s">
        <v>3</v>
      </c>
      <c r="M408" s="3">
        <f>IF(Table1[[#This Row],[Cancellation Status]]&lt;&gt;"Yes",1,0)</f>
        <v>0</v>
      </c>
      <c r="N408" s="3" t="s">
        <v>34</v>
      </c>
      <c r="T40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08" t="str">
        <f>IF(Table1[[#This Row],[Customer Rating]]&gt;=9,"Promoter",IF(Table1[[#This Row],[Customer Rating]]&gt;=7,"Passive","Detractor"))</f>
        <v>Detractor</v>
      </c>
    </row>
    <row r="409" spans="1:21" ht="14.25" customHeight="1" x14ac:dyDescent="0.3">
      <c r="A409" s="3" t="s">
        <v>444</v>
      </c>
      <c r="B409" s="3" t="s">
        <v>26</v>
      </c>
      <c r="C409" s="3" t="s">
        <v>30</v>
      </c>
      <c r="D409" s="14">
        <v>45949</v>
      </c>
      <c r="E409" s="11">
        <f>1</f>
        <v>1</v>
      </c>
      <c r="F409" s="14">
        <v>45954</v>
      </c>
      <c r="G409" s="11">
        <f>IF(Table1[[#This Row],[Pre-Booking Date]]&lt;&gt;"",1,0)</f>
        <v>1</v>
      </c>
      <c r="H409" s="4">
        <v>45957</v>
      </c>
      <c r="I409" s="11">
        <f>IF(Table1[[#This Row],[Booking Date]]&lt;&gt;"",1,0)</f>
        <v>1</v>
      </c>
      <c r="J409" s="30">
        <v>45964</v>
      </c>
      <c r="K409" s="11">
        <f>IF(Table1[[#This Row],[Delivery Date]]&lt;&gt;"",1,0)</f>
        <v>1</v>
      </c>
      <c r="L409" s="3" t="s">
        <v>2</v>
      </c>
      <c r="M409" s="3">
        <f>IF(Table1[[#This Row],[Cancellation Status]]&lt;&gt;"Yes",1,0)</f>
        <v>1</v>
      </c>
      <c r="O409" s="30">
        <v>45974</v>
      </c>
      <c r="P409" s="3">
        <v>5</v>
      </c>
      <c r="Q409" s="3">
        <v>3</v>
      </c>
      <c r="R409" s="3">
        <v>7</v>
      </c>
      <c r="S409" s="3">
        <v>4</v>
      </c>
      <c r="T40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09" t="str">
        <f>IF(Table1[[#This Row],[Customer Rating]]&gt;=9,"Promoter",IF(Table1[[#This Row],[Customer Rating]]&gt;=7,"Passive","Detractor"))</f>
        <v>Detractor</v>
      </c>
    </row>
    <row r="410" spans="1:21" ht="14.25" customHeight="1" x14ac:dyDescent="0.3">
      <c r="A410" s="3" t="s">
        <v>445</v>
      </c>
      <c r="B410" s="3" t="s">
        <v>39</v>
      </c>
      <c r="C410" s="3" t="s">
        <v>30</v>
      </c>
      <c r="D410" s="14">
        <v>45949</v>
      </c>
      <c r="E410" s="11">
        <f>1</f>
        <v>1</v>
      </c>
      <c r="F410" s="14">
        <v>45952</v>
      </c>
      <c r="G410" s="11">
        <f>IF(Table1[[#This Row],[Pre-Booking Date]]&lt;&gt;"",1,0)</f>
        <v>1</v>
      </c>
      <c r="H410" s="4">
        <v>45954</v>
      </c>
      <c r="I410" s="11">
        <f>IF(Table1[[#This Row],[Booking Date]]&lt;&gt;"",1,0)</f>
        <v>1</v>
      </c>
      <c r="J410" s="30">
        <v>45959</v>
      </c>
      <c r="K410" s="11">
        <f>IF(Table1[[#This Row],[Delivery Date]]&lt;&gt;"",1,0)</f>
        <v>1</v>
      </c>
      <c r="L410" s="3" t="s">
        <v>2</v>
      </c>
      <c r="M410" s="3">
        <f>IF(Table1[[#This Row],[Cancellation Status]]&lt;&gt;"Yes",1,0)</f>
        <v>1</v>
      </c>
      <c r="O410" s="30">
        <v>45974</v>
      </c>
      <c r="P410" s="3">
        <v>3</v>
      </c>
      <c r="Q410" s="3">
        <v>2</v>
      </c>
      <c r="R410" s="3">
        <v>5</v>
      </c>
      <c r="S410" s="3">
        <v>1</v>
      </c>
      <c r="T41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10" t="str">
        <f>IF(Table1[[#This Row],[Customer Rating]]&gt;=9,"Promoter",IF(Table1[[#This Row],[Customer Rating]]&gt;=7,"Passive","Detractor"))</f>
        <v>Detractor</v>
      </c>
    </row>
    <row r="411" spans="1:21" ht="14.25" customHeight="1" x14ac:dyDescent="0.3">
      <c r="A411" s="3" t="s">
        <v>446</v>
      </c>
      <c r="B411" s="3" t="s">
        <v>26</v>
      </c>
      <c r="C411" s="3" t="s">
        <v>30</v>
      </c>
      <c r="D411" s="14">
        <v>45949</v>
      </c>
      <c r="E411" s="11">
        <f>1</f>
        <v>1</v>
      </c>
      <c r="F411" s="14">
        <v>45953</v>
      </c>
      <c r="G411" s="11">
        <f>IF(Table1[[#This Row],[Pre-Booking Date]]&lt;&gt;"",1,0)</f>
        <v>1</v>
      </c>
      <c r="H411" s="4">
        <v>45954</v>
      </c>
      <c r="I411" s="11">
        <f>IF(Table1[[#This Row],[Booking Date]]&lt;&gt;"",1,0)</f>
        <v>1</v>
      </c>
      <c r="J411" s="30">
        <v>45957</v>
      </c>
      <c r="K411" s="11">
        <f>IF(Table1[[#This Row],[Delivery Date]]&lt;&gt;"",1,0)</f>
        <v>1</v>
      </c>
      <c r="L411" s="3" t="s">
        <v>2</v>
      </c>
      <c r="M411" s="3">
        <f>IF(Table1[[#This Row],[Cancellation Status]]&lt;&gt;"Yes",1,0)</f>
        <v>1</v>
      </c>
      <c r="O411" s="30">
        <v>45983</v>
      </c>
      <c r="P411" s="3">
        <v>4</v>
      </c>
      <c r="Q411" s="3">
        <v>1</v>
      </c>
      <c r="R411" s="3">
        <v>3</v>
      </c>
      <c r="S411" s="3">
        <v>4</v>
      </c>
      <c r="T41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11" t="str">
        <f>IF(Table1[[#This Row],[Customer Rating]]&gt;=9,"Promoter",IF(Table1[[#This Row],[Customer Rating]]&gt;=7,"Passive","Detractor"))</f>
        <v>Detractor</v>
      </c>
    </row>
    <row r="412" spans="1:21" ht="14.25" customHeight="1" x14ac:dyDescent="0.3">
      <c r="A412" s="3" t="s">
        <v>447</v>
      </c>
      <c r="B412" s="3" t="s">
        <v>29</v>
      </c>
      <c r="C412" s="3" t="s">
        <v>27</v>
      </c>
      <c r="D412" s="14">
        <v>45949</v>
      </c>
      <c r="E412" s="11">
        <f>1</f>
        <v>1</v>
      </c>
      <c r="F412" s="14">
        <v>45953</v>
      </c>
      <c r="G412" s="11">
        <f>IF(Table1[[#This Row],[Pre-Booking Date]]&lt;&gt;"",1,0)</f>
        <v>1</v>
      </c>
      <c r="H412" s="4">
        <v>45955</v>
      </c>
      <c r="I412" s="11">
        <f>IF(Table1[[#This Row],[Booking Date]]&lt;&gt;"",1,0)</f>
        <v>1</v>
      </c>
      <c r="J412" s="30">
        <v>45961</v>
      </c>
      <c r="K412" s="11">
        <f>IF(Table1[[#This Row],[Delivery Date]]&lt;&gt;"",1,0)</f>
        <v>1</v>
      </c>
      <c r="L412" s="3" t="s">
        <v>2</v>
      </c>
      <c r="M412" s="3">
        <f>IF(Table1[[#This Row],[Cancellation Status]]&lt;&gt;"Yes",1,0)</f>
        <v>1</v>
      </c>
      <c r="O412" s="30">
        <v>45973</v>
      </c>
      <c r="P412" s="3">
        <v>4</v>
      </c>
      <c r="Q412" s="3">
        <v>2</v>
      </c>
      <c r="R412" s="3">
        <v>6</v>
      </c>
      <c r="S412" s="3">
        <v>3</v>
      </c>
      <c r="T41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12" t="str">
        <f>IF(Table1[[#This Row],[Customer Rating]]&gt;=9,"Promoter",IF(Table1[[#This Row],[Customer Rating]]&gt;=7,"Passive","Detractor"))</f>
        <v>Detractor</v>
      </c>
    </row>
    <row r="413" spans="1:21" ht="14.25" customHeight="1" x14ac:dyDescent="0.3">
      <c r="A413" s="3" t="s">
        <v>448</v>
      </c>
      <c r="B413" s="3" t="s">
        <v>39</v>
      </c>
      <c r="C413" s="3" t="s">
        <v>27</v>
      </c>
      <c r="D413" s="14">
        <v>45949</v>
      </c>
      <c r="E413" s="11">
        <f>1</f>
        <v>1</v>
      </c>
      <c r="F413" s="14">
        <v>45954</v>
      </c>
      <c r="G413" s="11">
        <f>IF(Table1[[#This Row],[Pre-Booking Date]]&lt;&gt;"",1,0)</f>
        <v>1</v>
      </c>
      <c r="H413" s="4">
        <v>45958</v>
      </c>
      <c r="I413" s="11">
        <f>IF(Table1[[#This Row],[Booking Date]]&lt;&gt;"",1,0)</f>
        <v>1</v>
      </c>
      <c r="J413" s="30">
        <v>45962</v>
      </c>
      <c r="K413" s="11">
        <f>IF(Table1[[#This Row],[Delivery Date]]&lt;&gt;"",1,0)</f>
        <v>1</v>
      </c>
      <c r="L413" s="3" t="s">
        <v>2</v>
      </c>
      <c r="M413" s="3">
        <f>IF(Table1[[#This Row],[Cancellation Status]]&lt;&gt;"Yes",1,0)</f>
        <v>1</v>
      </c>
      <c r="O413" s="30">
        <v>45992</v>
      </c>
      <c r="P413" s="3">
        <v>5</v>
      </c>
      <c r="Q413" s="3">
        <v>4</v>
      </c>
      <c r="R413" s="3">
        <v>4</v>
      </c>
      <c r="S413" s="3">
        <v>7</v>
      </c>
      <c r="T41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13" t="str">
        <f>IF(Table1[[#This Row],[Customer Rating]]&gt;=9,"Promoter",IF(Table1[[#This Row],[Customer Rating]]&gt;=7,"Passive","Detractor"))</f>
        <v>Passive</v>
      </c>
    </row>
    <row r="414" spans="1:21" ht="14.25" customHeight="1" x14ac:dyDescent="0.3">
      <c r="A414" s="3" t="s">
        <v>449</v>
      </c>
      <c r="B414" s="3" t="s">
        <v>29</v>
      </c>
      <c r="C414" s="3" t="s">
        <v>27</v>
      </c>
      <c r="D414" s="14">
        <v>45949</v>
      </c>
      <c r="E414" s="11">
        <f>1</f>
        <v>1</v>
      </c>
      <c r="F414" s="14">
        <v>45953</v>
      </c>
      <c r="G414" s="11">
        <f>IF(Table1[[#This Row],[Pre-Booking Date]]&lt;&gt;"",1,0)</f>
        <v>1</v>
      </c>
      <c r="H414" s="4">
        <v>45957</v>
      </c>
      <c r="I414" s="11">
        <f>IF(Table1[[#This Row],[Booking Date]]&lt;&gt;"",1,0)</f>
        <v>1</v>
      </c>
      <c r="J414" s="30">
        <v>45962</v>
      </c>
      <c r="K414" s="11">
        <f>IF(Table1[[#This Row],[Delivery Date]]&lt;&gt;"",1,0)</f>
        <v>1</v>
      </c>
      <c r="L414" s="3" t="s">
        <v>2</v>
      </c>
      <c r="M414" s="3">
        <f>IF(Table1[[#This Row],[Cancellation Status]]&lt;&gt;"Yes",1,0)</f>
        <v>1</v>
      </c>
      <c r="O414" s="30">
        <v>45987</v>
      </c>
      <c r="P414" s="3">
        <v>4</v>
      </c>
      <c r="Q414" s="3">
        <v>4</v>
      </c>
      <c r="R414" s="3">
        <v>5</v>
      </c>
      <c r="S414" s="3">
        <v>0</v>
      </c>
      <c r="T41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14" t="str">
        <f>IF(Table1[[#This Row],[Customer Rating]]&gt;=9,"Promoter",IF(Table1[[#This Row],[Customer Rating]]&gt;=7,"Passive","Detractor"))</f>
        <v>Detractor</v>
      </c>
    </row>
    <row r="415" spans="1:21" ht="14.25" customHeight="1" x14ac:dyDescent="0.3">
      <c r="A415" s="3" t="s">
        <v>450</v>
      </c>
      <c r="B415" s="3" t="s">
        <v>29</v>
      </c>
      <c r="C415" s="3" t="s">
        <v>30</v>
      </c>
      <c r="D415" s="14">
        <v>45949</v>
      </c>
      <c r="E415" s="11">
        <f>1</f>
        <v>1</v>
      </c>
      <c r="F415" s="14">
        <v>45950</v>
      </c>
      <c r="G415" s="11">
        <f>IF(Table1[[#This Row],[Pre-Booking Date]]&lt;&gt;"",1,0)</f>
        <v>1</v>
      </c>
      <c r="H415" s="4">
        <v>45955</v>
      </c>
      <c r="I415" s="11">
        <f>IF(Table1[[#This Row],[Booking Date]]&lt;&gt;"",1,0)</f>
        <v>1</v>
      </c>
      <c r="J415" s="30">
        <v>45961</v>
      </c>
      <c r="K415" s="11">
        <f>IF(Table1[[#This Row],[Delivery Date]]&lt;&gt;"",1,0)</f>
        <v>1</v>
      </c>
      <c r="L415" s="3" t="s">
        <v>2</v>
      </c>
      <c r="M415" s="3">
        <f>IF(Table1[[#This Row],[Cancellation Status]]&lt;&gt;"Yes",1,0)</f>
        <v>1</v>
      </c>
      <c r="O415" s="30">
        <v>45982</v>
      </c>
      <c r="P415" s="3">
        <v>1</v>
      </c>
      <c r="Q415" s="3">
        <v>5</v>
      </c>
      <c r="R415" s="3">
        <v>6</v>
      </c>
      <c r="S415" s="3">
        <v>1</v>
      </c>
      <c r="T41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15" t="str">
        <f>IF(Table1[[#This Row],[Customer Rating]]&gt;=9,"Promoter",IF(Table1[[#This Row],[Customer Rating]]&gt;=7,"Passive","Detractor"))</f>
        <v>Detractor</v>
      </c>
    </row>
    <row r="416" spans="1:21" ht="14.25" customHeight="1" x14ac:dyDescent="0.3">
      <c r="A416" s="3" t="s">
        <v>451</v>
      </c>
      <c r="B416" s="3" t="s">
        <v>29</v>
      </c>
      <c r="C416" s="3" t="s">
        <v>27</v>
      </c>
      <c r="D416" s="14">
        <v>45949</v>
      </c>
      <c r="E416" s="11">
        <f>1</f>
        <v>1</v>
      </c>
      <c r="F416" s="14">
        <v>45953</v>
      </c>
      <c r="G416" s="11">
        <f>IF(Table1[[#This Row],[Pre-Booking Date]]&lt;&gt;"",1,0)</f>
        <v>1</v>
      </c>
      <c r="H416" s="4">
        <v>45955</v>
      </c>
      <c r="I416" s="11">
        <f>IF(Table1[[#This Row],[Booking Date]]&lt;&gt;"",1,0)</f>
        <v>1</v>
      </c>
      <c r="J416" s="30">
        <v>45962</v>
      </c>
      <c r="K416" s="11">
        <f>IF(Table1[[#This Row],[Delivery Date]]&lt;&gt;"",1,0)</f>
        <v>1</v>
      </c>
      <c r="L416" s="3" t="s">
        <v>2</v>
      </c>
      <c r="M416" s="3">
        <f>IF(Table1[[#This Row],[Cancellation Status]]&lt;&gt;"Yes",1,0)</f>
        <v>1</v>
      </c>
      <c r="O416" s="30">
        <v>45992</v>
      </c>
      <c r="P416" s="3">
        <v>4</v>
      </c>
      <c r="Q416" s="3">
        <v>2</v>
      </c>
      <c r="R416" s="3">
        <v>7</v>
      </c>
      <c r="S416" s="3">
        <v>5</v>
      </c>
      <c r="T41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16" t="str">
        <f>IF(Table1[[#This Row],[Customer Rating]]&gt;=9,"Promoter",IF(Table1[[#This Row],[Customer Rating]]&gt;=7,"Passive","Detractor"))</f>
        <v>Detractor</v>
      </c>
    </row>
    <row r="417" spans="1:21" ht="14.25" customHeight="1" x14ac:dyDescent="0.3">
      <c r="A417" s="3" t="s">
        <v>452</v>
      </c>
      <c r="B417" s="3" t="s">
        <v>26</v>
      </c>
      <c r="C417" s="3" t="s">
        <v>27</v>
      </c>
      <c r="D417" s="14">
        <v>45949</v>
      </c>
      <c r="E417" s="11">
        <f>1</f>
        <v>1</v>
      </c>
      <c r="F417" s="14">
        <v>45950</v>
      </c>
      <c r="G417" s="11">
        <f>IF(Table1[[#This Row],[Pre-Booking Date]]&lt;&gt;"",1,0)</f>
        <v>1</v>
      </c>
      <c r="H417" s="4">
        <v>45953</v>
      </c>
      <c r="I417" s="11">
        <f>IF(Table1[[#This Row],[Booking Date]]&lt;&gt;"",1,0)</f>
        <v>1</v>
      </c>
      <c r="J417" s="30">
        <v>45956</v>
      </c>
      <c r="K417" s="11">
        <f>IF(Table1[[#This Row],[Delivery Date]]&lt;&gt;"",1,0)</f>
        <v>1</v>
      </c>
      <c r="L417" s="3" t="s">
        <v>3</v>
      </c>
      <c r="M417" s="3">
        <f>IF(Table1[[#This Row],[Cancellation Status]]&lt;&gt;"Yes",1,0)</f>
        <v>0</v>
      </c>
      <c r="N417" s="3" t="s">
        <v>52</v>
      </c>
      <c r="P417" s="3">
        <v>1</v>
      </c>
      <c r="Q417" s="3">
        <v>3</v>
      </c>
      <c r="R417" s="3">
        <v>3</v>
      </c>
      <c r="T41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17" t="str">
        <f>IF(Table1[[#This Row],[Customer Rating]]&gt;=9,"Promoter",IF(Table1[[#This Row],[Customer Rating]]&gt;=7,"Passive","Detractor"))</f>
        <v>Detractor</v>
      </c>
    </row>
    <row r="418" spans="1:21" ht="14.25" customHeight="1" x14ac:dyDescent="0.3">
      <c r="A418" s="3" t="s">
        <v>453</v>
      </c>
      <c r="B418" s="3" t="s">
        <v>32</v>
      </c>
      <c r="C418" s="3" t="s">
        <v>27</v>
      </c>
      <c r="D418" s="14">
        <v>45949</v>
      </c>
      <c r="E418" s="11">
        <f>1</f>
        <v>1</v>
      </c>
      <c r="F418" s="14">
        <v>45951</v>
      </c>
      <c r="G418" s="11">
        <f>IF(Table1[[#This Row],[Pre-Booking Date]]&lt;&gt;"",1,0)</f>
        <v>1</v>
      </c>
      <c r="H418" s="4">
        <v>45956</v>
      </c>
      <c r="I418" s="11">
        <f>IF(Table1[[#This Row],[Booking Date]]&lt;&gt;"",1,0)</f>
        <v>1</v>
      </c>
      <c r="J418" s="30">
        <v>45958</v>
      </c>
      <c r="K418" s="11">
        <f>IF(Table1[[#This Row],[Delivery Date]]&lt;&gt;"",1,0)</f>
        <v>1</v>
      </c>
      <c r="L418" s="3" t="s">
        <v>2</v>
      </c>
      <c r="M418" s="3">
        <f>IF(Table1[[#This Row],[Cancellation Status]]&lt;&gt;"Yes",1,0)</f>
        <v>1</v>
      </c>
      <c r="O418" s="30">
        <v>45975</v>
      </c>
      <c r="P418" s="3">
        <v>2</v>
      </c>
      <c r="Q418" s="3">
        <v>5</v>
      </c>
      <c r="R418" s="3">
        <v>2</v>
      </c>
      <c r="S418" s="3">
        <v>2</v>
      </c>
      <c r="T41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18" t="str">
        <f>IF(Table1[[#This Row],[Customer Rating]]&gt;=9,"Promoter",IF(Table1[[#This Row],[Customer Rating]]&gt;=7,"Passive","Detractor"))</f>
        <v>Detractor</v>
      </c>
    </row>
    <row r="419" spans="1:21" ht="14.25" customHeight="1" x14ac:dyDescent="0.3">
      <c r="A419" s="3" t="s">
        <v>454</v>
      </c>
      <c r="B419" s="3" t="s">
        <v>29</v>
      </c>
      <c r="C419" s="3" t="s">
        <v>30</v>
      </c>
      <c r="D419" s="14">
        <v>45949</v>
      </c>
      <c r="E419" s="11">
        <f>1</f>
        <v>1</v>
      </c>
      <c r="F419" s="14">
        <v>45954</v>
      </c>
      <c r="G419" s="11">
        <f>IF(Table1[[#This Row],[Pre-Booking Date]]&lt;&gt;"",1,0)</f>
        <v>1</v>
      </c>
      <c r="H419" s="4">
        <v>45956</v>
      </c>
      <c r="I419" s="11">
        <f>IF(Table1[[#This Row],[Booking Date]]&lt;&gt;"",1,0)</f>
        <v>1</v>
      </c>
      <c r="J419" s="30">
        <v>45959</v>
      </c>
      <c r="K419" s="11">
        <f>IF(Table1[[#This Row],[Delivery Date]]&lt;&gt;"",1,0)</f>
        <v>1</v>
      </c>
      <c r="L419" s="3" t="s">
        <v>3</v>
      </c>
      <c r="M419" s="3">
        <f>IF(Table1[[#This Row],[Cancellation Status]]&lt;&gt;"Yes",1,0)</f>
        <v>0</v>
      </c>
      <c r="N419" s="3" t="s">
        <v>55</v>
      </c>
      <c r="P419" s="3">
        <v>5</v>
      </c>
      <c r="Q419" s="3">
        <v>2</v>
      </c>
      <c r="R419" s="3">
        <v>3</v>
      </c>
      <c r="T41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19" t="str">
        <f>IF(Table1[[#This Row],[Customer Rating]]&gt;=9,"Promoter",IF(Table1[[#This Row],[Customer Rating]]&gt;=7,"Passive","Detractor"))</f>
        <v>Detractor</v>
      </c>
    </row>
    <row r="420" spans="1:21" ht="14.25" customHeight="1" x14ac:dyDescent="0.3">
      <c r="A420" s="3" t="s">
        <v>455</v>
      </c>
      <c r="B420" s="3" t="s">
        <v>39</v>
      </c>
      <c r="C420" s="3" t="s">
        <v>30</v>
      </c>
      <c r="D420" s="14">
        <v>45949</v>
      </c>
      <c r="E420" s="11">
        <f>1</f>
        <v>1</v>
      </c>
      <c r="F420" s="14">
        <v>45952</v>
      </c>
      <c r="G420" s="11">
        <f>IF(Table1[[#This Row],[Pre-Booking Date]]&lt;&gt;"",1,0)</f>
        <v>1</v>
      </c>
      <c r="H420" s="4">
        <v>45956</v>
      </c>
      <c r="I420" s="11">
        <f>IF(Table1[[#This Row],[Booking Date]]&lt;&gt;"",1,0)</f>
        <v>1</v>
      </c>
      <c r="J420" s="30">
        <v>45963</v>
      </c>
      <c r="K420" s="11">
        <f>IF(Table1[[#This Row],[Delivery Date]]&lt;&gt;"",1,0)</f>
        <v>1</v>
      </c>
      <c r="L420" s="3" t="s">
        <v>2</v>
      </c>
      <c r="M420" s="3">
        <f>IF(Table1[[#This Row],[Cancellation Status]]&lt;&gt;"Yes",1,0)</f>
        <v>1</v>
      </c>
      <c r="O420" s="30">
        <v>45974</v>
      </c>
      <c r="P420" s="3">
        <v>3</v>
      </c>
      <c r="Q420" s="3">
        <v>4</v>
      </c>
      <c r="R420" s="3">
        <v>7</v>
      </c>
      <c r="S420" s="3">
        <v>4</v>
      </c>
      <c r="T42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20" t="str">
        <f>IF(Table1[[#This Row],[Customer Rating]]&gt;=9,"Promoter",IF(Table1[[#This Row],[Customer Rating]]&gt;=7,"Passive","Detractor"))</f>
        <v>Detractor</v>
      </c>
    </row>
    <row r="421" spans="1:21" ht="14.25" customHeight="1" x14ac:dyDescent="0.3">
      <c r="A421" s="3" t="s">
        <v>456</v>
      </c>
      <c r="B421" s="3" t="s">
        <v>29</v>
      </c>
      <c r="C421" s="3" t="s">
        <v>27</v>
      </c>
      <c r="D421" s="14">
        <v>45949</v>
      </c>
      <c r="E421" s="11">
        <f>1</f>
        <v>1</v>
      </c>
      <c r="F421" s="14">
        <v>45954</v>
      </c>
      <c r="G421" s="11">
        <f>IF(Table1[[#This Row],[Pre-Booking Date]]&lt;&gt;"",1,0)</f>
        <v>1</v>
      </c>
      <c r="H421" s="4">
        <v>45957</v>
      </c>
      <c r="I421" s="11">
        <f>IF(Table1[[#This Row],[Booking Date]]&lt;&gt;"",1,0)</f>
        <v>1</v>
      </c>
      <c r="J421" s="30">
        <v>45961</v>
      </c>
      <c r="K421" s="11">
        <f>IF(Table1[[#This Row],[Delivery Date]]&lt;&gt;"",1,0)</f>
        <v>1</v>
      </c>
      <c r="L421" s="3" t="s">
        <v>2</v>
      </c>
      <c r="M421" s="3">
        <f>IF(Table1[[#This Row],[Cancellation Status]]&lt;&gt;"Yes",1,0)</f>
        <v>1</v>
      </c>
      <c r="O421" s="30">
        <v>45990</v>
      </c>
      <c r="P421" s="3">
        <v>5</v>
      </c>
      <c r="Q421" s="3">
        <v>3</v>
      </c>
      <c r="R421" s="3">
        <v>4</v>
      </c>
      <c r="S421" s="3">
        <v>2</v>
      </c>
      <c r="T42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21" t="str">
        <f>IF(Table1[[#This Row],[Customer Rating]]&gt;=9,"Promoter",IF(Table1[[#This Row],[Customer Rating]]&gt;=7,"Passive","Detractor"))</f>
        <v>Detractor</v>
      </c>
    </row>
    <row r="422" spans="1:21" ht="14.25" customHeight="1" x14ac:dyDescent="0.3">
      <c r="A422" s="3" t="s">
        <v>457</v>
      </c>
      <c r="B422" s="3" t="s">
        <v>32</v>
      </c>
      <c r="C422" s="3" t="s">
        <v>30</v>
      </c>
      <c r="D422" s="14">
        <v>45949</v>
      </c>
      <c r="E422" s="11">
        <f>1</f>
        <v>1</v>
      </c>
      <c r="F422" s="14">
        <v>45953</v>
      </c>
      <c r="G422" s="11">
        <f>IF(Table1[[#This Row],[Pre-Booking Date]]&lt;&gt;"",1,0)</f>
        <v>1</v>
      </c>
      <c r="H422" s="4">
        <v>45958</v>
      </c>
      <c r="I422" s="11">
        <f>IF(Table1[[#This Row],[Booking Date]]&lt;&gt;"",1,0)</f>
        <v>1</v>
      </c>
      <c r="J422" s="30">
        <v>45960</v>
      </c>
      <c r="K422" s="11">
        <f>IF(Table1[[#This Row],[Delivery Date]]&lt;&gt;"",1,0)</f>
        <v>1</v>
      </c>
      <c r="L422" s="3" t="s">
        <v>2</v>
      </c>
      <c r="M422" s="3">
        <f>IF(Table1[[#This Row],[Cancellation Status]]&lt;&gt;"Yes",1,0)</f>
        <v>1</v>
      </c>
      <c r="O422" s="30">
        <v>45981</v>
      </c>
      <c r="P422" s="3">
        <v>4</v>
      </c>
      <c r="Q422" s="3">
        <v>5</v>
      </c>
      <c r="R422" s="3">
        <v>2</v>
      </c>
      <c r="S422" s="3">
        <v>6</v>
      </c>
      <c r="T42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22" t="str">
        <f>IF(Table1[[#This Row],[Customer Rating]]&gt;=9,"Promoter",IF(Table1[[#This Row],[Customer Rating]]&gt;=7,"Passive","Detractor"))</f>
        <v>Detractor</v>
      </c>
    </row>
    <row r="423" spans="1:21" ht="14.25" customHeight="1" x14ac:dyDescent="0.3">
      <c r="A423" s="3" t="s">
        <v>458</v>
      </c>
      <c r="B423" s="3" t="s">
        <v>26</v>
      </c>
      <c r="C423" s="3" t="s">
        <v>27</v>
      </c>
      <c r="D423" s="14">
        <v>45949</v>
      </c>
      <c r="E423" s="11">
        <f>1</f>
        <v>1</v>
      </c>
      <c r="F423" s="14">
        <v>45952</v>
      </c>
      <c r="G423" s="11">
        <f>IF(Table1[[#This Row],[Pre-Booking Date]]&lt;&gt;"",1,0)</f>
        <v>1</v>
      </c>
      <c r="H423" s="4">
        <v>45956</v>
      </c>
      <c r="I423" s="11">
        <f>IF(Table1[[#This Row],[Booking Date]]&lt;&gt;"",1,0)</f>
        <v>1</v>
      </c>
      <c r="J423" s="30">
        <v>45962</v>
      </c>
      <c r="K423" s="11">
        <f>IF(Table1[[#This Row],[Delivery Date]]&lt;&gt;"",1,0)</f>
        <v>1</v>
      </c>
      <c r="L423" s="3" t="s">
        <v>2</v>
      </c>
      <c r="M423" s="3">
        <f>IF(Table1[[#This Row],[Cancellation Status]]&lt;&gt;"Yes",1,0)</f>
        <v>1</v>
      </c>
      <c r="O423" s="30">
        <v>45989</v>
      </c>
      <c r="P423" s="3">
        <v>3</v>
      </c>
      <c r="Q423" s="3">
        <v>4</v>
      </c>
      <c r="R423" s="3">
        <v>6</v>
      </c>
      <c r="S423" s="3">
        <v>4</v>
      </c>
      <c r="T42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23" t="str">
        <f>IF(Table1[[#This Row],[Customer Rating]]&gt;=9,"Promoter",IF(Table1[[#This Row],[Customer Rating]]&gt;=7,"Passive","Detractor"))</f>
        <v>Detractor</v>
      </c>
    </row>
    <row r="424" spans="1:21" ht="14.25" customHeight="1" x14ac:dyDescent="0.3">
      <c r="A424" s="3" t="s">
        <v>459</v>
      </c>
      <c r="B424" s="3" t="s">
        <v>26</v>
      </c>
      <c r="C424" s="3" t="s">
        <v>30</v>
      </c>
      <c r="D424" s="14">
        <v>45949</v>
      </c>
      <c r="E424" s="11">
        <f>1</f>
        <v>1</v>
      </c>
      <c r="F424" s="14">
        <v>45951</v>
      </c>
      <c r="G424" s="11">
        <f>IF(Table1[[#This Row],[Pre-Booking Date]]&lt;&gt;"",1,0)</f>
        <v>1</v>
      </c>
      <c r="H424" s="4">
        <v>45956</v>
      </c>
      <c r="I424" s="11">
        <f>IF(Table1[[#This Row],[Booking Date]]&lt;&gt;"",1,0)</f>
        <v>1</v>
      </c>
      <c r="J424" s="30">
        <v>45960</v>
      </c>
      <c r="K424" s="11">
        <f>IF(Table1[[#This Row],[Delivery Date]]&lt;&gt;"",1,0)</f>
        <v>1</v>
      </c>
      <c r="L424" s="3" t="s">
        <v>2</v>
      </c>
      <c r="M424" s="3">
        <f>IF(Table1[[#This Row],[Cancellation Status]]&lt;&gt;"Yes",1,0)</f>
        <v>1</v>
      </c>
      <c r="O424" s="30">
        <v>45978</v>
      </c>
      <c r="P424" s="3">
        <v>2</v>
      </c>
      <c r="Q424" s="3">
        <v>5</v>
      </c>
      <c r="R424" s="3">
        <v>4</v>
      </c>
      <c r="S424" s="3">
        <v>8</v>
      </c>
      <c r="T42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24" t="str">
        <f>IF(Table1[[#This Row],[Customer Rating]]&gt;=9,"Promoter",IF(Table1[[#This Row],[Customer Rating]]&gt;=7,"Passive","Detractor"))</f>
        <v>Passive</v>
      </c>
    </row>
    <row r="425" spans="1:21" ht="14.25" customHeight="1" x14ac:dyDescent="0.3">
      <c r="A425" s="3" t="s">
        <v>460</v>
      </c>
      <c r="B425" s="3" t="s">
        <v>39</v>
      </c>
      <c r="C425" s="3" t="s">
        <v>27</v>
      </c>
      <c r="D425" s="14">
        <v>45949</v>
      </c>
      <c r="E425" s="11">
        <f>1</f>
        <v>1</v>
      </c>
      <c r="F425" s="14">
        <v>45953</v>
      </c>
      <c r="G425" s="11">
        <f>IF(Table1[[#This Row],[Pre-Booking Date]]&lt;&gt;"",1,0)</f>
        <v>1</v>
      </c>
      <c r="H425" s="4">
        <v>45954</v>
      </c>
      <c r="I425" s="11">
        <f>IF(Table1[[#This Row],[Booking Date]]&lt;&gt;"",1,0)</f>
        <v>1</v>
      </c>
      <c r="J425" s="30">
        <v>45956</v>
      </c>
      <c r="K425" s="11">
        <f>IF(Table1[[#This Row],[Delivery Date]]&lt;&gt;"",1,0)</f>
        <v>1</v>
      </c>
      <c r="L425" s="3" t="s">
        <v>2</v>
      </c>
      <c r="M425" s="3">
        <f>IF(Table1[[#This Row],[Cancellation Status]]&lt;&gt;"Yes",1,0)</f>
        <v>1</v>
      </c>
      <c r="O425" s="30">
        <v>45971</v>
      </c>
      <c r="P425" s="3">
        <v>4</v>
      </c>
      <c r="Q425" s="3">
        <v>1</v>
      </c>
      <c r="R425" s="3">
        <v>2</v>
      </c>
      <c r="S425" s="3">
        <v>7</v>
      </c>
      <c r="T42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25" t="str">
        <f>IF(Table1[[#This Row],[Customer Rating]]&gt;=9,"Promoter",IF(Table1[[#This Row],[Customer Rating]]&gt;=7,"Passive","Detractor"))</f>
        <v>Passive</v>
      </c>
    </row>
    <row r="426" spans="1:21" ht="14.25" customHeight="1" x14ac:dyDescent="0.3">
      <c r="A426" s="3" t="s">
        <v>461</v>
      </c>
      <c r="B426" s="3" t="s">
        <v>39</v>
      </c>
      <c r="C426" s="3" t="s">
        <v>33</v>
      </c>
      <c r="D426" s="14">
        <v>45949</v>
      </c>
      <c r="E426" s="11">
        <f>1</f>
        <v>1</v>
      </c>
      <c r="G426" s="12">
        <f>IF(Table1[[#This Row],[Pre-Booking Date]]&lt;&gt;"",1,0)</f>
        <v>0</v>
      </c>
      <c r="I426" s="12">
        <f>IF(Table1[[#This Row],[Booking Date]]&lt;&gt;"",1,0)</f>
        <v>0</v>
      </c>
      <c r="K426" s="12">
        <f>IF(Table1[[#This Row],[Delivery Date]]&lt;&gt;"",1,0)</f>
        <v>0</v>
      </c>
      <c r="L426" s="3" t="s">
        <v>3</v>
      </c>
      <c r="M426" s="3">
        <f>IF(Table1[[#This Row],[Cancellation Status]]&lt;&gt;"Yes",1,0)</f>
        <v>0</v>
      </c>
      <c r="N426" s="3" t="s">
        <v>34</v>
      </c>
      <c r="T42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26" t="str">
        <f>IF(Table1[[#This Row],[Customer Rating]]&gt;=9,"Promoter",IF(Table1[[#This Row],[Customer Rating]]&gt;=7,"Passive","Detractor"))</f>
        <v>Detractor</v>
      </c>
    </row>
    <row r="427" spans="1:21" ht="14.25" customHeight="1" x14ac:dyDescent="0.3">
      <c r="A427" s="3" t="s">
        <v>462</v>
      </c>
      <c r="B427" s="3" t="s">
        <v>29</v>
      </c>
      <c r="C427" s="3" t="s">
        <v>27</v>
      </c>
      <c r="D427" s="14">
        <v>45948</v>
      </c>
      <c r="E427" s="11">
        <f>1</f>
        <v>1</v>
      </c>
      <c r="F427" s="14">
        <v>45953</v>
      </c>
      <c r="G427" s="11">
        <f>IF(Table1[[#This Row],[Pre-Booking Date]]&lt;&gt;"",1,0)</f>
        <v>1</v>
      </c>
      <c r="H427" s="4">
        <v>45957</v>
      </c>
      <c r="I427" s="11">
        <f>IF(Table1[[#This Row],[Booking Date]]&lt;&gt;"",1,0)</f>
        <v>1</v>
      </c>
      <c r="J427" s="30">
        <v>45959</v>
      </c>
      <c r="K427" s="11">
        <f>IF(Table1[[#This Row],[Delivery Date]]&lt;&gt;"",1,0)</f>
        <v>1</v>
      </c>
      <c r="L427" s="3" t="s">
        <v>2</v>
      </c>
      <c r="M427" s="3">
        <f>IF(Table1[[#This Row],[Cancellation Status]]&lt;&gt;"Yes",1,0)</f>
        <v>1</v>
      </c>
      <c r="O427" s="30">
        <v>45970</v>
      </c>
      <c r="P427" s="3">
        <v>5</v>
      </c>
      <c r="Q427" s="3">
        <v>4</v>
      </c>
      <c r="R427" s="3">
        <v>2</v>
      </c>
      <c r="S427" s="3">
        <v>3</v>
      </c>
      <c r="T42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27" t="str">
        <f>IF(Table1[[#This Row],[Customer Rating]]&gt;=9,"Promoter",IF(Table1[[#This Row],[Customer Rating]]&gt;=7,"Passive","Detractor"))</f>
        <v>Detractor</v>
      </c>
    </row>
    <row r="428" spans="1:21" ht="14.25" customHeight="1" x14ac:dyDescent="0.3">
      <c r="A428" s="3" t="s">
        <v>463</v>
      </c>
      <c r="B428" s="3" t="s">
        <v>29</v>
      </c>
      <c r="C428" s="3" t="s">
        <v>30</v>
      </c>
      <c r="D428" s="14">
        <v>45948</v>
      </c>
      <c r="E428" s="11">
        <f>1</f>
        <v>1</v>
      </c>
      <c r="F428" s="14">
        <v>45950</v>
      </c>
      <c r="G428" s="11">
        <f>IF(Table1[[#This Row],[Pre-Booking Date]]&lt;&gt;"",1,0)</f>
        <v>1</v>
      </c>
      <c r="H428" s="4">
        <v>45954</v>
      </c>
      <c r="I428" s="11">
        <f>IF(Table1[[#This Row],[Booking Date]]&lt;&gt;"",1,0)</f>
        <v>1</v>
      </c>
      <c r="J428" s="30">
        <v>45958</v>
      </c>
      <c r="K428" s="11">
        <f>IF(Table1[[#This Row],[Delivery Date]]&lt;&gt;"",1,0)</f>
        <v>1</v>
      </c>
      <c r="L428" s="3" t="s">
        <v>2</v>
      </c>
      <c r="M428" s="3">
        <f>IF(Table1[[#This Row],[Cancellation Status]]&lt;&gt;"Yes",1,0)</f>
        <v>1</v>
      </c>
      <c r="O428" s="30">
        <v>45972</v>
      </c>
      <c r="P428" s="3">
        <v>2</v>
      </c>
      <c r="Q428" s="3">
        <v>4</v>
      </c>
      <c r="R428" s="3">
        <v>4</v>
      </c>
      <c r="S428" s="3">
        <v>10</v>
      </c>
      <c r="T42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28" t="str">
        <f>IF(Table1[[#This Row],[Customer Rating]]&gt;=9,"Promoter",IF(Table1[[#This Row],[Customer Rating]]&gt;=7,"Passive","Detractor"))</f>
        <v>Promoter</v>
      </c>
    </row>
    <row r="429" spans="1:21" ht="14.25" customHeight="1" x14ac:dyDescent="0.3">
      <c r="A429" s="3" t="s">
        <v>464</v>
      </c>
      <c r="B429" s="3" t="s">
        <v>26</v>
      </c>
      <c r="C429" s="3" t="s">
        <v>33</v>
      </c>
      <c r="D429" s="14">
        <v>45948</v>
      </c>
      <c r="E429" s="11">
        <f>1</f>
        <v>1</v>
      </c>
      <c r="G429" s="12">
        <f>IF(Table1[[#This Row],[Pre-Booking Date]]&lt;&gt;"",1,0)</f>
        <v>0</v>
      </c>
      <c r="I429" s="12">
        <f>IF(Table1[[#This Row],[Booking Date]]&lt;&gt;"",1,0)</f>
        <v>0</v>
      </c>
      <c r="K429" s="12">
        <f>IF(Table1[[#This Row],[Delivery Date]]&lt;&gt;"",1,0)</f>
        <v>0</v>
      </c>
      <c r="L429" s="3" t="s">
        <v>3</v>
      </c>
      <c r="M429" s="3">
        <f>IF(Table1[[#This Row],[Cancellation Status]]&lt;&gt;"Yes",1,0)</f>
        <v>0</v>
      </c>
      <c r="N429" s="3" t="s">
        <v>52</v>
      </c>
      <c r="T42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29" t="str">
        <f>IF(Table1[[#This Row],[Customer Rating]]&gt;=9,"Promoter",IF(Table1[[#This Row],[Customer Rating]]&gt;=7,"Passive","Detractor"))</f>
        <v>Detractor</v>
      </c>
    </row>
    <row r="430" spans="1:21" ht="14.25" customHeight="1" x14ac:dyDescent="0.3">
      <c r="A430" s="3" t="s">
        <v>465</v>
      </c>
      <c r="B430" s="3" t="s">
        <v>26</v>
      </c>
      <c r="C430" s="3" t="s">
        <v>27</v>
      </c>
      <c r="D430" s="14">
        <v>45948</v>
      </c>
      <c r="E430" s="11">
        <f>1</f>
        <v>1</v>
      </c>
      <c r="F430" s="14">
        <v>45951</v>
      </c>
      <c r="G430" s="11">
        <f>IF(Table1[[#This Row],[Pre-Booking Date]]&lt;&gt;"",1,0)</f>
        <v>1</v>
      </c>
      <c r="H430" s="4">
        <v>45954</v>
      </c>
      <c r="I430" s="11">
        <f>IF(Table1[[#This Row],[Booking Date]]&lt;&gt;"",1,0)</f>
        <v>1</v>
      </c>
      <c r="J430" s="30">
        <v>45957</v>
      </c>
      <c r="K430" s="11">
        <f>IF(Table1[[#This Row],[Delivery Date]]&lt;&gt;"",1,0)</f>
        <v>1</v>
      </c>
      <c r="L430" s="3" t="s">
        <v>2</v>
      </c>
      <c r="M430" s="3">
        <f>IF(Table1[[#This Row],[Cancellation Status]]&lt;&gt;"Yes",1,0)</f>
        <v>1</v>
      </c>
      <c r="O430" s="30">
        <v>45978</v>
      </c>
      <c r="P430" s="3">
        <v>3</v>
      </c>
      <c r="Q430" s="3">
        <v>3</v>
      </c>
      <c r="R430" s="3">
        <v>3</v>
      </c>
      <c r="S430" s="3">
        <v>0</v>
      </c>
      <c r="T43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30" t="str">
        <f>IF(Table1[[#This Row],[Customer Rating]]&gt;=9,"Promoter",IF(Table1[[#This Row],[Customer Rating]]&gt;=7,"Passive","Detractor"))</f>
        <v>Detractor</v>
      </c>
    </row>
    <row r="431" spans="1:21" ht="14.25" customHeight="1" x14ac:dyDescent="0.3">
      <c r="A431" s="3" t="s">
        <v>466</v>
      </c>
      <c r="B431" s="3" t="s">
        <v>29</v>
      </c>
      <c r="C431" s="3" t="s">
        <v>27</v>
      </c>
      <c r="D431" s="14">
        <v>45948</v>
      </c>
      <c r="E431" s="11">
        <f>1</f>
        <v>1</v>
      </c>
      <c r="F431" s="14">
        <v>45953</v>
      </c>
      <c r="G431" s="11">
        <f>IF(Table1[[#This Row],[Pre-Booking Date]]&lt;&gt;"",1,0)</f>
        <v>1</v>
      </c>
      <c r="H431" s="4">
        <v>45954</v>
      </c>
      <c r="I431" s="11">
        <f>IF(Table1[[#This Row],[Booking Date]]&lt;&gt;"",1,0)</f>
        <v>1</v>
      </c>
      <c r="J431" s="30">
        <v>45957</v>
      </c>
      <c r="K431" s="11">
        <f>IF(Table1[[#This Row],[Delivery Date]]&lt;&gt;"",1,0)</f>
        <v>1</v>
      </c>
      <c r="L431" s="3" t="s">
        <v>2</v>
      </c>
      <c r="M431" s="3">
        <f>IF(Table1[[#This Row],[Cancellation Status]]&lt;&gt;"Yes",1,0)</f>
        <v>1</v>
      </c>
      <c r="O431" s="30">
        <v>45972</v>
      </c>
      <c r="P431" s="3">
        <v>5</v>
      </c>
      <c r="Q431" s="3">
        <v>1</v>
      </c>
      <c r="R431" s="3">
        <v>3</v>
      </c>
      <c r="S431" s="3">
        <v>10</v>
      </c>
      <c r="T43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31" t="str">
        <f>IF(Table1[[#This Row],[Customer Rating]]&gt;=9,"Promoter",IF(Table1[[#This Row],[Customer Rating]]&gt;=7,"Passive","Detractor"))</f>
        <v>Promoter</v>
      </c>
    </row>
    <row r="432" spans="1:21" ht="14.25" customHeight="1" x14ac:dyDescent="0.3">
      <c r="A432" s="3" t="s">
        <v>467</v>
      </c>
      <c r="B432" s="3" t="s">
        <v>26</v>
      </c>
      <c r="C432" s="3" t="s">
        <v>30</v>
      </c>
      <c r="D432" s="14">
        <v>45948</v>
      </c>
      <c r="E432" s="11">
        <f>1</f>
        <v>1</v>
      </c>
      <c r="F432" s="14">
        <v>45952</v>
      </c>
      <c r="G432" s="11">
        <f>IF(Table1[[#This Row],[Pre-Booking Date]]&lt;&gt;"",1,0)</f>
        <v>1</v>
      </c>
      <c r="H432" s="4">
        <v>45957</v>
      </c>
      <c r="I432" s="11">
        <f>IF(Table1[[#This Row],[Booking Date]]&lt;&gt;"",1,0)</f>
        <v>1</v>
      </c>
      <c r="J432" s="30">
        <v>45962</v>
      </c>
      <c r="K432" s="11">
        <f>IF(Table1[[#This Row],[Delivery Date]]&lt;&gt;"",1,0)</f>
        <v>1</v>
      </c>
      <c r="L432" s="3" t="s">
        <v>2</v>
      </c>
      <c r="M432" s="3">
        <f>IF(Table1[[#This Row],[Cancellation Status]]&lt;&gt;"Yes",1,0)</f>
        <v>1</v>
      </c>
      <c r="O432" s="30">
        <v>45974</v>
      </c>
      <c r="P432" s="3">
        <v>4</v>
      </c>
      <c r="Q432" s="3">
        <v>5</v>
      </c>
      <c r="R432" s="3">
        <v>5</v>
      </c>
      <c r="S432" s="3">
        <v>6</v>
      </c>
      <c r="T43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32" t="str">
        <f>IF(Table1[[#This Row],[Customer Rating]]&gt;=9,"Promoter",IF(Table1[[#This Row],[Customer Rating]]&gt;=7,"Passive","Detractor"))</f>
        <v>Detractor</v>
      </c>
    </row>
    <row r="433" spans="1:21" ht="14.25" customHeight="1" x14ac:dyDescent="0.3">
      <c r="A433" s="3" t="s">
        <v>468</v>
      </c>
      <c r="B433" s="3" t="s">
        <v>39</v>
      </c>
      <c r="C433" s="3" t="s">
        <v>30</v>
      </c>
      <c r="D433" s="14">
        <v>45948</v>
      </c>
      <c r="E433" s="11">
        <f>1</f>
        <v>1</v>
      </c>
      <c r="F433" s="14">
        <v>45952</v>
      </c>
      <c r="G433" s="11">
        <f>IF(Table1[[#This Row],[Pre-Booking Date]]&lt;&gt;"",1,0)</f>
        <v>1</v>
      </c>
      <c r="H433" s="4">
        <v>45954</v>
      </c>
      <c r="I433" s="11">
        <f>IF(Table1[[#This Row],[Booking Date]]&lt;&gt;"",1,0)</f>
        <v>1</v>
      </c>
      <c r="J433" s="30">
        <v>45956</v>
      </c>
      <c r="K433" s="11">
        <f>IF(Table1[[#This Row],[Delivery Date]]&lt;&gt;"",1,0)</f>
        <v>1</v>
      </c>
      <c r="L433" s="3" t="s">
        <v>2</v>
      </c>
      <c r="M433" s="3">
        <f>IF(Table1[[#This Row],[Cancellation Status]]&lt;&gt;"Yes",1,0)</f>
        <v>1</v>
      </c>
      <c r="O433" s="30">
        <v>45981</v>
      </c>
      <c r="P433" s="3">
        <v>4</v>
      </c>
      <c r="Q433" s="3">
        <v>2</v>
      </c>
      <c r="R433" s="3">
        <v>2</v>
      </c>
      <c r="S433" s="3">
        <v>5</v>
      </c>
      <c r="T43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33" t="str">
        <f>IF(Table1[[#This Row],[Customer Rating]]&gt;=9,"Promoter",IF(Table1[[#This Row],[Customer Rating]]&gt;=7,"Passive","Detractor"))</f>
        <v>Detractor</v>
      </c>
    </row>
    <row r="434" spans="1:21" ht="14.25" customHeight="1" x14ac:dyDescent="0.3">
      <c r="A434" s="3" t="s">
        <v>469</v>
      </c>
      <c r="B434" s="3" t="s">
        <v>29</v>
      </c>
      <c r="C434" s="3" t="s">
        <v>27</v>
      </c>
      <c r="D434" s="14">
        <v>45948</v>
      </c>
      <c r="E434" s="11">
        <f>1</f>
        <v>1</v>
      </c>
      <c r="F434" s="14">
        <v>45949</v>
      </c>
      <c r="G434" s="11">
        <f>IF(Table1[[#This Row],[Pre-Booking Date]]&lt;&gt;"",1,0)</f>
        <v>1</v>
      </c>
      <c r="H434" s="4">
        <v>45951</v>
      </c>
      <c r="I434" s="11">
        <f>IF(Table1[[#This Row],[Booking Date]]&lt;&gt;"",1,0)</f>
        <v>1</v>
      </c>
      <c r="J434" s="30">
        <v>45957</v>
      </c>
      <c r="K434" s="11">
        <f>IF(Table1[[#This Row],[Delivery Date]]&lt;&gt;"",1,0)</f>
        <v>1</v>
      </c>
      <c r="L434" s="3" t="s">
        <v>2</v>
      </c>
      <c r="M434" s="3">
        <f>IF(Table1[[#This Row],[Cancellation Status]]&lt;&gt;"Yes",1,0)</f>
        <v>1</v>
      </c>
      <c r="O434" s="30">
        <v>45974</v>
      </c>
      <c r="P434" s="3">
        <v>1</v>
      </c>
      <c r="Q434" s="3">
        <v>2</v>
      </c>
      <c r="R434" s="3">
        <v>6</v>
      </c>
      <c r="S434" s="3">
        <v>7</v>
      </c>
      <c r="T43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34" t="str">
        <f>IF(Table1[[#This Row],[Customer Rating]]&gt;=9,"Promoter",IF(Table1[[#This Row],[Customer Rating]]&gt;=7,"Passive","Detractor"))</f>
        <v>Passive</v>
      </c>
    </row>
    <row r="435" spans="1:21" ht="14.25" customHeight="1" x14ac:dyDescent="0.3">
      <c r="A435" s="3" t="s">
        <v>470</v>
      </c>
      <c r="B435" s="3" t="s">
        <v>29</v>
      </c>
      <c r="C435" s="3" t="s">
        <v>33</v>
      </c>
      <c r="D435" s="14">
        <v>45948</v>
      </c>
      <c r="E435" s="11">
        <f>1</f>
        <v>1</v>
      </c>
      <c r="G435" s="12">
        <f>IF(Table1[[#This Row],[Pre-Booking Date]]&lt;&gt;"",1,0)</f>
        <v>0</v>
      </c>
      <c r="I435" s="12">
        <f>IF(Table1[[#This Row],[Booking Date]]&lt;&gt;"",1,0)</f>
        <v>0</v>
      </c>
      <c r="K435" s="12">
        <f>IF(Table1[[#This Row],[Delivery Date]]&lt;&gt;"",1,0)</f>
        <v>0</v>
      </c>
      <c r="L435" s="3" t="s">
        <v>3</v>
      </c>
      <c r="M435" s="3">
        <f>IF(Table1[[#This Row],[Cancellation Status]]&lt;&gt;"Yes",1,0)</f>
        <v>0</v>
      </c>
      <c r="N435" s="3" t="s">
        <v>42</v>
      </c>
      <c r="T43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35" t="str">
        <f>IF(Table1[[#This Row],[Customer Rating]]&gt;=9,"Promoter",IF(Table1[[#This Row],[Customer Rating]]&gt;=7,"Passive","Detractor"))</f>
        <v>Detractor</v>
      </c>
    </row>
    <row r="436" spans="1:21" ht="14.25" customHeight="1" x14ac:dyDescent="0.3">
      <c r="A436" s="3" t="s">
        <v>471</v>
      </c>
      <c r="B436" s="3" t="s">
        <v>39</v>
      </c>
      <c r="C436" s="3" t="s">
        <v>30</v>
      </c>
      <c r="D436" s="14">
        <v>45948</v>
      </c>
      <c r="E436" s="11">
        <f>1</f>
        <v>1</v>
      </c>
      <c r="F436" s="14">
        <v>45953</v>
      </c>
      <c r="G436" s="11">
        <f>IF(Table1[[#This Row],[Pre-Booking Date]]&lt;&gt;"",1,0)</f>
        <v>1</v>
      </c>
      <c r="H436" s="4">
        <v>45957</v>
      </c>
      <c r="I436" s="11">
        <f>IF(Table1[[#This Row],[Booking Date]]&lt;&gt;"",1,0)</f>
        <v>1</v>
      </c>
      <c r="J436" s="30">
        <v>45963</v>
      </c>
      <c r="K436" s="11">
        <f>IF(Table1[[#This Row],[Delivery Date]]&lt;&gt;"",1,0)</f>
        <v>1</v>
      </c>
      <c r="L436" s="3" t="s">
        <v>2</v>
      </c>
      <c r="M436" s="3">
        <f>IF(Table1[[#This Row],[Cancellation Status]]&lt;&gt;"Yes",1,0)</f>
        <v>1</v>
      </c>
      <c r="O436" s="30">
        <v>45982</v>
      </c>
      <c r="P436" s="3">
        <v>5</v>
      </c>
      <c r="Q436" s="3">
        <v>4</v>
      </c>
      <c r="R436" s="3">
        <v>6</v>
      </c>
      <c r="S436" s="3">
        <v>4</v>
      </c>
      <c r="T43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36" t="str">
        <f>IF(Table1[[#This Row],[Customer Rating]]&gt;=9,"Promoter",IF(Table1[[#This Row],[Customer Rating]]&gt;=7,"Passive","Detractor"))</f>
        <v>Detractor</v>
      </c>
    </row>
    <row r="437" spans="1:21" ht="14.25" customHeight="1" x14ac:dyDescent="0.3">
      <c r="A437" s="3" t="s">
        <v>472</v>
      </c>
      <c r="B437" s="3" t="s">
        <v>29</v>
      </c>
      <c r="C437" s="3" t="s">
        <v>33</v>
      </c>
      <c r="D437" s="14">
        <v>45948</v>
      </c>
      <c r="E437" s="11">
        <f>1</f>
        <v>1</v>
      </c>
      <c r="G437" s="12">
        <f>IF(Table1[[#This Row],[Pre-Booking Date]]&lt;&gt;"",1,0)</f>
        <v>0</v>
      </c>
      <c r="I437" s="12">
        <f>IF(Table1[[#This Row],[Booking Date]]&lt;&gt;"",1,0)</f>
        <v>0</v>
      </c>
      <c r="K437" s="12">
        <f>IF(Table1[[#This Row],[Delivery Date]]&lt;&gt;"",1,0)</f>
        <v>0</v>
      </c>
      <c r="L437" s="3" t="s">
        <v>3</v>
      </c>
      <c r="M437" s="3">
        <f>IF(Table1[[#This Row],[Cancellation Status]]&lt;&gt;"Yes",1,0)</f>
        <v>0</v>
      </c>
      <c r="N437" s="3" t="s">
        <v>55</v>
      </c>
      <c r="T43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37" t="str">
        <f>IF(Table1[[#This Row],[Customer Rating]]&gt;=9,"Promoter",IF(Table1[[#This Row],[Customer Rating]]&gt;=7,"Passive","Detractor"))</f>
        <v>Detractor</v>
      </c>
    </row>
    <row r="438" spans="1:21" ht="14.25" customHeight="1" x14ac:dyDescent="0.3">
      <c r="A438" s="3" t="s">
        <v>473</v>
      </c>
      <c r="B438" s="3" t="s">
        <v>39</v>
      </c>
      <c r="C438" s="3" t="s">
        <v>27</v>
      </c>
      <c r="D438" s="14">
        <v>45948</v>
      </c>
      <c r="E438" s="11">
        <f>1</f>
        <v>1</v>
      </c>
      <c r="F438" s="14">
        <v>45952</v>
      </c>
      <c r="G438" s="11">
        <f>IF(Table1[[#This Row],[Pre-Booking Date]]&lt;&gt;"",1,0)</f>
        <v>1</v>
      </c>
      <c r="H438" s="4">
        <v>45953</v>
      </c>
      <c r="I438" s="11">
        <f>IF(Table1[[#This Row],[Booking Date]]&lt;&gt;"",1,0)</f>
        <v>1</v>
      </c>
      <c r="J438" s="30">
        <v>45960</v>
      </c>
      <c r="K438" s="11">
        <f>IF(Table1[[#This Row],[Delivery Date]]&lt;&gt;"",1,0)</f>
        <v>1</v>
      </c>
      <c r="L438" s="3" t="s">
        <v>2</v>
      </c>
      <c r="M438" s="3">
        <f>IF(Table1[[#This Row],[Cancellation Status]]&lt;&gt;"Yes",1,0)</f>
        <v>1</v>
      </c>
      <c r="O438" s="30">
        <v>45981</v>
      </c>
      <c r="P438" s="3">
        <v>4</v>
      </c>
      <c r="Q438" s="3">
        <v>1</v>
      </c>
      <c r="R438" s="3">
        <v>7</v>
      </c>
      <c r="S438" s="3">
        <v>6</v>
      </c>
      <c r="T43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38" t="str">
        <f>IF(Table1[[#This Row],[Customer Rating]]&gt;=9,"Promoter",IF(Table1[[#This Row],[Customer Rating]]&gt;=7,"Passive","Detractor"))</f>
        <v>Detractor</v>
      </c>
    </row>
    <row r="439" spans="1:21" ht="14.25" customHeight="1" x14ac:dyDescent="0.3">
      <c r="A439" s="3" t="s">
        <v>474</v>
      </c>
      <c r="B439" s="3" t="s">
        <v>26</v>
      </c>
      <c r="C439" s="3" t="s">
        <v>27</v>
      </c>
      <c r="D439" s="14">
        <v>45948</v>
      </c>
      <c r="E439" s="11">
        <f>1</f>
        <v>1</v>
      </c>
      <c r="F439" s="14">
        <v>45953</v>
      </c>
      <c r="G439" s="11">
        <f>IF(Table1[[#This Row],[Pre-Booking Date]]&lt;&gt;"",1,0)</f>
        <v>1</v>
      </c>
      <c r="H439" s="4">
        <v>45957</v>
      </c>
      <c r="I439" s="11">
        <f>IF(Table1[[#This Row],[Booking Date]]&lt;&gt;"",1,0)</f>
        <v>1</v>
      </c>
      <c r="J439" s="30">
        <v>45964</v>
      </c>
      <c r="K439" s="11">
        <f>IF(Table1[[#This Row],[Delivery Date]]&lt;&gt;"",1,0)</f>
        <v>1</v>
      </c>
      <c r="L439" s="3" t="s">
        <v>2</v>
      </c>
      <c r="M439" s="3">
        <f>IF(Table1[[#This Row],[Cancellation Status]]&lt;&gt;"Yes",1,0)</f>
        <v>1</v>
      </c>
      <c r="O439" s="30">
        <v>45990</v>
      </c>
      <c r="P439" s="3">
        <v>5</v>
      </c>
      <c r="Q439" s="3">
        <v>4</v>
      </c>
      <c r="R439" s="3">
        <v>7</v>
      </c>
      <c r="S439" s="3">
        <v>8</v>
      </c>
      <c r="T43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39" t="str">
        <f>IF(Table1[[#This Row],[Customer Rating]]&gt;=9,"Promoter",IF(Table1[[#This Row],[Customer Rating]]&gt;=7,"Passive","Detractor"))</f>
        <v>Passive</v>
      </c>
    </row>
    <row r="440" spans="1:21" ht="14.25" customHeight="1" x14ac:dyDescent="0.3">
      <c r="A440" s="3" t="s">
        <v>475</v>
      </c>
      <c r="B440" s="3" t="s">
        <v>39</v>
      </c>
      <c r="C440" s="3" t="s">
        <v>27</v>
      </c>
      <c r="D440" s="14">
        <v>45948</v>
      </c>
      <c r="E440" s="11">
        <f>1</f>
        <v>1</v>
      </c>
      <c r="F440" s="14">
        <v>45950</v>
      </c>
      <c r="G440" s="11">
        <f>IF(Table1[[#This Row],[Pre-Booking Date]]&lt;&gt;"",1,0)</f>
        <v>1</v>
      </c>
      <c r="H440" s="4">
        <v>45954</v>
      </c>
      <c r="I440" s="11">
        <f>IF(Table1[[#This Row],[Booking Date]]&lt;&gt;"",1,0)</f>
        <v>1</v>
      </c>
      <c r="J440" s="30">
        <v>45961</v>
      </c>
      <c r="K440" s="11">
        <f>IF(Table1[[#This Row],[Delivery Date]]&lt;&gt;"",1,0)</f>
        <v>1</v>
      </c>
      <c r="L440" s="3" t="s">
        <v>2</v>
      </c>
      <c r="M440" s="3">
        <f>IF(Table1[[#This Row],[Cancellation Status]]&lt;&gt;"Yes",1,0)</f>
        <v>1</v>
      </c>
      <c r="O440" s="30">
        <v>45974</v>
      </c>
      <c r="P440" s="3">
        <v>2</v>
      </c>
      <c r="Q440" s="3">
        <v>4</v>
      </c>
      <c r="R440" s="3">
        <v>7</v>
      </c>
      <c r="S440" s="3">
        <v>3</v>
      </c>
      <c r="T44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40" t="str">
        <f>IF(Table1[[#This Row],[Customer Rating]]&gt;=9,"Promoter",IF(Table1[[#This Row],[Customer Rating]]&gt;=7,"Passive","Detractor"))</f>
        <v>Detractor</v>
      </c>
    </row>
    <row r="441" spans="1:21" ht="14.25" customHeight="1" x14ac:dyDescent="0.3">
      <c r="A441" s="3" t="s">
        <v>476</v>
      </c>
      <c r="B441" s="3" t="s">
        <v>32</v>
      </c>
      <c r="C441" s="3" t="s">
        <v>27</v>
      </c>
      <c r="D441" s="14">
        <v>45948</v>
      </c>
      <c r="E441" s="11">
        <f>1</f>
        <v>1</v>
      </c>
      <c r="F441" s="14">
        <v>45953</v>
      </c>
      <c r="G441" s="11">
        <f>IF(Table1[[#This Row],[Pre-Booking Date]]&lt;&gt;"",1,0)</f>
        <v>1</v>
      </c>
      <c r="H441" s="4">
        <v>45957</v>
      </c>
      <c r="I441" s="11">
        <f>IF(Table1[[#This Row],[Booking Date]]&lt;&gt;"",1,0)</f>
        <v>1</v>
      </c>
      <c r="J441" s="30">
        <v>45961</v>
      </c>
      <c r="K441" s="11">
        <f>IF(Table1[[#This Row],[Delivery Date]]&lt;&gt;"",1,0)</f>
        <v>1</v>
      </c>
      <c r="L441" s="3" t="s">
        <v>2</v>
      </c>
      <c r="M441" s="3">
        <f>IF(Table1[[#This Row],[Cancellation Status]]&lt;&gt;"Yes",1,0)</f>
        <v>1</v>
      </c>
      <c r="O441" s="30">
        <v>45989</v>
      </c>
      <c r="P441" s="3">
        <v>5</v>
      </c>
      <c r="Q441" s="3">
        <v>4</v>
      </c>
      <c r="R441" s="3">
        <v>4</v>
      </c>
      <c r="S441" s="3">
        <v>6</v>
      </c>
      <c r="T44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41" t="str">
        <f>IF(Table1[[#This Row],[Customer Rating]]&gt;=9,"Promoter",IF(Table1[[#This Row],[Customer Rating]]&gt;=7,"Passive","Detractor"))</f>
        <v>Detractor</v>
      </c>
    </row>
    <row r="442" spans="1:21" ht="14.25" customHeight="1" x14ac:dyDescent="0.3">
      <c r="A442" s="3" t="s">
        <v>477</v>
      </c>
      <c r="B442" s="3" t="s">
        <v>29</v>
      </c>
      <c r="C442" s="3" t="s">
        <v>30</v>
      </c>
      <c r="D442" s="14">
        <v>45948</v>
      </c>
      <c r="E442" s="11">
        <f>1</f>
        <v>1</v>
      </c>
      <c r="F442" s="14">
        <v>45951</v>
      </c>
      <c r="G442" s="11">
        <f>IF(Table1[[#This Row],[Pre-Booking Date]]&lt;&gt;"",1,0)</f>
        <v>1</v>
      </c>
      <c r="H442" s="4">
        <v>45955</v>
      </c>
      <c r="I442" s="11">
        <f>IF(Table1[[#This Row],[Booking Date]]&lt;&gt;"",1,0)</f>
        <v>1</v>
      </c>
      <c r="J442" s="30">
        <v>45962</v>
      </c>
      <c r="K442" s="11">
        <f>IF(Table1[[#This Row],[Delivery Date]]&lt;&gt;"",1,0)</f>
        <v>1</v>
      </c>
      <c r="L442" s="3" t="s">
        <v>2</v>
      </c>
      <c r="M442" s="3">
        <f>IF(Table1[[#This Row],[Cancellation Status]]&lt;&gt;"Yes",1,0)</f>
        <v>1</v>
      </c>
      <c r="O442" s="30">
        <v>45984</v>
      </c>
      <c r="P442" s="3">
        <v>3</v>
      </c>
      <c r="Q442" s="3">
        <v>4</v>
      </c>
      <c r="R442" s="3">
        <v>7</v>
      </c>
      <c r="S442" s="3">
        <v>1</v>
      </c>
      <c r="T44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42" t="str">
        <f>IF(Table1[[#This Row],[Customer Rating]]&gt;=9,"Promoter",IF(Table1[[#This Row],[Customer Rating]]&gt;=7,"Passive","Detractor"))</f>
        <v>Detractor</v>
      </c>
    </row>
    <row r="443" spans="1:21" ht="14.25" customHeight="1" x14ac:dyDescent="0.3">
      <c r="A443" s="3" t="s">
        <v>478</v>
      </c>
      <c r="B443" s="3" t="s">
        <v>26</v>
      </c>
      <c r="C443" s="3" t="s">
        <v>27</v>
      </c>
      <c r="D443" s="14">
        <v>45948</v>
      </c>
      <c r="E443" s="11">
        <f>1</f>
        <v>1</v>
      </c>
      <c r="F443" s="14">
        <v>45950</v>
      </c>
      <c r="G443" s="11">
        <f>IF(Table1[[#This Row],[Pre-Booking Date]]&lt;&gt;"",1,0)</f>
        <v>1</v>
      </c>
      <c r="H443" s="4">
        <v>45952</v>
      </c>
      <c r="I443" s="11">
        <f>IF(Table1[[#This Row],[Booking Date]]&lt;&gt;"",1,0)</f>
        <v>1</v>
      </c>
      <c r="J443" s="30">
        <v>45957</v>
      </c>
      <c r="K443" s="11">
        <f>IF(Table1[[#This Row],[Delivery Date]]&lt;&gt;"",1,0)</f>
        <v>1</v>
      </c>
      <c r="L443" s="3" t="s">
        <v>2</v>
      </c>
      <c r="M443" s="3">
        <f>IF(Table1[[#This Row],[Cancellation Status]]&lt;&gt;"Yes",1,0)</f>
        <v>1</v>
      </c>
      <c r="O443" s="30">
        <v>45974</v>
      </c>
      <c r="P443" s="3">
        <v>2</v>
      </c>
      <c r="Q443" s="3">
        <v>2</v>
      </c>
      <c r="R443" s="3">
        <v>5</v>
      </c>
      <c r="S443" s="3">
        <v>10</v>
      </c>
      <c r="T44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43" t="str">
        <f>IF(Table1[[#This Row],[Customer Rating]]&gt;=9,"Promoter",IF(Table1[[#This Row],[Customer Rating]]&gt;=7,"Passive","Detractor"))</f>
        <v>Promoter</v>
      </c>
    </row>
    <row r="444" spans="1:21" ht="14.25" customHeight="1" x14ac:dyDescent="0.3">
      <c r="A444" s="3" t="s">
        <v>479</v>
      </c>
      <c r="B444" s="3" t="s">
        <v>32</v>
      </c>
      <c r="C444" s="3" t="s">
        <v>30</v>
      </c>
      <c r="D444" s="14">
        <v>45948</v>
      </c>
      <c r="E444" s="11">
        <f>1</f>
        <v>1</v>
      </c>
      <c r="F444" s="14">
        <v>45949</v>
      </c>
      <c r="G444" s="11">
        <f>IF(Table1[[#This Row],[Pre-Booking Date]]&lt;&gt;"",1,0)</f>
        <v>1</v>
      </c>
      <c r="H444" s="4">
        <v>45951</v>
      </c>
      <c r="I444" s="11">
        <f>IF(Table1[[#This Row],[Booking Date]]&lt;&gt;"",1,0)</f>
        <v>1</v>
      </c>
      <c r="J444" s="30">
        <v>45955</v>
      </c>
      <c r="K444" s="11">
        <f>IF(Table1[[#This Row],[Delivery Date]]&lt;&gt;"",1,0)</f>
        <v>1</v>
      </c>
      <c r="L444" s="3" t="s">
        <v>2</v>
      </c>
      <c r="M444" s="3">
        <f>IF(Table1[[#This Row],[Cancellation Status]]&lt;&gt;"Yes",1,0)</f>
        <v>1</v>
      </c>
      <c r="O444" s="30">
        <v>45979</v>
      </c>
      <c r="P444" s="3">
        <v>1</v>
      </c>
      <c r="Q444" s="3">
        <v>2</v>
      </c>
      <c r="R444" s="3">
        <v>4</v>
      </c>
      <c r="S444" s="3">
        <v>8</v>
      </c>
      <c r="T44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44" t="str">
        <f>IF(Table1[[#This Row],[Customer Rating]]&gt;=9,"Promoter",IF(Table1[[#This Row],[Customer Rating]]&gt;=7,"Passive","Detractor"))</f>
        <v>Passive</v>
      </c>
    </row>
    <row r="445" spans="1:21" ht="14.25" customHeight="1" x14ac:dyDescent="0.3">
      <c r="A445" s="3" t="s">
        <v>480</v>
      </c>
      <c r="B445" s="3" t="s">
        <v>29</v>
      </c>
      <c r="C445" s="3" t="s">
        <v>33</v>
      </c>
      <c r="D445" s="14">
        <v>45948</v>
      </c>
      <c r="E445" s="11">
        <f>1</f>
        <v>1</v>
      </c>
      <c r="G445" s="12">
        <f>IF(Table1[[#This Row],[Pre-Booking Date]]&lt;&gt;"",1,0)</f>
        <v>0</v>
      </c>
      <c r="I445" s="12">
        <f>IF(Table1[[#This Row],[Booking Date]]&lt;&gt;"",1,0)</f>
        <v>0</v>
      </c>
      <c r="K445" s="12">
        <f>IF(Table1[[#This Row],[Delivery Date]]&lt;&gt;"",1,0)</f>
        <v>0</v>
      </c>
      <c r="L445" s="3" t="s">
        <v>3</v>
      </c>
      <c r="M445" s="3">
        <f>IF(Table1[[#This Row],[Cancellation Status]]&lt;&gt;"Yes",1,0)</f>
        <v>0</v>
      </c>
      <c r="N445" s="3" t="s">
        <v>42</v>
      </c>
      <c r="T44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45" t="str">
        <f>IF(Table1[[#This Row],[Customer Rating]]&gt;=9,"Promoter",IF(Table1[[#This Row],[Customer Rating]]&gt;=7,"Passive","Detractor"))</f>
        <v>Detractor</v>
      </c>
    </row>
    <row r="446" spans="1:21" ht="14.25" customHeight="1" x14ac:dyDescent="0.3">
      <c r="A446" s="3" t="s">
        <v>481</v>
      </c>
      <c r="B446" s="3" t="s">
        <v>29</v>
      </c>
      <c r="C446" s="3" t="s">
        <v>30</v>
      </c>
      <c r="D446" s="14">
        <v>45948</v>
      </c>
      <c r="E446" s="11">
        <f>1</f>
        <v>1</v>
      </c>
      <c r="F446" s="14">
        <v>45949</v>
      </c>
      <c r="G446" s="11">
        <f>IF(Table1[[#This Row],[Pre-Booking Date]]&lt;&gt;"",1,0)</f>
        <v>1</v>
      </c>
      <c r="H446" s="4">
        <v>45954</v>
      </c>
      <c r="I446" s="11">
        <f>IF(Table1[[#This Row],[Booking Date]]&lt;&gt;"",1,0)</f>
        <v>1</v>
      </c>
      <c r="J446" s="30">
        <v>45959</v>
      </c>
      <c r="K446" s="11">
        <f>IF(Table1[[#This Row],[Delivery Date]]&lt;&gt;"",1,0)</f>
        <v>1</v>
      </c>
      <c r="L446" s="3" t="s">
        <v>2</v>
      </c>
      <c r="M446" s="3">
        <f>IF(Table1[[#This Row],[Cancellation Status]]&lt;&gt;"Yes",1,0)</f>
        <v>1</v>
      </c>
      <c r="O446" s="30">
        <v>45970</v>
      </c>
      <c r="P446" s="3">
        <v>1</v>
      </c>
      <c r="Q446" s="3">
        <v>5</v>
      </c>
      <c r="R446" s="3">
        <v>5</v>
      </c>
      <c r="S446" s="3">
        <v>2</v>
      </c>
      <c r="T44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46" t="str">
        <f>IF(Table1[[#This Row],[Customer Rating]]&gt;=9,"Promoter",IF(Table1[[#This Row],[Customer Rating]]&gt;=7,"Passive","Detractor"))</f>
        <v>Detractor</v>
      </c>
    </row>
    <row r="447" spans="1:21" ht="14.25" customHeight="1" x14ac:dyDescent="0.3">
      <c r="A447" s="3" t="s">
        <v>482</v>
      </c>
      <c r="B447" s="3" t="s">
        <v>29</v>
      </c>
      <c r="C447" s="3" t="s">
        <v>27</v>
      </c>
      <c r="D447" s="14">
        <v>45948</v>
      </c>
      <c r="E447" s="11">
        <f>1</f>
        <v>1</v>
      </c>
      <c r="F447" s="14">
        <v>45949</v>
      </c>
      <c r="G447" s="11">
        <f>IF(Table1[[#This Row],[Pre-Booking Date]]&lt;&gt;"",1,0)</f>
        <v>1</v>
      </c>
      <c r="H447" s="4">
        <v>45951</v>
      </c>
      <c r="I447" s="11">
        <f>IF(Table1[[#This Row],[Booking Date]]&lt;&gt;"",1,0)</f>
        <v>1</v>
      </c>
      <c r="J447" s="30">
        <v>45954</v>
      </c>
      <c r="K447" s="11">
        <f>IF(Table1[[#This Row],[Delivery Date]]&lt;&gt;"",1,0)</f>
        <v>1</v>
      </c>
      <c r="L447" s="3" t="s">
        <v>2</v>
      </c>
      <c r="M447" s="3">
        <f>IF(Table1[[#This Row],[Cancellation Status]]&lt;&gt;"Yes",1,0)</f>
        <v>1</v>
      </c>
      <c r="O447" s="30">
        <v>45978</v>
      </c>
      <c r="P447" s="3">
        <v>1</v>
      </c>
      <c r="Q447" s="3">
        <v>2</v>
      </c>
      <c r="R447" s="3">
        <v>3</v>
      </c>
      <c r="S447" s="3">
        <v>7</v>
      </c>
      <c r="T44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47" t="str">
        <f>IF(Table1[[#This Row],[Customer Rating]]&gt;=9,"Promoter",IF(Table1[[#This Row],[Customer Rating]]&gt;=7,"Passive","Detractor"))</f>
        <v>Passive</v>
      </c>
    </row>
    <row r="448" spans="1:21" ht="14.25" customHeight="1" x14ac:dyDescent="0.3">
      <c r="A448" s="3" t="s">
        <v>483</v>
      </c>
      <c r="B448" s="3" t="s">
        <v>26</v>
      </c>
      <c r="C448" s="3" t="s">
        <v>27</v>
      </c>
      <c r="D448" s="14">
        <v>45948</v>
      </c>
      <c r="E448" s="11">
        <f>1</f>
        <v>1</v>
      </c>
      <c r="F448" s="14">
        <v>45953</v>
      </c>
      <c r="G448" s="11">
        <f>IF(Table1[[#This Row],[Pre-Booking Date]]&lt;&gt;"",1,0)</f>
        <v>1</v>
      </c>
      <c r="H448" s="4">
        <v>45956</v>
      </c>
      <c r="I448" s="11">
        <f>IF(Table1[[#This Row],[Booking Date]]&lt;&gt;"",1,0)</f>
        <v>1</v>
      </c>
      <c r="J448" s="30">
        <v>45963</v>
      </c>
      <c r="K448" s="11">
        <f>IF(Table1[[#This Row],[Delivery Date]]&lt;&gt;"",1,0)</f>
        <v>1</v>
      </c>
      <c r="L448" s="3" t="s">
        <v>2</v>
      </c>
      <c r="M448" s="3">
        <f>IF(Table1[[#This Row],[Cancellation Status]]&lt;&gt;"Yes",1,0)</f>
        <v>1</v>
      </c>
      <c r="O448" s="30">
        <v>45980</v>
      </c>
      <c r="P448" s="3">
        <v>5</v>
      </c>
      <c r="Q448" s="3">
        <v>3</v>
      </c>
      <c r="R448" s="3">
        <v>7</v>
      </c>
      <c r="S448" s="3">
        <v>3</v>
      </c>
      <c r="T44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48" t="str">
        <f>IF(Table1[[#This Row],[Customer Rating]]&gt;=9,"Promoter",IF(Table1[[#This Row],[Customer Rating]]&gt;=7,"Passive","Detractor"))</f>
        <v>Detractor</v>
      </c>
    </row>
    <row r="449" spans="1:21" ht="14.25" customHeight="1" x14ac:dyDescent="0.3">
      <c r="A449" s="3" t="s">
        <v>484</v>
      </c>
      <c r="B449" s="3" t="s">
        <v>39</v>
      </c>
      <c r="C449" s="3" t="s">
        <v>30</v>
      </c>
      <c r="D449" s="14">
        <v>45948</v>
      </c>
      <c r="E449" s="11">
        <f>1</f>
        <v>1</v>
      </c>
      <c r="F449" s="14">
        <v>45951</v>
      </c>
      <c r="G449" s="11">
        <f>IF(Table1[[#This Row],[Pre-Booking Date]]&lt;&gt;"",1,0)</f>
        <v>1</v>
      </c>
      <c r="H449" s="4">
        <v>45956</v>
      </c>
      <c r="I449" s="11">
        <f>IF(Table1[[#This Row],[Booking Date]]&lt;&gt;"",1,0)</f>
        <v>1</v>
      </c>
      <c r="J449" s="30">
        <v>45958</v>
      </c>
      <c r="K449" s="11">
        <f>IF(Table1[[#This Row],[Delivery Date]]&lt;&gt;"",1,0)</f>
        <v>1</v>
      </c>
      <c r="L449" s="3" t="s">
        <v>2</v>
      </c>
      <c r="M449" s="3">
        <f>IF(Table1[[#This Row],[Cancellation Status]]&lt;&gt;"Yes",1,0)</f>
        <v>1</v>
      </c>
      <c r="O449" s="30">
        <v>45982</v>
      </c>
      <c r="P449" s="3">
        <v>3</v>
      </c>
      <c r="Q449" s="3">
        <v>5</v>
      </c>
      <c r="R449" s="3">
        <v>2</v>
      </c>
      <c r="S449" s="3">
        <v>1</v>
      </c>
      <c r="T44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49" t="str">
        <f>IF(Table1[[#This Row],[Customer Rating]]&gt;=9,"Promoter",IF(Table1[[#This Row],[Customer Rating]]&gt;=7,"Passive","Detractor"))</f>
        <v>Detractor</v>
      </c>
    </row>
    <row r="450" spans="1:21" ht="14.25" customHeight="1" x14ac:dyDescent="0.3">
      <c r="A450" s="3" t="s">
        <v>485</v>
      </c>
      <c r="B450" s="3" t="s">
        <v>26</v>
      </c>
      <c r="C450" s="3" t="s">
        <v>33</v>
      </c>
      <c r="D450" s="14">
        <v>45948</v>
      </c>
      <c r="E450" s="11">
        <f>1</f>
        <v>1</v>
      </c>
      <c r="G450" s="12">
        <f>IF(Table1[[#This Row],[Pre-Booking Date]]&lt;&gt;"",1,0)</f>
        <v>0</v>
      </c>
      <c r="I450" s="12">
        <f>IF(Table1[[#This Row],[Booking Date]]&lt;&gt;"",1,0)</f>
        <v>0</v>
      </c>
      <c r="K450" s="12">
        <f>IF(Table1[[#This Row],[Delivery Date]]&lt;&gt;"",1,0)</f>
        <v>0</v>
      </c>
      <c r="L450" s="3" t="s">
        <v>3</v>
      </c>
      <c r="M450" s="3">
        <f>IF(Table1[[#This Row],[Cancellation Status]]&lt;&gt;"Yes",1,0)</f>
        <v>0</v>
      </c>
      <c r="N450" s="3" t="s">
        <v>34</v>
      </c>
      <c r="T45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50" t="str">
        <f>IF(Table1[[#This Row],[Customer Rating]]&gt;=9,"Promoter",IF(Table1[[#This Row],[Customer Rating]]&gt;=7,"Passive","Detractor"))</f>
        <v>Detractor</v>
      </c>
    </row>
    <row r="451" spans="1:21" ht="14.25" customHeight="1" x14ac:dyDescent="0.3">
      <c r="A451" s="3" t="s">
        <v>486</v>
      </c>
      <c r="B451" s="3" t="s">
        <v>29</v>
      </c>
      <c r="C451" s="3" t="s">
        <v>27</v>
      </c>
      <c r="D451" s="14">
        <v>45948</v>
      </c>
      <c r="E451" s="11">
        <f>1</f>
        <v>1</v>
      </c>
      <c r="F451" s="14">
        <v>45950</v>
      </c>
      <c r="G451" s="11">
        <f>IF(Table1[[#This Row],[Pre-Booking Date]]&lt;&gt;"",1,0)</f>
        <v>1</v>
      </c>
      <c r="H451" s="4">
        <v>45954</v>
      </c>
      <c r="I451" s="11">
        <f>IF(Table1[[#This Row],[Booking Date]]&lt;&gt;"",1,0)</f>
        <v>1</v>
      </c>
      <c r="J451" s="30">
        <v>45958</v>
      </c>
      <c r="K451" s="11">
        <f>IF(Table1[[#This Row],[Delivery Date]]&lt;&gt;"",1,0)</f>
        <v>1</v>
      </c>
      <c r="L451" s="3" t="s">
        <v>2</v>
      </c>
      <c r="M451" s="3">
        <f>IF(Table1[[#This Row],[Cancellation Status]]&lt;&gt;"Yes",1,0)</f>
        <v>1</v>
      </c>
      <c r="O451" s="30">
        <v>45969</v>
      </c>
      <c r="P451" s="3">
        <v>2</v>
      </c>
      <c r="Q451" s="3">
        <v>4</v>
      </c>
      <c r="R451" s="3">
        <v>4</v>
      </c>
      <c r="S451" s="3">
        <v>9</v>
      </c>
      <c r="T45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51" t="str">
        <f>IF(Table1[[#This Row],[Customer Rating]]&gt;=9,"Promoter",IF(Table1[[#This Row],[Customer Rating]]&gt;=7,"Passive","Detractor"))</f>
        <v>Promoter</v>
      </c>
    </row>
    <row r="452" spans="1:21" ht="14.25" customHeight="1" x14ac:dyDescent="0.3">
      <c r="A452" s="3" t="s">
        <v>487</v>
      </c>
      <c r="B452" s="3" t="s">
        <v>29</v>
      </c>
      <c r="C452" s="3" t="s">
        <v>30</v>
      </c>
      <c r="D452" s="14">
        <v>45948</v>
      </c>
      <c r="E452" s="11">
        <f>1</f>
        <v>1</v>
      </c>
      <c r="F452" s="14">
        <v>45953</v>
      </c>
      <c r="G452" s="11">
        <f>IF(Table1[[#This Row],[Pre-Booking Date]]&lt;&gt;"",1,0)</f>
        <v>1</v>
      </c>
      <c r="H452" s="4">
        <v>45954</v>
      </c>
      <c r="I452" s="11">
        <f>IF(Table1[[#This Row],[Booking Date]]&lt;&gt;"",1,0)</f>
        <v>1</v>
      </c>
      <c r="J452" s="30">
        <v>45960</v>
      </c>
      <c r="K452" s="11">
        <f>IF(Table1[[#This Row],[Delivery Date]]&lt;&gt;"",1,0)</f>
        <v>1</v>
      </c>
      <c r="L452" s="3" t="s">
        <v>2</v>
      </c>
      <c r="M452" s="3">
        <f>IF(Table1[[#This Row],[Cancellation Status]]&lt;&gt;"Yes",1,0)</f>
        <v>1</v>
      </c>
      <c r="O452" s="30">
        <v>45981</v>
      </c>
      <c r="P452" s="3">
        <v>5</v>
      </c>
      <c r="Q452" s="3">
        <v>1</v>
      </c>
      <c r="R452" s="3">
        <v>6</v>
      </c>
      <c r="S452" s="3">
        <v>9</v>
      </c>
      <c r="T45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52" t="str">
        <f>IF(Table1[[#This Row],[Customer Rating]]&gt;=9,"Promoter",IF(Table1[[#This Row],[Customer Rating]]&gt;=7,"Passive","Detractor"))</f>
        <v>Promoter</v>
      </c>
    </row>
    <row r="453" spans="1:21" ht="14.25" customHeight="1" x14ac:dyDescent="0.3">
      <c r="A453" s="3" t="s">
        <v>488</v>
      </c>
      <c r="B453" s="3" t="s">
        <v>26</v>
      </c>
      <c r="C453" s="3" t="s">
        <v>30</v>
      </c>
      <c r="D453" s="14">
        <v>45948</v>
      </c>
      <c r="E453" s="11">
        <f>1</f>
        <v>1</v>
      </c>
      <c r="F453" s="14">
        <v>45951</v>
      </c>
      <c r="G453" s="11">
        <f>IF(Table1[[#This Row],[Pre-Booking Date]]&lt;&gt;"",1,0)</f>
        <v>1</v>
      </c>
      <c r="H453" s="4">
        <v>45954</v>
      </c>
      <c r="I453" s="11">
        <f>IF(Table1[[#This Row],[Booking Date]]&lt;&gt;"",1,0)</f>
        <v>1</v>
      </c>
      <c r="J453" s="30">
        <v>45957</v>
      </c>
      <c r="K453" s="11">
        <f>IF(Table1[[#This Row],[Delivery Date]]&lt;&gt;"",1,0)</f>
        <v>1</v>
      </c>
      <c r="L453" s="3" t="s">
        <v>2</v>
      </c>
      <c r="M453" s="3">
        <f>IF(Table1[[#This Row],[Cancellation Status]]&lt;&gt;"Yes",1,0)</f>
        <v>1</v>
      </c>
      <c r="O453" s="30">
        <v>45985</v>
      </c>
      <c r="P453" s="3">
        <v>3</v>
      </c>
      <c r="Q453" s="3">
        <v>3</v>
      </c>
      <c r="R453" s="3">
        <v>3</v>
      </c>
      <c r="S453" s="3">
        <v>2</v>
      </c>
      <c r="T45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53" t="str">
        <f>IF(Table1[[#This Row],[Customer Rating]]&gt;=9,"Promoter",IF(Table1[[#This Row],[Customer Rating]]&gt;=7,"Passive","Detractor"))</f>
        <v>Detractor</v>
      </c>
    </row>
    <row r="454" spans="1:21" ht="14.25" customHeight="1" x14ac:dyDescent="0.3">
      <c r="A454" s="3" t="s">
        <v>489</v>
      </c>
      <c r="B454" s="3" t="s">
        <v>26</v>
      </c>
      <c r="C454" s="3" t="s">
        <v>33</v>
      </c>
      <c r="D454" s="14">
        <v>45948</v>
      </c>
      <c r="E454" s="11">
        <f>1</f>
        <v>1</v>
      </c>
      <c r="G454" s="12">
        <f>IF(Table1[[#This Row],[Pre-Booking Date]]&lt;&gt;"",1,0)</f>
        <v>0</v>
      </c>
      <c r="I454" s="12">
        <f>IF(Table1[[#This Row],[Booking Date]]&lt;&gt;"",1,0)</f>
        <v>0</v>
      </c>
      <c r="K454" s="12">
        <f>IF(Table1[[#This Row],[Delivery Date]]&lt;&gt;"",1,0)</f>
        <v>0</v>
      </c>
      <c r="L454" s="3" t="s">
        <v>3</v>
      </c>
      <c r="M454" s="3">
        <f>IF(Table1[[#This Row],[Cancellation Status]]&lt;&gt;"Yes",1,0)</f>
        <v>0</v>
      </c>
      <c r="N454" s="3" t="s">
        <v>52</v>
      </c>
      <c r="T45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54" t="str">
        <f>IF(Table1[[#This Row],[Customer Rating]]&gt;=9,"Promoter",IF(Table1[[#This Row],[Customer Rating]]&gt;=7,"Passive","Detractor"))</f>
        <v>Detractor</v>
      </c>
    </row>
    <row r="455" spans="1:21" ht="14.25" customHeight="1" x14ac:dyDescent="0.3">
      <c r="A455" s="3" t="s">
        <v>490</v>
      </c>
      <c r="B455" s="3" t="s">
        <v>26</v>
      </c>
      <c r="C455" s="3" t="s">
        <v>30</v>
      </c>
      <c r="D455" s="14">
        <v>45948</v>
      </c>
      <c r="E455" s="11">
        <f>1</f>
        <v>1</v>
      </c>
      <c r="F455" s="14">
        <v>45953</v>
      </c>
      <c r="G455" s="11">
        <f>IF(Table1[[#This Row],[Pre-Booking Date]]&lt;&gt;"",1,0)</f>
        <v>1</v>
      </c>
      <c r="H455" s="4">
        <v>45955</v>
      </c>
      <c r="I455" s="11">
        <f>IF(Table1[[#This Row],[Booking Date]]&lt;&gt;"",1,0)</f>
        <v>1</v>
      </c>
      <c r="J455" s="30">
        <v>45957</v>
      </c>
      <c r="K455" s="11">
        <f>IF(Table1[[#This Row],[Delivery Date]]&lt;&gt;"",1,0)</f>
        <v>1</v>
      </c>
      <c r="L455" s="3" t="s">
        <v>2</v>
      </c>
      <c r="M455" s="3">
        <f>IF(Table1[[#This Row],[Cancellation Status]]&lt;&gt;"Yes",1,0)</f>
        <v>1</v>
      </c>
      <c r="O455" s="30">
        <v>45987</v>
      </c>
      <c r="P455" s="3">
        <v>5</v>
      </c>
      <c r="Q455" s="3">
        <v>2</v>
      </c>
      <c r="R455" s="3">
        <v>2</v>
      </c>
      <c r="S455" s="3">
        <v>5</v>
      </c>
      <c r="T45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55" t="str">
        <f>IF(Table1[[#This Row],[Customer Rating]]&gt;=9,"Promoter",IF(Table1[[#This Row],[Customer Rating]]&gt;=7,"Passive","Detractor"))</f>
        <v>Detractor</v>
      </c>
    </row>
    <row r="456" spans="1:21" ht="14.25" customHeight="1" x14ac:dyDescent="0.3">
      <c r="A456" s="3" t="s">
        <v>491</v>
      </c>
      <c r="B456" s="3" t="s">
        <v>29</v>
      </c>
      <c r="C456" s="3" t="s">
        <v>30</v>
      </c>
      <c r="D456" s="14">
        <v>45948</v>
      </c>
      <c r="E456" s="11">
        <f>1</f>
        <v>1</v>
      </c>
      <c r="F456" s="14">
        <v>45953</v>
      </c>
      <c r="G456" s="11">
        <f>IF(Table1[[#This Row],[Pre-Booking Date]]&lt;&gt;"",1,0)</f>
        <v>1</v>
      </c>
      <c r="H456" s="4">
        <v>45957</v>
      </c>
      <c r="I456" s="11">
        <f>IF(Table1[[#This Row],[Booking Date]]&lt;&gt;"",1,0)</f>
        <v>1</v>
      </c>
      <c r="J456" s="30">
        <v>45960</v>
      </c>
      <c r="K456" s="11">
        <f>IF(Table1[[#This Row],[Delivery Date]]&lt;&gt;"",1,0)</f>
        <v>1</v>
      </c>
      <c r="L456" s="3" t="s">
        <v>2</v>
      </c>
      <c r="M456" s="3">
        <f>IF(Table1[[#This Row],[Cancellation Status]]&lt;&gt;"Yes",1,0)</f>
        <v>1</v>
      </c>
      <c r="O456" s="30">
        <v>45971</v>
      </c>
      <c r="P456" s="3">
        <v>5</v>
      </c>
      <c r="Q456" s="3">
        <v>4</v>
      </c>
      <c r="R456" s="3">
        <v>3</v>
      </c>
      <c r="S456" s="3">
        <v>8</v>
      </c>
      <c r="T45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56" t="str">
        <f>IF(Table1[[#This Row],[Customer Rating]]&gt;=9,"Promoter",IF(Table1[[#This Row],[Customer Rating]]&gt;=7,"Passive","Detractor"))</f>
        <v>Passive</v>
      </c>
    </row>
    <row r="457" spans="1:21" ht="14.25" customHeight="1" x14ac:dyDescent="0.3">
      <c r="A457" s="3" t="s">
        <v>492</v>
      </c>
      <c r="B457" s="3" t="s">
        <v>29</v>
      </c>
      <c r="C457" s="3" t="s">
        <v>30</v>
      </c>
      <c r="D457" s="14">
        <v>45948</v>
      </c>
      <c r="E457" s="11">
        <f>1</f>
        <v>1</v>
      </c>
      <c r="F457" s="14">
        <v>45949</v>
      </c>
      <c r="G457" s="11">
        <f>IF(Table1[[#This Row],[Pre-Booking Date]]&lt;&gt;"",1,0)</f>
        <v>1</v>
      </c>
      <c r="H457" s="4">
        <v>45952</v>
      </c>
      <c r="I457" s="11">
        <f>IF(Table1[[#This Row],[Booking Date]]&lt;&gt;"",1,0)</f>
        <v>1</v>
      </c>
      <c r="J457" s="30">
        <v>45955</v>
      </c>
      <c r="K457" s="11">
        <f>IF(Table1[[#This Row],[Delivery Date]]&lt;&gt;"",1,0)</f>
        <v>1</v>
      </c>
      <c r="L457" s="3" t="s">
        <v>2</v>
      </c>
      <c r="M457" s="3">
        <f>IF(Table1[[#This Row],[Cancellation Status]]&lt;&gt;"Yes",1,0)</f>
        <v>1</v>
      </c>
      <c r="O457" s="30">
        <v>45974</v>
      </c>
      <c r="P457" s="3">
        <v>1</v>
      </c>
      <c r="Q457" s="3">
        <v>3</v>
      </c>
      <c r="R457" s="3">
        <v>3</v>
      </c>
      <c r="S457" s="3">
        <v>5</v>
      </c>
      <c r="T45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57" t="str">
        <f>IF(Table1[[#This Row],[Customer Rating]]&gt;=9,"Promoter",IF(Table1[[#This Row],[Customer Rating]]&gt;=7,"Passive","Detractor"))</f>
        <v>Detractor</v>
      </c>
    </row>
    <row r="458" spans="1:21" ht="14.25" customHeight="1" x14ac:dyDescent="0.3">
      <c r="A458" s="3" t="s">
        <v>493</v>
      </c>
      <c r="B458" s="3" t="s">
        <v>32</v>
      </c>
      <c r="C458" s="3" t="s">
        <v>27</v>
      </c>
      <c r="D458" s="14">
        <v>45948</v>
      </c>
      <c r="E458" s="11">
        <f>1</f>
        <v>1</v>
      </c>
      <c r="F458" s="14">
        <v>45949</v>
      </c>
      <c r="G458" s="11">
        <f>IF(Table1[[#This Row],[Pre-Booking Date]]&lt;&gt;"",1,0)</f>
        <v>1</v>
      </c>
      <c r="H458" s="4">
        <v>45950</v>
      </c>
      <c r="I458" s="11">
        <f>IF(Table1[[#This Row],[Booking Date]]&lt;&gt;"",1,0)</f>
        <v>1</v>
      </c>
      <c r="J458" s="30">
        <v>45953</v>
      </c>
      <c r="K458" s="11">
        <f>IF(Table1[[#This Row],[Delivery Date]]&lt;&gt;"",1,0)</f>
        <v>1</v>
      </c>
      <c r="L458" s="3" t="s">
        <v>2</v>
      </c>
      <c r="M458" s="3">
        <f>IF(Table1[[#This Row],[Cancellation Status]]&lt;&gt;"Yes",1,0)</f>
        <v>1</v>
      </c>
      <c r="O458" s="30">
        <v>45964</v>
      </c>
      <c r="P458" s="3">
        <v>1</v>
      </c>
      <c r="Q458" s="3">
        <v>1</v>
      </c>
      <c r="R458" s="3">
        <v>3</v>
      </c>
      <c r="S458" s="3">
        <v>2</v>
      </c>
      <c r="T45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58" t="str">
        <f>IF(Table1[[#This Row],[Customer Rating]]&gt;=9,"Promoter",IF(Table1[[#This Row],[Customer Rating]]&gt;=7,"Passive","Detractor"))</f>
        <v>Detractor</v>
      </c>
    </row>
    <row r="459" spans="1:21" ht="14.25" customHeight="1" x14ac:dyDescent="0.3">
      <c r="A459" s="3" t="s">
        <v>494</v>
      </c>
      <c r="B459" s="3" t="s">
        <v>29</v>
      </c>
      <c r="C459" s="3" t="s">
        <v>33</v>
      </c>
      <c r="D459" s="14">
        <v>45948</v>
      </c>
      <c r="E459" s="11">
        <f>1</f>
        <v>1</v>
      </c>
      <c r="G459" s="12">
        <f>IF(Table1[[#This Row],[Pre-Booking Date]]&lt;&gt;"",1,0)</f>
        <v>0</v>
      </c>
      <c r="I459" s="12">
        <f>IF(Table1[[#This Row],[Booking Date]]&lt;&gt;"",1,0)</f>
        <v>0</v>
      </c>
      <c r="K459" s="12">
        <f>IF(Table1[[#This Row],[Delivery Date]]&lt;&gt;"",1,0)</f>
        <v>0</v>
      </c>
      <c r="L459" s="3" t="s">
        <v>3</v>
      </c>
      <c r="M459" s="3">
        <f>IF(Table1[[#This Row],[Cancellation Status]]&lt;&gt;"Yes",1,0)</f>
        <v>0</v>
      </c>
      <c r="N459" s="3" t="s">
        <v>52</v>
      </c>
      <c r="T45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59" t="str">
        <f>IF(Table1[[#This Row],[Customer Rating]]&gt;=9,"Promoter",IF(Table1[[#This Row],[Customer Rating]]&gt;=7,"Passive","Detractor"))</f>
        <v>Detractor</v>
      </c>
    </row>
    <row r="460" spans="1:21" ht="14.25" customHeight="1" x14ac:dyDescent="0.3">
      <c r="A460" s="3" t="s">
        <v>495</v>
      </c>
      <c r="B460" s="3" t="s">
        <v>26</v>
      </c>
      <c r="C460" s="3" t="s">
        <v>30</v>
      </c>
      <c r="D460" s="14">
        <v>45948</v>
      </c>
      <c r="E460" s="11">
        <f>1</f>
        <v>1</v>
      </c>
      <c r="F460" s="14">
        <v>45949</v>
      </c>
      <c r="G460" s="11">
        <f>IF(Table1[[#This Row],[Pre-Booking Date]]&lt;&gt;"",1,0)</f>
        <v>1</v>
      </c>
      <c r="H460" s="4">
        <v>45953</v>
      </c>
      <c r="I460" s="11">
        <f>IF(Table1[[#This Row],[Booking Date]]&lt;&gt;"",1,0)</f>
        <v>1</v>
      </c>
      <c r="J460" s="30">
        <v>45955</v>
      </c>
      <c r="K460" s="11">
        <f>IF(Table1[[#This Row],[Delivery Date]]&lt;&gt;"",1,0)</f>
        <v>1</v>
      </c>
      <c r="L460" s="3" t="s">
        <v>2</v>
      </c>
      <c r="M460" s="3">
        <f>IF(Table1[[#This Row],[Cancellation Status]]&lt;&gt;"Yes",1,0)</f>
        <v>1</v>
      </c>
      <c r="O460" s="30">
        <v>45976</v>
      </c>
      <c r="P460" s="3">
        <v>1</v>
      </c>
      <c r="Q460" s="3">
        <v>4</v>
      </c>
      <c r="R460" s="3">
        <v>2</v>
      </c>
      <c r="S460" s="3">
        <v>10</v>
      </c>
      <c r="T46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60" t="str">
        <f>IF(Table1[[#This Row],[Customer Rating]]&gt;=9,"Promoter",IF(Table1[[#This Row],[Customer Rating]]&gt;=7,"Passive","Detractor"))</f>
        <v>Promoter</v>
      </c>
    </row>
    <row r="461" spans="1:21" ht="14.25" customHeight="1" x14ac:dyDescent="0.3">
      <c r="A461" s="3" t="s">
        <v>496</v>
      </c>
      <c r="B461" s="3" t="s">
        <v>39</v>
      </c>
      <c r="C461" s="3" t="s">
        <v>30</v>
      </c>
      <c r="D461" s="14">
        <v>45948</v>
      </c>
      <c r="E461" s="11">
        <f>1</f>
        <v>1</v>
      </c>
      <c r="F461" s="14">
        <v>45953</v>
      </c>
      <c r="G461" s="11">
        <f>IF(Table1[[#This Row],[Pre-Booking Date]]&lt;&gt;"",1,0)</f>
        <v>1</v>
      </c>
      <c r="H461" s="4">
        <v>45958</v>
      </c>
      <c r="I461" s="11">
        <f>IF(Table1[[#This Row],[Booking Date]]&lt;&gt;"",1,0)</f>
        <v>1</v>
      </c>
      <c r="J461" s="30">
        <v>45965</v>
      </c>
      <c r="K461" s="11">
        <f>IF(Table1[[#This Row],[Delivery Date]]&lt;&gt;"",1,0)</f>
        <v>1</v>
      </c>
      <c r="L461" s="3" t="s">
        <v>2</v>
      </c>
      <c r="M461" s="3">
        <f>IF(Table1[[#This Row],[Cancellation Status]]&lt;&gt;"Yes",1,0)</f>
        <v>1</v>
      </c>
      <c r="O461" s="30">
        <v>45975</v>
      </c>
      <c r="P461" s="3">
        <v>5</v>
      </c>
      <c r="Q461" s="3">
        <v>5</v>
      </c>
      <c r="R461" s="3">
        <v>7</v>
      </c>
      <c r="S461" s="3">
        <v>5</v>
      </c>
      <c r="T46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61" t="str">
        <f>IF(Table1[[#This Row],[Customer Rating]]&gt;=9,"Promoter",IF(Table1[[#This Row],[Customer Rating]]&gt;=7,"Passive","Detractor"))</f>
        <v>Detractor</v>
      </c>
    </row>
    <row r="462" spans="1:21" ht="14.25" customHeight="1" x14ac:dyDescent="0.3">
      <c r="A462" s="3" t="s">
        <v>497</v>
      </c>
      <c r="B462" s="3" t="s">
        <v>39</v>
      </c>
      <c r="C462" s="3" t="s">
        <v>27</v>
      </c>
      <c r="D462" s="14">
        <v>45947</v>
      </c>
      <c r="E462" s="11">
        <f>1</f>
        <v>1</v>
      </c>
      <c r="F462" s="14">
        <v>45951</v>
      </c>
      <c r="G462" s="11">
        <f>IF(Table1[[#This Row],[Pre-Booking Date]]&lt;&gt;"",1,0)</f>
        <v>1</v>
      </c>
      <c r="H462" s="4">
        <v>45953</v>
      </c>
      <c r="I462" s="11">
        <f>IF(Table1[[#This Row],[Booking Date]]&lt;&gt;"",1,0)</f>
        <v>1</v>
      </c>
      <c r="J462" s="30">
        <v>45960</v>
      </c>
      <c r="K462" s="11">
        <f>IF(Table1[[#This Row],[Delivery Date]]&lt;&gt;"",1,0)</f>
        <v>1</v>
      </c>
      <c r="L462" s="3" t="s">
        <v>2</v>
      </c>
      <c r="M462" s="3">
        <f>IF(Table1[[#This Row],[Cancellation Status]]&lt;&gt;"Yes",1,0)</f>
        <v>1</v>
      </c>
      <c r="O462" s="30">
        <v>45980</v>
      </c>
      <c r="P462" s="3">
        <v>4</v>
      </c>
      <c r="Q462" s="3">
        <v>2</v>
      </c>
      <c r="R462" s="3">
        <v>7</v>
      </c>
      <c r="S462" s="3">
        <v>6</v>
      </c>
      <c r="T46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62" t="str">
        <f>IF(Table1[[#This Row],[Customer Rating]]&gt;=9,"Promoter",IF(Table1[[#This Row],[Customer Rating]]&gt;=7,"Passive","Detractor"))</f>
        <v>Detractor</v>
      </c>
    </row>
    <row r="463" spans="1:21" ht="14.25" customHeight="1" x14ac:dyDescent="0.3">
      <c r="A463" s="3" t="s">
        <v>498</v>
      </c>
      <c r="B463" s="3" t="s">
        <v>39</v>
      </c>
      <c r="C463" s="3" t="s">
        <v>30</v>
      </c>
      <c r="D463" s="14">
        <v>45947</v>
      </c>
      <c r="E463" s="11">
        <f>1</f>
        <v>1</v>
      </c>
      <c r="F463" s="14">
        <v>45950</v>
      </c>
      <c r="G463" s="11">
        <f>IF(Table1[[#This Row],[Pre-Booking Date]]&lt;&gt;"",1,0)</f>
        <v>1</v>
      </c>
      <c r="H463" s="4">
        <v>45952</v>
      </c>
      <c r="I463" s="11">
        <f>IF(Table1[[#This Row],[Booking Date]]&lt;&gt;"",1,0)</f>
        <v>1</v>
      </c>
      <c r="J463" s="30">
        <v>45955</v>
      </c>
      <c r="K463" s="11">
        <f>IF(Table1[[#This Row],[Delivery Date]]&lt;&gt;"",1,0)</f>
        <v>1</v>
      </c>
      <c r="L463" s="3" t="s">
        <v>2</v>
      </c>
      <c r="M463" s="3">
        <f>IF(Table1[[#This Row],[Cancellation Status]]&lt;&gt;"Yes",1,0)</f>
        <v>1</v>
      </c>
      <c r="O463" s="30">
        <v>45965</v>
      </c>
      <c r="P463" s="3">
        <v>3</v>
      </c>
      <c r="Q463" s="3">
        <v>2</v>
      </c>
      <c r="R463" s="3">
        <v>3</v>
      </c>
      <c r="S463" s="3">
        <v>6</v>
      </c>
      <c r="T46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63" t="str">
        <f>IF(Table1[[#This Row],[Customer Rating]]&gt;=9,"Promoter",IF(Table1[[#This Row],[Customer Rating]]&gt;=7,"Passive","Detractor"))</f>
        <v>Detractor</v>
      </c>
    </row>
    <row r="464" spans="1:21" ht="14.25" customHeight="1" x14ac:dyDescent="0.3">
      <c r="A464" s="3" t="s">
        <v>499</v>
      </c>
      <c r="B464" s="3" t="s">
        <v>26</v>
      </c>
      <c r="C464" s="3" t="s">
        <v>33</v>
      </c>
      <c r="D464" s="14">
        <v>45947</v>
      </c>
      <c r="E464" s="11">
        <f>1</f>
        <v>1</v>
      </c>
      <c r="G464" s="12">
        <f>IF(Table1[[#This Row],[Pre-Booking Date]]&lt;&gt;"",1,0)</f>
        <v>0</v>
      </c>
      <c r="I464" s="12">
        <f>IF(Table1[[#This Row],[Booking Date]]&lt;&gt;"",1,0)</f>
        <v>0</v>
      </c>
      <c r="K464" s="12">
        <f>IF(Table1[[#This Row],[Delivery Date]]&lt;&gt;"",1,0)</f>
        <v>0</v>
      </c>
      <c r="L464" s="3" t="s">
        <v>3</v>
      </c>
      <c r="M464" s="3">
        <f>IF(Table1[[#This Row],[Cancellation Status]]&lt;&gt;"Yes",1,0)</f>
        <v>0</v>
      </c>
      <c r="N464" s="3" t="s">
        <v>34</v>
      </c>
      <c r="T46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64" t="str">
        <f>IF(Table1[[#This Row],[Customer Rating]]&gt;=9,"Promoter",IF(Table1[[#This Row],[Customer Rating]]&gt;=7,"Passive","Detractor"))</f>
        <v>Detractor</v>
      </c>
    </row>
    <row r="465" spans="1:21" ht="14.25" customHeight="1" x14ac:dyDescent="0.3">
      <c r="A465" s="3" t="s">
        <v>500</v>
      </c>
      <c r="B465" s="3" t="s">
        <v>26</v>
      </c>
      <c r="C465" s="3" t="s">
        <v>27</v>
      </c>
      <c r="D465" s="14">
        <v>45947</v>
      </c>
      <c r="E465" s="11">
        <f>1</f>
        <v>1</v>
      </c>
      <c r="F465" s="14">
        <v>45950</v>
      </c>
      <c r="G465" s="11">
        <f>IF(Table1[[#This Row],[Pre-Booking Date]]&lt;&gt;"",1,0)</f>
        <v>1</v>
      </c>
      <c r="H465" s="4">
        <v>45951</v>
      </c>
      <c r="I465" s="11">
        <f>IF(Table1[[#This Row],[Booking Date]]&lt;&gt;"",1,0)</f>
        <v>1</v>
      </c>
      <c r="J465" s="30">
        <v>45956</v>
      </c>
      <c r="K465" s="11">
        <f>IF(Table1[[#This Row],[Delivery Date]]&lt;&gt;"",1,0)</f>
        <v>1</v>
      </c>
      <c r="L465" s="3" t="s">
        <v>2</v>
      </c>
      <c r="M465" s="3">
        <f>IF(Table1[[#This Row],[Cancellation Status]]&lt;&gt;"Yes",1,0)</f>
        <v>1</v>
      </c>
      <c r="O465" s="30">
        <v>45979</v>
      </c>
      <c r="P465" s="3">
        <v>3</v>
      </c>
      <c r="Q465" s="3">
        <v>1</v>
      </c>
      <c r="R465" s="3">
        <v>5</v>
      </c>
      <c r="S465" s="3">
        <v>3</v>
      </c>
      <c r="T46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65" t="str">
        <f>IF(Table1[[#This Row],[Customer Rating]]&gt;=9,"Promoter",IF(Table1[[#This Row],[Customer Rating]]&gt;=7,"Passive","Detractor"))</f>
        <v>Detractor</v>
      </c>
    </row>
    <row r="466" spans="1:21" ht="14.25" customHeight="1" x14ac:dyDescent="0.3">
      <c r="A466" s="3" t="s">
        <v>501</v>
      </c>
      <c r="B466" s="3" t="s">
        <v>32</v>
      </c>
      <c r="C466" s="3" t="s">
        <v>33</v>
      </c>
      <c r="D466" s="14">
        <v>45947</v>
      </c>
      <c r="E466" s="11">
        <f>1</f>
        <v>1</v>
      </c>
      <c r="G466" s="12">
        <f>IF(Table1[[#This Row],[Pre-Booking Date]]&lt;&gt;"",1,0)</f>
        <v>0</v>
      </c>
      <c r="I466" s="12">
        <f>IF(Table1[[#This Row],[Booking Date]]&lt;&gt;"",1,0)</f>
        <v>0</v>
      </c>
      <c r="K466" s="12">
        <f>IF(Table1[[#This Row],[Delivery Date]]&lt;&gt;"",1,0)</f>
        <v>0</v>
      </c>
      <c r="L466" s="3" t="s">
        <v>3</v>
      </c>
      <c r="M466" s="3">
        <f>IF(Table1[[#This Row],[Cancellation Status]]&lt;&gt;"Yes",1,0)</f>
        <v>0</v>
      </c>
      <c r="N466" s="3" t="s">
        <v>37</v>
      </c>
      <c r="T46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66" t="str">
        <f>IF(Table1[[#This Row],[Customer Rating]]&gt;=9,"Promoter",IF(Table1[[#This Row],[Customer Rating]]&gt;=7,"Passive","Detractor"))</f>
        <v>Detractor</v>
      </c>
    </row>
    <row r="467" spans="1:21" ht="14.25" customHeight="1" x14ac:dyDescent="0.3">
      <c r="A467" s="3" t="s">
        <v>502</v>
      </c>
      <c r="B467" s="3" t="s">
        <v>39</v>
      </c>
      <c r="C467" s="3" t="s">
        <v>27</v>
      </c>
      <c r="D467" s="14">
        <v>45947</v>
      </c>
      <c r="E467" s="11">
        <f>1</f>
        <v>1</v>
      </c>
      <c r="F467" s="14">
        <v>45951</v>
      </c>
      <c r="G467" s="11">
        <f>IF(Table1[[#This Row],[Pre-Booking Date]]&lt;&gt;"",1,0)</f>
        <v>1</v>
      </c>
      <c r="H467" s="4">
        <v>45954</v>
      </c>
      <c r="I467" s="11">
        <f>IF(Table1[[#This Row],[Booking Date]]&lt;&gt;"",1,0)</f>
        <v>1</v>
      </c>
      <c r="J467" s="30">
        <v>45961</v>
      </c>
      <c r="K467" s="11">
        <f>IF(Table1[[#This Row],[Delivery Date]]&lt;&gt;"",1,0)</f>
        <v>1</v>
      </c>
      <c r="L467" s="3" t="s">
        <v>3</v>
      </c>
      <c r="M467" s="3">
        <f>IF(Table1[[#This Row],[Cancellation Status]]&lt;&gt;"Yes",1,0)</f>
        <v>0</v>
      </c>
      <c r="N467" s="3" t="s">
        <v>37</v>
      </c>
      <c r="P467" s="3">
        <v>4</v>
      </c>
      <c r="Q467" s="3">
        <v>3</v>
      </c>
      <c r="R467" s="3">
        <v>7</v>
      </c>
      <c r="T46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67" t="str">
        <f>IF(Table1[[#This Row],[Customer Rating]]&gt;=9,"Promoter",IF(Table1[[#This Row],[Customer Rating]]&gt;=7,"Passive","Detractor"))</f>
        <v>Detractor</v>
      </c>
    </row>
    <row r="468" spans="1:21" ht="14.25" customHeight="1" x14ac:dyDescent="0.3">
      <c r="A468" s="3" t="s">
        <v>503</v>
      </c>
      <c r="B468" s="3" t="s">
        <v>26</v>
      </c>
      <c r="C468" s="3" t="s">
        <v>27</v>
      </c>
      <c r="D468" s="14">
        <v>45947</v>
      </c>
      <c r="E468" s="11">
        <f>1</f>
        <v>1</v>
      </c>
      <c r="F468" s="14">
        <v>45951</v>
      </c>
      <c r="G468" s="11">
        <f>IF(Table1[[#This Row],[Pre-Booking Date]]&lt;&gt;"",1,0)</f>
        <v>1</v>
      </c>
      <c r="H468" s="4">
        <v>45955</v>
      </c>
      <c r="I468" s="11">
        <f>IF(Table1[[#This Row],[Booking Date]]&lt;&gt;"",1,0)</f>
        <v>1</v>
      </c>
      <c r="J468" s="30">
        <v>45957</v>
      </c>
      <c r="K468" s="11">
        <f>IF(Table1[[#This Row],[Delivery Date]]&lt;&gt;"",1,0)</f>
        <v>1</v>
      </c>
      <c r="L468" s="3" t="s">
        <v>2</v>
      </c>
      <c r="M468" s="3">
        <f>IF(Table1[[#This Row],[Cancellation Status]]&lt;&gt;"Yes",1,0)</f>
        <v>1</v>
      </c>
      <c r="O468" s="30">
        <v>45981</v>
      </c>
      <c r="P468" s="3">
        <v>4</v>
      </c>
      <c r="Q468" s="3">
        <v>4</v>
      </c>
      <c r="R468" s="3">
        <v>2</v>
      </c>
      <c r="S468" s="3">
        <v>2</v>
      </c>
      <c r="T46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68" t="str">
        <f>IF(Table1[[#This Row],[Customer Rating]]&gt;=9,"Promoter",IF(Table1[[#This Row],[Customer Rating]]&gt;=7,"Passive","Detractor"))</f>
        <v>Detractor</v>
      </c>
    </row>
    <row r="469" spans="1:21" ht="14.25" customHeight="1" x14ac:dyDescent="0.3">
      <c r="A469" s="3" t="s">
        <v>504</v>
      </c>
      <c r="B469" s="3" t="s">
        <v>26</v>
      </c>
      <c r="C469" s="3" t="s">
        <v>27</v>
      </c>
      <c r="D469" s="14">
        <v>45947</v>
      </c>
      <c r="E469" s="11">
        <f>1</f>
        <v>1</v>
      </c>
      <c r="F469" s="14">
        <v>45950</v>
      </c>
      <c r="G469" s="11">
        <f>IF(Table1[[#This Row],[Pre-Booking Date]]&lt;&gt;"",1,0)</f>
        <v>1</v>
      </c>
      <c r="H469" s="4">
        <v>45952</v>
      </c>
      <c r="I469" s="11">
        <f>IF(Table1[[#This Row],[Booking Date]]&lt;&gt;"",1,0)</f>
        <v>1</v>
      </c>
      <c r="J469" s="30">
        <v>45958</v>
      </c>
      <c r="K469" s="11">
        <f>IF(Table1[[#This Row],[Delivery Date]]&lt;&gt;"",1,0)</f>
        <v>1</v>
      </c>
      <c r="L469" s="3" t="s">
        <v>2</v>
      </c>
      <c r="M469" s="3">
        <f>IF(Table1[[#This Row],[Cancellation Status]]&lt;&gt;"Yes",1,0)</f>
        <v>1</v>
      </c>
      <c r="O469" s="30">
        <v>45972</v>
      </c>
      <c r="P469" s="3">
        <v>3</v>
      </c>
      <c r="Q469" s="3">
        <v>2</v>
      </c>
      <c r="R469" s="3">
        <v>6</v>
      </c>
      <c r="S469" s="3">
        <v>1</v>
      </c>
      <c r="T46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69" t="str">
        <f>IF(Table1[[#This Row],[Customer Rating]]&gt;=9,"Promoter",IF(Table1[[#This Row],[Customer Rating]]&gt;=7,"Passive","Detractor"))</f>
        <v>Detractor</v>
      </c>
    </row>
    <row r="470" spans="1:21" ht="14.25" customHeight="1" x14ac:dyDescent="0.3">
      <c r="A470" s="3" t="s">
        <v>505</v>
      </c>
      <c r="B470" s="3" t="s">
        <v>39</v>
      </c>
      <c r="C470" s="3" t="s">
        <v>27</v>
      </c>
      <c r="D470" s="14">
        <v>45947</v>
      </c>
      <c r="E470" s="11">
        <f>1</f>
        <v>1</v>
      </c>
      <c r="F470" s="14">
        <v>45948</v>
      </c>
      <c r="G470" s="11">
        <f>IF(Table1[[#This Row],[Pre-Booking Date]]&lt;&gt;"",1,0)</f>
        <v>1</v>
      </c>
      <c r="H470" s="4">
        <v>45952</v>
      </c>
      <c r="I470" s="11">
        <f>IF(Table1[[#This Row],[Booking Date]]&lt;&gt;"",1,0)</f>
        <v>1</v>
      </c>
      <c r="J470" s="30">
        <v>45959</v>
      </c>
      <c r="K470" s="11">
        <f>IF(Table1[[#This Row],[Delivery Date]]&lt;&gt;"",1,0)</f>
        <v>1</v>
      </c>
      <c r="L470" s="3" t="s">
        <v>2</v>
      </c>
      <c r="M470" s="3">
        <f>IF(Table1[[#This Row],[Cancellation Status]]&lt;&gt;"Yes",1,0)</f>
        <v>1</v>
      </c>
      <c r="O470" s="30">
        <v>45978</v>
      </c>
      <c r="P470" s="3">
        <v>1</v>
      </c>
      <c r="Q470" s="3">
        <v>4</v>
      </c>
      <c r="R470" s="3">
        <v>7</v>
      </c>
      <c r="S470" s="3">
        <v>8</v>
      </c>
      <c r="T47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70" t="str">
        <f>IF(Table1[[#This Row],[Customer Rating]]&gt;=9,"Promoter",IF(Table1[[#This Row],[Customer Rating]]&gt;=7,"Passive","Detractor"))</f>
        <v>Passive</v>
      </c>
    </row>
    <row r="471" spans="1:21" ht="14.25" customHeight="1" x14ac:dyDescent="0.3">
      <c r="A471" s="3" t="s">
        <v>506</v>
      </c>
      <c r="B471" s="3" t="s">
        <v>26</v>
      </c>
      <c r="C471" s="3" t="s">
        <v>27</v>
      </c>
      <c r="D471" s="14">
        <v>45947</v>
      </c>
      <c r="E471" s="11">
        <f>1</f>
        <v>1</v>
      </c>
      <c r="F471" s="14">
        <v>45949</v>
      </c>
      <c r="G471" s="11">
        <f>IF(Table1[[#This Row],[Pre-Booking Date]]&lt;&gt;"",1,0)</f>
        <v>1</v>
      </c>
      <c r="H471" s="4">
        <v>45954</v>
      </c>
      <c r="I471" s="11">
        <f>IF(Table1[[#This Row],[Booking Date]]&lt;&gt;"",1,0)</f>
        <v>1</v>
      </c>
      <c r="J471" s="30">
        <v>45960</v>
      </c>
      <c r="K471" s="11">
        <f>IF(Table1[[#This Row],[Delivery Date]]&lt;&gt;"",1,0)</f>
        <v>1</v>
      </c>
      <c r="L471" s="3" t="s">
        <v>2</v>
      </c>
      <c r="M471" s="3">
        <f>IF(Table1[[#This Row],[Cancellation Status]]&lt;&gt;"Yes",1,0)</f>
        <v>1</v>
      </c>
      <c r="O471" s="30">
        <v>45984</v>
      </c>
      <c r="P471" s="3">
        <v>2</v>
      </c>
      <c r="Q471" s="3">
        <v>5</v>
      </c>
      <c r="R471" s="3">
        <v>6</v>
      </c>
      <c r="S471" s="3">
        <v>8</v>
      </c>
      <c r="T47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71" t="str">
        <f>IF(Table1[[#This Row],[Customer Rating]]&gt;=9,"Promoter",IF(Table1[[#This Row],[Customer Rating]]&gt;=7,"Passive","Detractor"))</f>
        <v>Passive</v>
      </c>
    </row>
    <row r="472" spans="1:21" ht="14.25" customHeight="1" x14ac:dyDescent="0.3">
      <c r="A472" s="3" t="s">
        <v>507</v>
      </c>
      <c r="B472" s="3" t="s">
        <v>29</v>
      </c>
      <c r="C472" s="3" t="s">
        <v>27</v>
      </c>
      <c r="D472" s="14">
        <v>45947</v>
      </c>
      <c r="E472" s="11">
        <f>1</f>
        <v>1</v>
      </c>
      <c r="F472" s="14">
        <v>45948</v>
      </c>
      <c r="G472" s="11">
        <f>IF(Table1[[#This Row],[Pre-Booking Date]]&lt;&gt;"",1,0)</f>
        <v>1</v>
      </c>
      <c r="H472" s="4">
        <v>45949</v>
      </c>
      <c r="I472" s="11">
        <f>IF(Table1[[#This Row],[Booking Date]]&lt;&gt;"",1,0)</f>
        <v>1</v>
      </c>
      <c r="J472" s="30">
        <v>45955</v>
      </c>
      <c r="K472" s="11">
        <f>IF(Table1[[#This Row],[Delivery Date]]&lt;&gt;"",1,0)</f>
        <v>1</v>
      </c>
      <c r="L472" s="3" t="s">
        <v>2</v>
      </c>
      <c r="M472" s="3">
        <f>IF(Table1[[#This Row],[Cancellation Status]]&lt;&gt;"Yes",1,0)</f>
        <v>1</v>
      </c>
      <c r="O472" s="30">
        <v>45981</v>
      </c>
      <c r="P472" s="3">
        <v>1</v>
      </c>
      <c r="Q472" s="3">
        <v>1</v>
      </c>
      <c r="R472" s="3">
        <v>6</v>
      </c>
      <c r="S472" s="3">
        <v>6</v>
      </c>
      <c r="T47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72" t="str">
        <f>IF(Table1[[#This Row],[Customer Rating]]&gt;=9,"Promoter",IF(Table1[[#This Row],[Customer Rating]]&gt;=7,"Passive","Detractor"))</f>
        <v>Detractor</v>
      </c>
    </row>
    <row r="473" spans="1:21" ht="14.25" customHeight="1" x14ac:dyDescent="0.3">
      <c r="A473" s="3" t="s">
        <v>508</v>
      </c>
      <c r="B473" s="3" t="s">
        <v>39</v>
      </c>
      <c r="C473" s="3" t="s">
        <v>27</v>
      </c>
      <c r="D473" s="14">
        <v>45947</v>
      </c>
      <c r="E473" s="11">
        <f>1</f>
        <v>1</v>
      </c>
      <c r="F473" s="14">
        <v>45951</v>
      </c>
      <c r="G473" s="11">
        <f>IF(Table1[[#This Row],[Pre-Booking Date]]&lt;&gt;"",1,0)</f>
        <v>1</v>
      </c>
      <c r="H473" s="4">
        <v>45955</v>
      </c>
      <c r="I473" s="11">
        <f>IF(Table1[[#This Row],[Booking Date]]&lt;&gt;"",1,0)</f>
        <v>1</v>
      </c>
      <c r="J473" s="30">
        <v>45959</v>
      </c>
      <c r="K473" s="11">
        <f>IF(Table1[[#This Row],[Delivery Date]]&lt;&gt;"",1,0)</f>
        <v>1</v>
      </c>
      <c r="L473" s="3" t="s">
        <v>2</v>
      </c>
      <c r="M473" s="3">
        <f>IF(Table1[[#This Row],[Cancellation Status]]&lt;&gt;"Yes",1,0)</f>
        <v>1</v>
      </c>
      <c r="O473" s="30">
        <v>45985</v>
      </c>
      <c r="P473" s="3">
        <v>4</v>
      </c>
      <c r="Q473" s="3">
        <v>4</v>
      </c>
      <c r="R473" s="3">
        <v>4</v>
      </c>
      <c r="S473" s="3">
        <v>5</v>
      </c>
      <c r="T47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73" t="str">
        <f>IF(Table1[[#This Row],[Customer Rating]]&gt;=9,"Promoter",IF(Table1[[#This Row],[Customer Rating]]&gt;=7,"Passive","Detractor"))</f>
        <v>Detractor</v>
      </c>
    </row>
    <row r="474" spans="1:21" ht="14.25" customHeight="1" x14ac:dyDescent="0.3">
      <c r="A474" s="3" t="s">
        <v>509</v>
      </c>
      <c r="B474" s="3" t="s">
        <v>29</v>
      </c>
      <c r="C474" s="3" t="s">
        <v>30</v>
      </c>
      <c r="D474" s="14">
        <v>45947</v>
      </c>
      <c r="E474" s="11">
        <f>1</f>
        <v>1</v>
      </c>
      <c r="F474" s="14">
        <v>45949</v>
      </c>
      <c r="G474" s="11">
        <f>IF(Table1[[#This Row],[Pre-Booking Date]]&lt;&gt;"",1,0)</f>
        <v>1</v>
      </c>
      <c r="H474" s="4">
        <v>45950</v>
      </c>
      <c r="I474" s="11">
        <f>IF(Table1[[#This Row],[Booking Date]]&lt;&gt;"",1,0)</f>
        <v>1</v>
      </c>
      <c r="J474" s="30">
        <v>45955</v>
      </c>
      <c r="K474" s="11">
        <f>IF(Table1[[#This Row],[Delivery Date]]&lt;&gt;"",1,0)</f>
        <v>1</v>
      </c>
      <c r="L474" s="3" t="s">
        <v>2</v>
      </c>
      <c r="M474" s="3">
        <f>IF(Table1[[#This Row],[Cancellation Status]]&lt;&gt;"Yes",1,0)</f>
        <v>1</v>
      </c>
      <c r="O474" s="30">
        <v>45973</v>
      </c>
      <c r="P474" s="3">
        <v>2</v>
      </c>
      <c r="Q474" s="3">
        <v>1</v>
      </c>
      <c r="R474" s="3">
        <v>5</v>
      </c>
      <c r="S474" s="3">
        <v>7</v>
      </c>
      <c r="T47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74" t="str">
        <f>IF(Table1[[#This Row],[Customer Rating]]&gt;=9,"Promoter",IF(Table1[[#This Row],[Customer Rating]]&gt;=7,"Passive","Detractor"))</f>
        <v>Passive</v>
      </c>
    </row>
    <row r="475" spans="1:21" ht="14.25" customHeight="1" x14ac:dyDescent="0.3">
      <c r="A475" s="3" t="s">
        <v>510</v>
      </c>
      <c r="B475" s="3" t="s">
        <v>32</v>
      </c>
      <c r="C475" s="3" t="s">
        <v>27</v>
      </c>
      <c r="D475" s="14">
        <v>45947</v>
      </c>
      <c r="E475" s="11">
        <f>1</f>
        <v>1</v>
      </c>
      <c r="F475" s="14">
        <v>45948</v>
      </c>
      <c r="G475" s="11">
        <f>IF(Table1[[#This Row],[Pre-Booking Date]]&lt;&gt;"",1,0)</f>
        <v>1</v>
      </c>
      <c r="H475" s="4">
        <v>45950</v>
      </c>
      <c r="I475" s="11">
        <f>IF(Table1[[#This Row],[Booking Date]]&lt;&gt;"",1,0)</f>
        <v>1</v>
      </c>
      <c r="J475" s="30">
        <v>45955</v>
      </c>
      <c r="K475" s="11">
        <f>IF(Table1[[#This Row],[Delivery Date]]&lt;&gt;"",1,0)</f>
        <v>1</v>
      </c>
      <c r="L475" s="3" t="s">
        <v>2</v>
      </c>
      <c r="M475" s="3">
        <f>IF(Table1[[#This Row],[Cancellation Status]]&lt;&gt;"Yes",1,0)</f>
        <v>1</v>
      </c>
      <c r="O475" s="30">
        <v>45971</v>
      </c>
      <c r="P475" s="3">
        <v>1</v>
      </c>
      <c r="Q475" s="3">
        <v>2</v>
      </c>
      <c r="R475" s="3">
        <v>5</v>
      </c>
      <c r="S475" s="3">
        <v>4</v>
      </c>
      <c r="T47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75" t="str">
        <f>IF(Table1[[#This Row],[Customer Rating]]&gt;=9,"Promoter",IF(Table1[[#This Row],[Customer Rating]]&gt;=7,"Passive","Detractor"))</f>
        <v>Detractor</v>
      </c>
    </row>
    <row r="476" spans="1:21" ht="14.25" customHeight="1" x14ac:dyDescent="0.3">
      <c r="A476" s="3" t="s">
        <v>511</v>
      </c>
      <c r="B476" s="3" t="s">
        <v>32</v>
      </c>
      <c r="C476" s="3" t="s">
        <v>27</v>
      </c>
      <c r="D476" s="14">
        <v>45947</v>
      </c>
      <c r="E476" s="11">
        <f>1</f>
        <v>1</v>
      </c>
      <c r="F476" s="14">
        <v>45952</v>
      </c>
      <c r="G476" s="11">
        <f>IF(Table1[[#This Row],[Pre-Booking Date]]&lt;&gt;"",1,0)</f>
        <v>1</v>
      </c>
      <c r="H476" s="4">
        <v>45953</v>
      </c>
      <c r="I476" s="11">
        <f>IF(Table1[[#This Row],[Booking Date]]&lt;&gt;"",1,0)</f>
        <v>1</v>
      </c>
      <c r="J476" s="30">
        <v>45956</v>
      </c>
      <c r="K476" s="11">
        <f>IF(Table1[[#This Row],[Delivery Date]]&lt;&gt;"",1,0)</f>
        <v>1</v>
      </c>
      <c r="L476" s="3" t="s">
        <v>2</v>
      </c>
      <c r="M476" s="3">
        <f>IF(Table1[[#This Row],[Cancellation Status]]&lt;&gt;"Yes",1,0)</f>
        <v>1</v>
      </c>
      <c r="O476" s="30">
        <v>45986</v>
      </c>
      <c r="P476" s="3">
        <v>5</v>
      </c>
      <c r="Q476" s="3">
        <v>1</v>
      </c>
      <c r="R476" s="3">
        <v>3</v>
      </c>
      <c r="S476" s="3">
        <v>0</v>
      </c>
      <c r="T47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76" t="str">
        <f>IF(Table1[[#This Row],[Customer Rating]]&gt;=9,"Promoter",IF(Table1[[#This Row],[Customer Rating]]&gt;=7,"Passive","Detractor"))</f>
        <v>Detractor</v>
      </c>
    </row>
    <row r="477" spans="1:21" ht="14.25" customHeight="1" x14ac:dyDescent="0.3">
      <c r="A477" s="3" t="s">
        <v>512</v>
      </c>
      <c r="B477" s="3" t="s">
        <v>32</v>
      </c>
      <c r="C477" s="3" t="s">
        <v>27</v>
      </c>
      <c r="D477" s="14">
        <v>45947</v>
      </c>
      <c r="E477" s="11">
        <f>1</f>
        <v>1</v>
      </c>
      <c r="F477" s="14">
        <v>45950</v>
      </c>
      <c r="G477" s="11">
        <f>IF(Table1[[#This Row],[Pre-Booking Date]]&lt;&gt;"",1,0)</f>
        <v>1</v>
      </c>
      <c r="H477" s="4">
        <v>45953</v>
      </c>
      <c r="I477" s="11">
        <f>IF(Table1[[#This Row],[Booking Date]]&lt;&gt;"",1,0)</f>
        <v>1</v>
      </c>
      <c r="J477" s="30">
        <v>45958</v>
      </c>
      <c r="K477" s="11">
        <f>IF(Table1[[#This Row],[Delivery Date]]&lt;&gt;"",1,0)</f>
        <v>1</v>
      </c>
      <c r="L477" s="3" t="s">
        <v>2</v>
      </c>
      <c r="M477" s="3">
        <f>IF(Table1[[#This Row],[Cancellation Status]]&lt;&gt;"Yes",1,0)</f>
        <v>1</v>
      </c>
      <c r="O477" s="30">
        <v>45976</v>
      </c>
      <c r="P477" s="3">
        <v>3</v>
      </c>
      <c r="Q477" s="3">
        <v>3</v>
      </c>
      <c r="R477" s="3">
        <v>5</v>
      </c>
      <c r="S477" s="3">
        <v>7</v>
      </c>
      <c r="T47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77" t="str">
        <f>IF(Table1[[#This Row],[Customer Rating]]&gt;=9,"Promoter",IF(Table1[[#This Row],[Customer Rating]]&gt;=7,"Passive","Detractor"))</f>
        <v>Passive</v>
      </c>
    </row>
    <row r="478" spans="1:21" ht="14.25" customHeight="1" x14ac:dyDescent="0.3">
      <c r="A478" s="3" t="s">
        <v>513</v>
      </c>
      <c r="B478" s="3" t="s">
        <v>26</v>
      </c>
      <c r="C478" s="3" t="s">
        <v>27</v>
      </c>
      <c r="D478" s="14">
        <v>45947</v>
      </c>
      <c r="E478" s="11">
        <f>1</f>
        <v>1</v>
      </c>
      <c r="F478" s="14">
        <v>45950</v>
      </c>
      <c r="G478" s="11">
        <f>IF(Table1[[#This Row],[Pre-Booking Date]]&lt;&gt;"",1,0)</f>
        <v>1</v>
      </c>
      <c r="H478" s="4">
        <v>45955</v>
      </c>
      <c r="I478" s="11">
        <f>IF(Table1[[#This Row],[Booking Date]]&lt;&gt;"",1,0)</f>
        <v>1</v>
      </c>
      <c r="J478" s="30">
        <v>45962</v>
      </c>
      <c r="K478" s="11">
        <f>IF(Table1[[#This Row],[Delivery Date]]&lt;&gt;"",1,0)</f>
        <v>1</v>
      </c>
      <c r="L478" s="3" t="s">
        <v>2</v>
      </c>
      <c r="M478" s="3">
        <f>IF(Table1[[#This Row],[Cancellation Status]]&lt;&gt;"Yes",1,0)</f>
        <v>1</v>
      </c>
      <c r="O478" s="30">
        <v>45978</v>
      </c>
      <c r="P478" s="3">
        <v>3</v>
      </c>
      <c r="Q478" s="3">
        <v>5</v>
      </c>
      <c r="R478" s="3">
        <v>7</v>
      </c>
      <c r="S478" s="3">
        <v>4</v>
      </c>
      <c r="T47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78" t="str">
        <f>IF(Table1[[#This Row],[Customer Rating]]&gt;=9,"Promoter",IF(Table1[[#This Row],[Customer Rating]]&gt;=7,"Passive","Detractor"))</f>
        <v>Detractor</v>
      </c>
    </row>
    <row r="479" spans="1:21" ht="14.25" customHeight="1" x14ac:dyDescent="0.3">
      <c r="A479" s="3" t="s">
        <v>514</v>
      </c>
      <c r="B479" s="3" t="s">
        <v>29</v>
      </c>
      <c r="C479" s="3" t="s">
        <v>33</v>
      </c>
      <c r="D479" s="14">
        <v>45947</v>
      </c>
      <c r="E479" s="11">
        <f>1</f>
        <v>1</v>
      </c>
      <c r="G479" s="12">
        <f>IF(Table1[[#This Row],[Pre-Booking Date]]&lt;&gt;"",1,0)</f>
        <v>0</v>
      </c>
      <c r="I479" s="12">
        <f>IF(Table1[[#This Row],[Booking Date]]&lt;&gt;"",1,0)</f>
        <v>0</v>
      </c>
      <c r="K479" s="12">
        <f>IF(Table1[[#This Row],[Delivery Date]]&lt;&gt;"",1,0)</f>
        <v>0</v>
      </c>
      <c r="L479" s="3" t="s">
        <v>3</v>
      </c>
      <c r="M479" s="3">
        <f>IF(Table1[[#This Row],[Cancellation Status]]&lt;&gt;"Yes",1,0)</f>
        <v>0</v>
      </c>
      <c r="N479" s="3" t="s">
        <v>52</v>
      </c>
      <c r="T47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79" t="str">
        <f>IF(Table1[[#This Row],[Customer Rating]]&gt;=9,"Promoter",IF(Table1[[#This Row],[Customer Rating]]&gt;=7,"Passive","Detractor"))</f>
        <v>Detractor</v>
      </c>
    </row>
    <row r="480" spans="1:21" ht="14.25" customHeight="1" x14ac:dyDescent="0.3">
      <c r="A480" s="3" t="s">
        <v>515</v>
      </c>
      <c r="B480" s="3" t="s">
        <v>26</v>
      </c>
      <c r="C480" s="3" t="s">
        <v>27</v>
      </c>
      <c r="D480" s="14">
        <v>45947</v>
      </c>
      <c r="E480" s="11">
        <f>1</f>
        <v>1</v>
      </c>
      <c r="F480" s="14">
        <v>45950</v>
      </c>
      <c r="G480" s="11">
        <f>IF(Table1[[#This Row],[Pre-Booking Date]]&lt;&gt;"",1,0)</f>
        <v>1</v>
      </c>
      <c r="H480" s="4">
        <v>45951</v>
      </c>
      <c r="I480" s="11">
        <f>IF(Table1[[#This Row],[Booking Date]]&lt;&gt;"",1,0)</f>
        <v>1</v>
      </c>
      <c r="J480" s="30">
        <v>45957</v>
      </c>
      <c r="K480" s="11">
        <f>IF(Table1[[#This Row],[Delivery Date]]&lt;&gt;"",1,0)</f>
        <v>1</v>
      </c>
      <c r="L480" s="3" t="s">
        <v>2</v>
      </c>
      <c r="M480" s="3">
        <f>IF(Table1[[#This Row],[Cancellation Status]]&lt;&gt;"Yes",1,0)</f>
        <v>1</v>
      </c>
      <c r="O480" s="30">
        <v>45987</v>
      </c>
      <c r="P480" s="3">
        <v>3</v>
      </c>
      <c r="Q480" s="3">
        <v>1</v>
      </c>
      <c r="R480" s="3">
        <v>6</v>
      </c>
      <c r="S480" s="3">
        <v>1</v>
      </c>
      <c r="T48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80" t="str">
        <f>IF(Table1[[#This Row],[Customer Rating]]&gt;=9,"Promoter",IF(Table1[[#This Row],[Customer Rating]]&gt;=7,"Passive","Detractor"))</f>
        <v>Detractor</v>
      </c>
    </row>
    <row r="481" spans="1:21" ht="14.25" customHeight="1" x14ac:dyDescent="0.3">
      <c r="A481" s="3" t="s">
        <v>516</v>
      </c>
      <c r="B481" s="3" t="s">
        <v>29</v>
      </c>
      <c r="C481" s="3" t="s">
        <v>27</v>
      </c>
      <c r="D481" s="14">
        <v>45947</v>
      </c>
      <c r="E481" s="11">
        <f>1</f>
        <v>1</v>
      </c>
      <c r="F481" s="14">
        <v>45951</v>
      </c>
      <c r="G481" s="11">
        <f>IF(Table1[[#This Row],[Pre-Booking Date]]&lt;&gt;"",1,0)</f>
        <v>1</v>
      </c>
      <c r="H481" s="4">
        <v>45953</v>
      </c>
      <c r="I481" s="11">
        <f>IF(Table1[[#This Row],[Booking Date]]&lt;&gt;"",1,0)</f>
        <v>1</v>
      </c>
      <c r="J481" s="30">
        <v>45957</v>
      </c>
      <c r="K481" s="11">
        <f>IF(Table1[[#This Row],[Delivery Date]]&lt;&gt;"",1,0)</f>
        <v>1</v>
      </c>
      <c r="L481" s="3" t="s">
        <v>3</v>
      </c>
      <c r="M481" s="3">
        <f>IF(Table1[[#This Row],[Cancellation Status]]&lt;&gt;"Yes",1,0)</f>
        <v>0</v>
      </c>
      <c r="N481" s="3" t="s">
        <v>42</v>
      </c>
      <c r="P481" s="3">
        <v>4</v>
      </c>
      <c r="Q481" s="3">
        <v>2</v>
      </c>
      <c r="R481" s="3">
        <v>4</v>
      </c>
      <c r="T48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81" t="str">
        <f>IF(Table1[[#This Row],[Customer Rating]]&gt;=9,"Promoter",IF(Table1[[#This Row],[Customer Rating]]&gt;=7,"Passive","Detractor"))</f>
        <v>Detractor</v>
      </c>
    </row>
    <row r="482" spans="1:21" ht="14.25" customHeight="1" x14ac:dyDescent="0.3">
      <c r="A482" s="3" t="s">
        <v>517</v>
      </c>
      <c r="B482" s="3" t="s">
        <v>26</v>
      </c>
      <c r="C482" s="3" t="s">
        <v>27</v>
      </c>
      <c r="D482" s="14">
        <v>45947</v>
      </c>
      <c r="E482" s="11">
        <f>1</f>
        <v>1</v>
      </c>
      <c r="F482" s="14">
        <v>45948</v>
      </c>
      <c r="G482" s="11">
        <f>IF(Table1[[#This Row],[Pre-Booking Date]]&lt;&gt;"",1,0)</f>
        <v>1</v>
      </c>
      <c r="H482" s="4">
        <v>45951</v>
      </c>
      <c r="I482" s="11">
        <f>IF(Table1[[#This Row],[Booking Date]]&lt;&gt;"",1,0)</f>
        <v>1</v>
      </c>
      <c r="J482" s="30">
        <v>45956</v>
      </c>
      <c r="K482" s="11">
        <f>IF(Table1[[#This Row],[Delivery Date]]&lt;&gt;"",1,0)</f>
        <v>1</v>
      </c>
      <c r="L482" s="3" t="s">
        <v>2</v>
      </c>
      <c r="M482" s="3">
        <f>IF(Table1[[#This Row],[Cancellation Status]]&lt;&gt;"Yes",1,0)</f>
        <v>1</v>
      </c>
      <c r="O482" s="30">
        <v>45969</v>
      </c>
      <c r="P482" s="3">
        <v>1</v>
      </c>
      <c r="Q482" s="3">
        <v>3</v>
      </c>
      <c r="R482" s="3">
        <v>5</v>
      </c>
      <c r="S482" s="3">
        <v>2</v>
      </c>
      <c r="T48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82" t="str">
        <f>IF(Table1[[#This Row],[Customer Rating]]&gt;=9,"Promoter",IF(Table1[[#This Row],[Customer Rating]]&gt;=7,"Passive","Detractor"))</f>
        <v>Detractor</v>
      </c>
    </row>
    <row r="483" spans="1:21" ht="14.25" customHeight="1" x14ac:dyDescent="0.3">
      <c r="A483" s="3" t="s">
        <v>518</v>
      </c>
      <c r="B483" s="3" t="s">
        <v>26</v>
      </c>
      <c r="C483" s="3" t="s">
        <v>33</v>
      </c>
      <c r="D483" s="14">
        <v>45947</v>
      </c>
      <c r="E483" s="11">
        <f>1</f>
        <v>1</v>
      </c>
      <c r="G483" s="12">
        <f>IF(Table1[[#This Row],[Pre-Booking Date]]&lt;&gt;"",1,0)</f>
        <v>0</v>
      </c>
      <c r="I483" s="12">
        <f>IF(Table1[[#This Row],[Booking Date]]&lt;&gt;"",1,0)</f>
        <v>0</v>
      </c>
      <c r="K483" s="12">
        <f>IF(Table1[[#This Row],[Delivery Date]]&lt;&gt;"",1,0)</f>
        <v>0</v>
      </c>
      <c r="L483" s="3" t="s">
        <v>3</v>
      </c>
      <c r="M483" s="3">
        <f>IF(Table1[[#This Row],[Cancellation Status]]&lt;&gt;"Yes",1,0)</f>
        <v>0</v>
      </c>
      <c r="N483" s="3" t="s">
        <v>37</v>
      </c>
      <c r="T48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83" t="str">
        <f>IF(Table1[[#This Row],[Customer Rating]]&gt;=9,"Promoter",IF(Table1[[#This Row],[Customer Rating]]&gt;=7,"Passive","Detractor"))</f>
        <v>Detractor</v>
      </c>
    </row>
    <row r="484" spans="1:21" ht="14.25" customHeight="1" x14ac:dyDescent="0.3">
      <c r="A484" s="3" t="s">
        <v>519</v>
      </c>
      <c r="B484" s="3" t="s">
        <v>26</v>
      </c>
      <c r="C484" s="3" t="s">
        <v>30</v>
      </c>
      <c r="D484" s="14">
        <v>45947</v>
      </c>
      <c r="E484" s="11">
        <f>1</f>
        <v>1</v>
      </c>
      <c r="F484" s="14">
        <v>45949</v>
      </c>
      <c r="G484" s="11">
        <f>IF(Table1[[#This Row],[Pre-Booking Date]]&lt;&gt;"",1,0)</f>
        <v>1</v>
      </c>
      <c r="H484" s="4">
        <v>45950</v>
      </c>
      <c r="I484" s="11">
        <f>IF(Table1[[#This Row],[Booking Date]]&lt;&gt;"",1,0)</f>
        <v>1</v>
      </c>
      <c r="J484" s="30">
        <v>45953</v>
      </c>
      <c r="K484" s="11">
        <f>IF(Table1[[#This Row],[Delivery Date]]&lt;&gt;"",1,0)</f>
        <v>1</v>
      </c>
      <c r="L484" s="3" t="s">
        <v>2</v>
      </c>
      <c r="M484" s="3">
        <f>IF(Table1[[#This Row],[Cancellation Status]]&lt;&gt;"Yes",1,0)</f>
        <v>1</v>
      </c>
      <c r="O484" s="30">
        <v>45978</v>
      </c>
      <c r="P484" s="3">
        <v>2</v>
      </c>
      <c r="Q484" s="3">
        <v>1</v>
      </c>
      <c r="R484" s="3">
        <v>3</v>
      </c>
      <c r="S484" s="3">
        <v>0</v>
      </c>
      <c r="T48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84" t="str">
        <f>IF(Table1[[#This Row],[Customer Rating]]&gt;=9,"Promoter",IF(Table1[[#This Row],[Customer Rating]]&gt;=7,"Passive","Detractor"))</f>
        <v>Detractor</v>
      </c>
    </row>
    <row r="485" spans="1:21" ht="14.25" customHeight="1" x14ac:dyDescent="0.3">
      <c r="A485" s="3" t="s">
        <v>520</v>
      </c>
      <c r="B485" s="3" t="s">
        <v>26</v>
      </c>
      <c r="C485" s="3" t="s">
        <v>30</v>
      </c>
      <c r="D485" s="14">
        <v>45946</v>
      </c>
      <c r="E485" s="11">
        <f>1</f>
        <v>1</v>
      </c>
      <c r="F485" s="14">
        <v>45950</v>
      </c>
      <c r="G485" s="11">
        <f>IF(Table1[[#This Row],[Pre-Booking Date]]&lt;&gt;"",1,0)</f>
        <v>1</v>
      </c>
      <c r="H485" s="4">
        <v>45951</v>
      </c>
      <c r="I485" s="11">
        <f>IF(Table1[[#This Row],[Booking Date]]&lt;&gt;"",1,0)</f>
        <v>1</v>
      </c>
      <c r="J485" s="30">
        <v>45958</v>
      </c>
      <c r="K485" s="11">
        <f>IF(Table1[[#This Row],[Delivery Date]]&lt;&gt;"",1,0)</f>
        <v>1</v>
      </c>
      <c r="L485" s="3" t="s">
        <v>2</v>
      </c>
      <c r="M485" s="3">
        <f>IF(Table1[[#This Row],[Cancellation Status]]&lt;&gt;"Yes",1,0)</f>
        <v>1</v>
      </c>
      <c r="O485" s="30">
        <v>45983</v>
      </c>
      <c r="P485" s="3">
        <v>4</v>
      </c>
      <c r="Q485" s="3">
        <v>1</v>
      </c>
      <c r="R485" s="3">
        <v>7</v>
      </c>
      <c r="S485" s="3">
        <v>10</v>
      </c>
      <c r="T48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85" t="str">
        <f>IF(Table1[[#This Row],[Customer Rating]]&gt;=9,"Promoter",IF(Table1[[#This Row],[Customer Rating]]&gt;=7,"Passive","Detractor"))</f>
        <v>Promoter</v>
      </c>
    </row>
    <row r="486" spans="1:21" ht="14.25" customHeight="1" x14ac:dyDescent="0.3">
      <c r="A486" s="3" t="s">
        <v>521</v>
      </c>
      <c r="B486" s="3" t="s">
        <v>29</v>
      </c>
      <c r="C486" s="3" t="s">
        <v>33</v>
      </c>
      <c r="D486" s="14">
        <v>45946</v>
      </c>
      <c r="E486" s="11">
        <f>1</f>
        <v>1</v>
      </c>
      <c r="G486" s="12">
        <f>IF(Table1[[#This Row],[Pre-Booking Date]]&lt;&gt;"",1,0)</f>
        <v>0</v>
      </c>
      <c r="I486" s="12">
        <f>IF(Table1[[#This Row],[Booking Date]]&lt;&gt;"",1,0)</f>
        <v>0</v>
      </c>
      <c r="K486" s="12">
        <f>IF(Table1[[#This Row],[Delivery Date]]&lt;&gt;"",1,0)</f>
        <v>0</v>
      </c>
      <c r="L486" s="3" t="s">
        <v>3</v>
      </c>
      <c r="M486" s="3">
        <f>IF(Table1[[#This Row],[Cancellation Status]]&lt;&gt;"Yes",1,0)</f>
        <v>0</v>
      </c>
      <c r="N486" s="3" t="s">
        <v>42</v>
      </c>
      <c r="T48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86" t="str">
        <f>IF(Table1[[#This Row],[Customer Rating]]&gt;=9,"Promoter",IF(Table1[[#This Row],[Customer Rating]]&gt;=7,"Passive","Detractor"))</f>
        <v>Detractor</v>
      </c>
    </row>
    <row r="487" spans="1:21" ht="14.25" customHeight="1" x14ac:dyDescent="0.3">
      <c r="A487" s="3" t="s">
        <v>522</v>
      </c>
      <c r="B487" s="3" t="s">
        <v>26</v>
      </c>
      <c r="C487" s="3" t="s">
        <v>27</v>
      </c>
      <c r="D487" s="14">
        <v>45946</v>
      </c>
      <c r="E487" s="11">
        <f>1</f>
        <v>1</v>
      </c>
      <c r="F487" s="14">
        <v>45949</v>
      </c>
      <c r="G487" s="11">
        <f>IF(Table1[[#This Row],[Pre-Booking Date]]&lt;&gt;"",1,0)</f>
        <v>1</v>
      </c>
      <c r="H487" s="4">
        <v>45954</v>
      </c>
      <c r="I487" s="11">
        <f>IF(Table1[[#This Row],[Booking Date]]&lt;&gt;"",1,0)</f>
        <v>1</v>
      </c>
      <c r="J487" s="30">
        <v>45959</v>
      </c>
      <c r="K487" s="11">
        <f>IF(Table1[[#This Row],[Delivery Date]]&lt;&gt;"",1,0)</f>
        <v>1</v>
      </c>
      <c r="L487" s="3" t="s">
        <v>2</v>
      </c>
      <c r="M487" s="3">
        <f>IF(Table1[[#This Row],[Cancellation Status]]&lt;&gt;"Yes",1,0)</f>
        <v>1</v>
      </c>
      <c r="O487" s="30">
        <v>45984</v>
      </c>
      <c r="P487" s="3">
        <v>3</v>
      </c>
      <c r="Q487" s="3">
        <v>5</v>
      </c>
      <c r="R487" s="3">
        <v>5</v>
      </c>
      <c r="S487" s="3">
        <v>8</v>
      </c>
      <c r="T48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87" t="str">
        <f>IF(Table1[[#This Row],[Customer Rating]]&gt;=9,"Promoter",IF(Table1[[#This Row],[Customer Rating]]&gt;=7,"Passive","Detractor"))</f>
        <v>Passive</v>
      </c>
    </row>
    <row r="488" spans="1:21" ht="14.25" customHeight="1" x14ac:dyDescent="0.3">
      <c r="A488" s="3" t="s">
        <v>523</v>
      </c>
      <c r="B488" s="3" t="s">
        <v>29</v>
      </c>
      <c r="C488" s="3" t="s">
        <v>27</v>
      </c>
      <c r="D488" s="14">
        <v>45946</v>
      </c>
      <c r="E488" s="11">
        <f>1</f>
        <v>1</v>
      </c>
      <c r="F488" s="14">
        <v>45948</v>
      </c>
      <c r="G488" s="11">
        <f>IF(Table1[[#This Row],[Pre-Booking Date]]&lt;&gt;"",1,0)</f>
        <v>1</v>
      </c>
      <c r="H488" s="4">
        <v>45952</v>
      </c>
      <c r="I488" s="11">
        <f>IF(Table1[[#This Row],[Booking Date]]&lt;&gt;"",1,0)</f>
        <v>1</v>
      </c>
      <c r="J488" s="30">
        <v>45959</v>
      </c>
      <c r="K488" s="11">
        <f>IF(Table1[[#This Row],[Delivery Date]]&lt;&gt;"",1,0)</f>
        <v>1</v>
      </c>
      <c r="L488" s="3" t="s">
        <v>3</v>
      </c>
      <c r="M488" s="3">
        <f>IF(Table1[[#This Row],[Cancellation Status]]&lt;&gt;"Yes",1,0)</f>
        <v>0</v>
      </c>
      <c r="N488" s="3" t="s">
        <v>37</v>
      </c>
      <c r="P488" s="3">
        <v>2</v>
      </c>
      <c r="Q488" s="3">
        <v>4</v>
      </c>
      <c r="R488" s="3">
        <v>7</v>
      </c>
      <c r="T48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88" t="str">
        <f>IF(Table1[[#This Row],[Customer Rating]]&gt;=9,"Promoter",IF(Table1[[#This Row],[Customer Rating]]&gt;=7,"Passive","Detractor"))</f>
        <v>Detractor</v>
      </c>
    </row>
    <row r="489" spans="1:21" ht="14.25" customHeight="1" x14ac:dyDescent="0.3">
      <c r="A489" s="3" t="s">
        <v>524</v>
      </c>
      <c r="B489" s="3" t="s">
        <v>39</v>
      </c>
      <c r="C489" s="3" t="s">
        <v>27</v>
      </c>
      <c r="D489" s="14">
        <v>45946</v>
      </c>
      <c r="E489" s="11">
        <f>1</f>
        <v>1</v>
      </c>
      <c r="F489" s="14">
        <v>45948</v>
      </c>
      <c r="G489" s="11">
        <f>IF(Table1[[#This Row],[Pre-Booking Date]]&lt;&gt;"",1,0)</f>
        <v>1</v>
      </c>
      <c r="H489" s="4">
        <v>45950</v>
      </c>
      <c r="I489" s="11">
        <f>IF(Table1[[#This Row],[Booking Date]]&lt;&gt;"",1,0)</f>
        <v>1</v>
      </c>
      <c r="J489" s="30">
        <v>45956</v>
      </c>
      <c r="K489" s="11">
        <f>IF(Table1[[#This Row],[Delivery Date]]&lt;&gt;"",1,0)</f>
        <v>1</v>
      </c>
      <c r="L489" s="3" t="s">
        <v>3</v>
      </c>
      <c r="M489" s="3">
        <f>IF(Table1[[#This Row],[Cancellation Status]]&lt;&gt;"Yes",1,0)</f>
        <v>0</v>
      </c>
      <c r="N489" s="3" t="s">
        <v>42</v>
      </c>
      <c r="P489" s="3">
        <v>2</v>
      </c>
      <c r="Q489" s="3">
        <v>2</v>
      </c>
      <c r="R489" s="3">
        <v>6</v>
      </c>
      <c r="T48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89" t="str">
        <f>IF(Table1[[#This Row],[Customer Rating]]&gt;=9,"Promoter",IF(Table1[[#This Row],[Customer Rating]]&gt;=7,"Passive","Detractor"))</f>
        <v>Detractor</v>
      </c>
    </row>
    <row r="490" spans="1:21" ht="14.25" customHeight="1" x14ac:dyDescent="0.3">
      <c r="A490" s="3" t="s">
        <v>525</v>
      </c>
      <c r="B490" s="3" t="s">
        <v>32</v>
      </c>
      <c r="C490" s="3" t="s">
        <v>27</v>
      </c>
      <c r="D490" s="14">
        <v>45946</v>
      </c>
      <c r="E490" s="11">
        <f>1</f>
        <v>1</v>
      </c>
      <c r="F490" s="14">
        <v>45950</v>
      </c>
      <c r="G490" s="11">
        <f>IF(Table1[[#This Row],[Pre-Booking Date]]&lt;&gt;"",1,0)</f>
        <v>1</v>
      </c>
      <c r="H490" s="4">
        <v>45952</v>
      </c>
      <c r="I490" s="11">
        <f>IF(Table1[[#This Row],[Booking Date]]&lt;&gt;"",1,0)</f>
        <v>1</v>
      </c>
      <c r="J490" s="30">
        <v>45958</v>
      </c>
      <c r="K490" s="11">
        <f>IF(Table1[[#This Row],[Delivery Date]]&lt;&gt;"",1,0)</f>
        <v>1</v>
      </c>
      <c r="L490" s="3" t="s">
        <v>2</v>
      </c>
      <c r="M490" s="3">
        <f>IF(Table1[[#This Row],[Cancellation Status]]&lt;&gt;"Yes",1,0)</f>
        <v>1</v>
      </c>
      <c r="O490" s="30">
        <v>45987</v>
      </c>
      <c r="P490" s="3">
        <v>4</v>
      </c>
      <c r="Q490" s="3">
        <v>2</v>
      </c>
      <c r="R490" s="3">
        <v>6</v>
      </c>
      <c r="S490" s="3">
        <v>4</v>
      </c>
      <c r="T49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90" t="str">
        <f>IF(Table1[[#This Row],[Customer Rating]]&gt;=9,"Promoter",IF(Table1[[#This Row],[Customer Rating]]&gt;=7,"Passive","Detractor"))</f>
        <v>Detractor</v>
      </c>
    </row>
    <row r="491" spans="1:21" ht="14.25" customHeight="1" x14ac:dyDescent="0.3">
      <c r="A491" s="3" t="s">
        <v>526</v>
      </c>
      <c r="B491" s="3" t="s">
        <v>32</v>
      </c>
      <c r="C491" s="3" t="s">
        <v>33</v>
      </c>
      <c r="D491" s="14">
        <v>45946</v>
      </c>
      <c r="E491" s="11">
        <f>1</f>
        <v>1</v>
      </c>
      <c r="G491" s="12">
        <f>IF(Table1[[#This Row],[Pre-Booking Date]]&lt;&gt;"",1,0)</f>
        <v>0</v>
      </c>
      <c r="I491" s="12">
        <f>IF(Table1[[#This Row],[Booking Date]]&lt;&gt;"",1,0)</f>
        <v>0</v>
      </c>
      <c r="K491" s="12">
        <f>IF(Table1[[#This Row],[Delivery Date]]&lt;&gt;"",1,0)</f>
        <v>0</v>
      </c>
      <c r="L491" s="3" t="s">
        <v>3</v>
      </c>
      <c r="M491" s="3">
        <f>IF(Table1[[#This Row],[Cancellation Status]]&lt;&gt;"Yes",1,0)</f>
        <v>0</v>
      </c>
      <c r="N491" s="3" t="s">
        <v>42</v>
      </c>
      <c r="T49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91" t="str">
        <f>IF(Table1[[#This Row],[Customer Rating]]&gt;=9,"Promoter",IF(Table1[[#This Row],[Customer Rating]]&gt;=7,"Passive","Detractor"))</f>
        <v>Detractor</v>
      </c>
    </row>
    <row r="492" spans="1:21" ht="14.25" customHeight="1" x14ac:dyDescent="0.3">
      <c r="A492" s="3" t="s">
        <v>527</v>
      </c>
      <c r="B492" s="3" t="s">
        <v>39</v>
      </c>
      <c r="C492" s="3" t="s">
        <v>27</v>
      </c>
      <c r="D492" s="14">
        <v>45946</v>
      </c>
      <c r="E492" s="11">
        <f>1</f>
        <v>1</v>
      </c>
      <c r="F492" s="14">
        <v>45949</v>
      </c>
      <c r="G492" s="11">
        <f>IF(Table1[[#This Row],[Pre-Booking Date]]&lt;&gt;"",1,0)</f>
        <v>1</v>
      </c>
      <c r="H492" s="4">
        <v>45953</v>
      </c>
      <c r="I492" s="11">
        <f>IF(Table1[[#This Row],[Booking Date]]&lt;&gt;"",1,0)</f>
        <v>1</v>
      </c>
      <c r="J492" s="30">
        <v>45959</v>
      </c>
      <c r="K492" s="11">
        <f>IF(Table1[[#This Row],[Delivery Date]]&lt;&gt;"",1,0)</f>
        <v>1</v>
      </c>
      <c r="L492" s="3" t="s">
        <v>2</v>
      </c>
      <c r="M492" s="3">
        <f>IF(Table1[[#This Row],[Cancellation Status]]&lt;&gt;"Yes",1,0)</f>
        <v>1</v>
      </c>
      <c r="O492" s="30">
        <v>45976</v>
      </c>
      <c r="P492" s="3">
        <v>3</v>
      </c>
      <c r="Q492" s="3">
        <v>4</v>
      </c>
      <c r="R492" s="3">
        <v>6</v>
      </c>
      <c r="S492" s="3">
        <v>1</v>
      </c>
      <c r="T49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92" t="str">
        <f>IF(Table1[[#This Row],[Customer Rating]]&gt;=9,"Promoter",IF(Table1[[#This Row],[Customer Rating]]&gt;=7,"Passive","Detractor"))</f>
        <v>Detractor</v>
      </c>
    </row>
    <row r="493" spans="1:21" ht="14.25" customHeight="1" x14ac:dyDescent="0.3">
      <c r="A493" s="3" t="s">
        <v>528</v>
      </c>
      <c r="B493" s="3" t="s">
        <v>29</v>
      </c>
      <c r="C493" s="3" t="s">
        <v>33</v>
      </c>
      <c r="D493" s="14">
        <v>45946</v>
      </c>
      <c r="E493" s="11">
        <f>1</f>
        <v>1</v>
      </c>
      <c r="G493" s="12">
        <f>IF(Table1[[#This Row],[Pre-Booking Date]]&lt;&gt;"",1,0)</f>
        <v>0</v>
      </c>
      <c r="I493" s="12">
        <f>IF(Table1[[#This Row],[Booking Date]]&lt;&gt;"",1,0)</f>
        <v>0</v>
      </c>
      <c r="K493" s="12">
        <f>IF(Table1[[#This Row],[Delivery Date]]&lt;&gt;"",1,0)</f>
        <v>0</v>
      </c>
      <c r="L493" s="3" t="s">
        <v>3</v>
      </c>
      <c r="M493" s="3">
        <f>IF(Table1[[#This Row],[Cancellation Status]]&lt;&gt;"Yes",1,0)</f>
        <v>0</v>
      </c>
      <c r="N493" s="3" t="s">
        <v>34</v>
      </c>
      <c r="T49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93" t="str">
        <f>IF(Table1[[#This Row],[Customer Rating]]&gt;=9,"Promoter",IF(Table1[[#This Row],[Customer Rating]]&gt;=7,"Passive","Detractor"))</f>
        <v>Detractor</v>
      </c>
    </row>
    <row r="494" spans="1:21" ht="14.25" customHeight="1" x14ac:dyDescent="0.3">
      <c r="A494" s="3" t="s">
        <v>529</v>
      </c>
      <c r="B494" s="3" t="s">
        <v>26</v>
      </c>
      <c r="C494" s="3" t="s">
        <v>27</v>
      </c>
      <c r="D494" s="14">
        <v>45946</v>
      </c>
      <c r="E494" s="11">
        <f>1</f>
        <v>1</v>
      </c>
      <c r="F494" s="14">
        <v>45949</v>
      </c>
      <c r="G494" s="11">
        <f>IF(Table1[[#This Row],[Pre-Booking Date]]&lt;&gt;"",1,0)</f>
        <v>1</v>
      </c>
      <c r="H494" s="4">
        <v>45952</v>
      </c>
      <c r="I494" s="11">
        <f>IF(Table1[[#This Row],[Booking Date]]&lt;&gt;"",1,0)</f>
        <v>1</v>
      </c>
      <c r="J494" s="30">
        <v>45959</v>
      </c>
      <c r="K494" s="11">
        <f>IF(Table1[[#This Row],[Delivery Date]]&lt;&gt;"",1,0)</f>
        <v>1</v>
      </c>
      <c r="L494" s="3" t="s">
        <v>2</v>
      </c>
      <c r="M494" s="3">
        <f>IF(Table1[[#This Row],[Cancellation Status]]&lt;&gt;"Yes",1,0)</f>
        <v>1</v>
      </c>
      <c r="O494" s="30">
        <v>45978</v>
      </c>
      <c r="P494" s="3">
        <v>3</v>
      </c>
      <c r="Q494" s="3">
        <v>3</v>
      </c>
      <c r="R494" s="3">
        <v>7</v>
      </c>
      <c r="S494" s="3">
        <v>2</v>
      </c>
      <c r="T49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94" t="str">
        <f>IF(Table1[[#This Row],[Customer Rating]]&gt;=9,"Promoter",IF(Table1[[#This Row],[Customer Rating]]&gt;=7,"Passive","Detractor"))</f>
        <v>Detractor</v>
      </c>
    </row>
    <row r="495" spans="1:21" ht="14.25" customHeight="1" x14ac:dyDescent="0.3">
      <c r="A495" s="3" t="s">
        <v>530</v>
      </c>
      <c r="B495" s="3" t="s">
        <v>26</v>
      </c>
      <c r="C495" s="3" t="s">
        <v>30</v>
      </c>
      <c r="D495" s="14">
        <v>45946</v>
      </c>
      <c r="E495" s="11">
        <f>1</f>
        <v>1</v>
      </c>
      <c r="F495" s="14">
        <v>45950</v>
      </c>
      <c r="G495" s="11">
        <f>IF(Table1[[#This Row],[Pre-Booking Date]]&lt;&gt;"",1,0)</f>
        <v>1</v>
      </c>
      <c r="H495" s="4">
        <v>45952</v>
      </c>
      <c r="I495" s="11">
        <f>IF(Table1[[#This Row],[Booking Date]]&lt;&gt;"",1,0)</f>
        <v>1</v>
      </c>
      <c r="J495" s="30">
        <v>45954</v>
      </c>
      <c r="K495" s="11">
        <f>IF(Table1[[#This Row],[Delivery Date]]&lt;&gt;"",1,0)</f>
        <v>1</v>
      </c>
      <c r="L495" s="3" t="s">
        <v>3</v>
      </c>
      <c r="M495" s="3">
        <f>IF(Table1[[#This Row],[Cancellation Status]]&lt;&gt;"Yes",1,0)</f>
        <v>0</v>
      </c>
      <c r="N495" s="3" t="s">
        <v>34</v>
      </c>
      <c r="P495" s="3">
        <v>4</v>
      </c>
      <c r="Q495" s="3">
        <v>2</v>
      </c>
      <c r="R495" s="3">
        <v>2</v>
      </c>
      <c r="T49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95" t="str">
        <f>IF(Table1[[#This Row],[Customer Rating]]&gt;=9,"Promoter",IF(Table1[[#This Row],[Customer Rating]]&gt;=7,"Passive","Detractor"))</f>
        <v>Detractor</v>
      </c>
    </row>
    <row r="496" spans="1:21" ht="14.25" customHeight="1" x14ac:dyDescent="0.3">
      <c r="A496" s="3" t="s">
        <v>531</v>
      </c>
      <c r="B496" s="3" t="s">
        <v>26</v>
      </c>
      <c r="C496" s="3" t="s">
        <v>27</v>
      </c>
      <c r="D496" s="14">
        <v>45946</v>
      </c>
      <c r="E496" s="11">
        <f>1</f>
        <v>1</v>
      </c>
      <c r="F496" s="14">
        <v>45948</v>
      </c>
      <c r="G496" s="11">
        <f>IF(Table1[[#This Row],[Pre-Booking Date]]&lt;&gt;"",1,0)</f>
        <v>1</v>
      </c>
      <c r="H496" s="4">
        <v>45953</v>
      </c>
      <c r="I496" s="11">
        <f>IF(Table1[[#This Row],[Booking Date]]&lt;&gt;"",1,0)</f>
        <v>1</v>
      </c>
      <c r="J496" s="30">
        <v>45957</v>
      </c>
      <c r="K496" s="11">
        <f>IF(Table1[[#This Row],[Delivery Date]]&lt;&gt;"",1,0)</f>
        <v>1</v>
      </c>
      <c r="L496" s="3" t="s">
        <v>2</v>
      </c>
      <c r="M496" s="3">
        <f>IF(Table1[[#This Row],[Cancellation Status]]&lt;&gt;"Yes",1,0)</f>
        <v>1</v>
      </c>
      <c r="O496" s="30">
        <v>45969</v>
      </c>
      <c r="P496" s="3">
        <v>2</v>
      </c>
      <c r="Q496" s="3">
        <v>5</v>
      </c>
      <c r="R496" s="3">
        <v>4</v>
      </c>
      <c r="S496" s="3">
        <v>5</v>
      </c>
      <c r="T49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96" t="str">
        <f>IF(Table1[[#This Row],[Customer Rating]]&gt;=9,"Promoter",IF(Table1[[#This Row],[Customer Rating]]&gt;=7,"Passive","Detractor"))</f>
        <v>Detractor</v>
      </c>
    </row>
    <row r="497" spans="1:21" ht="14.25" customHeight="1" x14ac:dyDescent="0.3">
      <c r="A497" s="3" t="s">
        <v>532</v>
      </c>
      <c r="B497" s="3" t="s">
        <v>26</v>
      </c>
      <c r="C497" s="3" t="s">
        <v>30</v>
      </c>
      <c r="D497" s="14">
        <v>45946</v>
      </c>
      <c r="E497" s="11">
        <f>1</f>
        <v>1</v>
      </c>
      <c r="F497" s="14">
        <v>45949</v>
      </c>
      <c r="G497" s="11">
        <f>IF(Table1[[#This Row],[Pre-Booking Date]]&lt;&gt;"",1,0)</f>
        <v>1</v>
      </c>
      <c r="H497" s="4">
        <v>45953</v>
      </c>
      <c r="I497" s="11">
        <f>IF(Table1[[#This Row],[Booking Date]]&lt;&gt;"",1,0)</f>
        <v>1</v>
      </c>
      <c r="J497" s="30">
        <v>45959</v>
      </c>
      <c r="K497" s="11">
        <f>IF(Table1[[#This Row],[Delivery Date]]&lt;&gt;"",1,0)</f>
        <v>1</v>
      </c>
      <c r="L497" s="3" t="s">
        <v>2</v>
      </c>
      <c r="M497" s="3">
        <f>IF(Table1[[#This Row],[Cancellation Status]]&lt;&gt;"Yes",1,0)</f>
        <v>1</v>
      </c>
      <c r="O497" s="30">
        <v>45971</v>
      </c>
      <c r="P497" s="3">
        <v>3</v>
      </c>
      <c r="Q497" s="3">
        <v>4</v>
      </c>
      <c r="R497" s="3">
        <v>6</v>
      </c>
      <c r="S497" s="3">
        <v>5</v>
      </c>
      <c r="T49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497" t="str">
        <f>IF(Table1[[#This Row],[Customer Rating]]&gt;=9,"Promoter",IF(Table1[[#This Row],[Customer Rating]]&gt;=7,"Passive","Detractor"))</f>
        <v>Detractor</v>
      </c>
    </row>
    <row r="498" spans="1:21" ht="14.25" customHeight="1" x14ac:dyDescent="0.3">
      <c r="A498" s="3" t="s">
        <v>533</v>
      </c>
      <c r="B498" s="3" t="s">
        <v>39</v>
      </c>
      <c r="C498" s="3" t="s">
        <v>33</v>
      </c>
      <c r="D498" s="14">
        <v>45946</v>
      </c>
      <c r="E498" s="11">
        <f>1</f>
        <v>1</v>
      </c>
      <c r="G498" s="12">
        <f>IF(Table1[[#This Row],[Pre-Booking Date]]&lt;&gt;"",1,0)</f>
        <v>0</v>
      </c>
      <c r="I498" s="12">
        <f>IF(Table1[[#This Row],[Booking Date]]&lt;&gt;"",1,0)</f>
        <v>0</v>
      </c>
      <c r="K498" s="12">
        <f>IF(Table1[[#This Row],[Delivery Date]]&lt;&gt;"",1,0)</f>
        <v>0</v>
      </c>
      <c r="L498" s="3" t="s">
        <v>3</v>
      </c>
      <c r="M498" s="3">
        <f>IF(Table1[[#This Row],[Cancellation Status]]&lt;&gt;"Yes",1,0)</f>
        <v>0</v>
      </c>
      <c r="N498" s="3" t="s">
        <v>55</v>
      </c>
      <c r="T49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98" t="str">
        <f>IF(Table1[[#This Row],[Customer Rating]]&gt;=9,"Promoter",IF(Table1[[#This Row],[Customer Rating]]&gt;=7,"Passive","Detractor"))</f>
        <v>Detractor</v>
      </c>
    </row>
    <row r="499" spans="1:21" ht="14.25" customHeight="1" x14ac:dyDescent="0.3">
      <c r="A499" s="3" t="s">
        <v>534</v>
      </c>
      <c r="B499" s="3" t="s">
        <v>32</v>
      </c>
      <c r="C499" s="3" t="s">
        <v>33</v>
      </c>
      <c r="D499" s="14">
        <v>45946</v>
      </c>
      <c r="E499" s="11">
        <f>1</f>
        <v>1</v>
      </c>
      <c r="G499" s="12">
        <f>IF(Table1[[#This Row],[Pre-Booking Date]]&lt;&gt;"",1,0)</f>
        <v>0</v>
      </c>
      <c r="I499" s="12">
        <f>IF(Table1[[#This Row],[Booking Date]]&lt;&gt;"",1,0)</f>
        <v>0</v>
      </c>
      <c r="K499" s="12">
        <f>IF(Table1[[#This Row],[Delivery Date]]&lt;&gt;"",1,0)</f>
        <v>0</v>
      </c>
      <c r="L499" s="3" t="s">
        <v>3</v>
      </c>
      <c r="M499" s="3">
        <f>IF(Table1[[#This Row],[Cancellation Status]]&lt;&gt;"Yes",1,0)</f>
        <v>0</v>
      </c>
      <c r="N499" s="3" t="s">
        <v>52</v>
      </c>
      <c r="T49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499" t="str">
        <f>IF(Table1[[#This Row],[Customer Rating]]&gt;=9,"Promoter",IF(Table1[[#This Row],[Customer Rating]]&gt;=7,"Passive","Detractor"))</f>
        <v>Detractor</v>
      </c>
    </row>
    <row r="500" spans="1:21" ht="14.25" customHeight="1" x14ac:dyDescent="0.3">
      <c r="A500" s="3" t="s">
        <v>535</v>
      </c>
      <c r="B500" s="3" t="s">
        <v>29</v>
      </c>
      <c r="C500" s="3" t="s">
        <v>27</v>
      </c>
      <c r="D500" s="14">
        <v>45946</v>
      </c>
      <c r="E500" s="11">
        <f>1</f>
        <v>1</v>
      </c>
      <c r="F500" s="14">
        <v>45951</v>
      </c>
      <c r="G500" s="11">
        <f>IF(Table1[[#This Row],[Pre-Booking Date]]&lt;&gt;"",1,0)</f>
        <v>1</v>
      </c>
      <c r="H500" s="4">
        <v>45956</v>
      </c>
      <c r="I500" s="11">
        <f>IF(Table1[[#This Row],[Booking Date]]&lt;&gt;"",1,0)</f>
        <v>1</v>
      </c>
      <c r="J500" s="30">
        <v>45960</v>
      </c>
      <c r="K500" s="11">
        <f>IF(Table1[[#This Row],[Delivery Date]]&lt;&gt;"",1,0)</f>
        <v>1</v>
      </c>
      <c r="L500" s="3" t="s">
        <v>2</v>
      </c>
      <c r="M500" s="3">
        <f>IF(Table1[[#This Row],[Cancellation Status]]&lt;&gt;"Yes",1,0)</f>
        <v>1</v>
      </c>
      <c r="O500" s="30">
        <v>45987</v>
      </c>
      <c r="P500" s="3">
        <v>5</v>
      </c>
      <c r="Q500" s="3">
        <v>5</v>
      </c>
      <c r="R500" s="3">
        <v>4</v>
      </c>
      <c r="S500" s="3">
        <v>10</v>
      </c>
      <c r="T50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00" t="str">
        <f>IF(Table1[[#This Row],[Customer Rating]]&gt;=9,"Promoter",IF(Table1[[#This Row],[Customer Rating]]&gt;=7,"Passive","Detractor"))</f>
        <v>Promoter</v>
      </c>
    </row>
    <row r="501" spans="1:21" ht="14.25" customHeight="1" x14ac:dyDescent="0.3">
      <c r="A501" s="3" t="s">
        <v>536</v>
      </c>
      <c r="B501" s="3" t="s">
        <v>32</v>
      </c>
      <c r="C501" s="3" t="s">
        <v>27</v>
      </c>
      <c r="D501" s="14">
        <v>45946</v>
      </c>
      <c r="E501" s="11">
        <f>1</f>
        <v>1</v>
      </c>
      <c r="F501" s="14">
        <v>45949</v>
      </c>
      <c r="G501" s="11">
        <f>IF(Table1[[#This Row],[Pre-Booking Date]]&lt;&gt;"",1,0)</f>
        <v>1</v>
      </c>
      <c r="H501" s="4">
        <v>45954</v>
      </c>
      <c r="I501" s="11">
        <f>IF(Table1[[#This Row],[Booking Date]]&lt;&gt;"",1,0)</f>
        <v>1</v>
      </c>
      <c r="J501" s="30">
        <v>45959</v>
      </c>
      <c r="K501" s="11">
        <f>IF(Table1[[#This Row],[Delivery Date]]&lt;&gt;"",1,0)</f>
        <v>1</v>
      </c>
      <c r="L501" s="3" t="s">
        <v>2</v>
      </c>
      <c r="M501" s="3">
        <f>IF(Table1[[#This Row],[Cancellation Status]]&lt;&gt;"Yes",1,0)</f>
        <v>1</v>
      </c>
      <c r="O501" s="30">
        <v>45972</v>
      </c>
      <c r="P501" s="3">
        <v>3</v>
      </c>
      <c r="Q501" s="3">
        <v>5</v>
      </c>
      <c r="R501" s="3">
        <v>5</v>
      </c>
      <c r="S501" s="3">
        <v>3</v>
      </c>
      <c r="T50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01" t="str">
        <f>IF(Table1[[#This Row],[Customer Rating]]&gt;=9,"Promoter",IF(Table1[[#This Row],[Customer Rating]]&gt;=7,"Passive","Detractor"))</f>
        <v>Detractor</v>
      </c>
    </row>
    <row r="502" spans="1:21" ht="14.25" customHeight="1" x14ac:dyDescent="0.3">
      <c r="A502" s="3" t="s">
        <v>537</v>
      </c>
      <c r="B502" s="3" t="s">
        <v>39</v>
      </c>
      <c r="C502" s="3" t="s">
        <v>33</v>
      </c>
      <c r="D502" s="14">
        <v>45946</v>
      </c>
      <c r="E502" s="11">
        <f>1</f>
        <v>1</v>
      </c>
      <c r="G502" s="12">
        <f>IF(Table1[[#This Row],[Pre-Booking Date]]&lt;&gt;"",1,0)</f>
        <v>0</v>
      </c>
      <c r="I502" s="12">
        <f>IF(Table1[[#This Row],[Booking Date]]&lt;&gt;"",1,0)</f>
        <v>0</v>
      </c>
      <c r="K502" s="12">
        <f>IF(Table1[[#This Row],[Delivery Date]]&lt;&gt;"",1,0)</f>
        <v>0</v>
      </c>
      <c r="L502" s="3" t="s">
        <v>3</v>
      </c>
      <c r="M502" s="3">
        <f>IF(Table1[[#This Row],[Cancellation Status]]&lt;&gt;"Yes",1,0)</f>
        <v>0</v>
      </c>
      <c r="N502" s="3" t="s">
        <v>37</v>
      </c>
      <c r="T50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02" t="str">
        <f>IF(Table1[[#This Row],[Customer Rating]]&gt;=9,"Promoter",IF(Table1[[#This Row],[Customer Rating]]&gt;=7,"Passive","Detractor"))</f>
        <v>Detractor</v>
      </c>
    </row>
    <row r="503" spans="1:21" ht="14.25" customHeight="1" x14ac:dyDescent="0.3">
      <c r="A503" s="3" t="s">
        <v>538</v>
      </c>
      <c r="B503" s="3" t="s">
        <v>26</v>
      </c>
      <c r="C503" s="3" t="s">
        <v>27</v>
      </c>
      <c r="D503" s="14">
        <v>45946</v>
      </c>
      <c r="E503" s="11">
        <f>1</f>
        <v>1</v>
      </c>
      <c r="F503" s="14">
        <v>45951</v>
      </c>
      <c r="G503" s="11">
        <f>IF(Table1[[#This Row],[Pre-Booking Date]]&lt;&gt;"",1,0)</f>
        <v>1</v>
      </c>
      <c r="H503" s="4">
        <v>45952</v>
      </c>
      <c r="I503" s="11">
        <f>IF(Table1[[#This Row],[Booking Date]]&lt;&gt;"",1,0)</f>
        <v>1</v>
      </c>
      <c r="J503" s="30">
        <v>45954</v>
      </c>
      <c r="K503" s="11">
        <f>IF(Table1[[#This Row],[Delivery Date]]&lt;&gt;"",1,0)</f>
        <v>1</v>
      </c>
      <c r="L503" s="3" t="s">
        <v>2</v>
      </c>
      <c r="M503" s="3">
        <f>IF(Table1[[#This Row],[Cancellation Status]]&lt;&gt;"Yes",1,0)</f>
        <v>1</v>
      </c>
      <c r="O503" s="30">
        <v>45977</v>
      </c>
      <c r="P503" s="3">
        <v>5</v>
      </c>
      <c r="Q503" s="3">
        <v>1</v>
      </c>
      <c r="R503" s="3">
        <v>2</v>
      </c>
      <c r="S503" s="3">
        <v>1</v>
      </c>
      <c r="T50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03" t="str">
        <f>IF(Table1[[#This Row],[Customer Rating]]&gt;=9,"Promoter",IF(Table1[[#This Row],[Customer Rating]]&gt;=7,"Passive","Detractor"))</f>
        <v>Detractor</v>
      </c>
    </row>
    <row r="504" spans="1:21" ht="14.25" customHeight="1" x14ac:dyDescent="0.3">
      <c r="A504" s="3" t="s">
        <v>539</v>
      </c>
      <c r="B504" s="3" t="s">
        <v>39</v>
      </c>
      <c r="C504" s="3" t="s">
        <v>33</v>
      </c>
      <c r="D504" s="14">
        <v>45946</v>
      </c>
      <c r="E504" s="11">
        <f>1</f>
        <v>1</v>
      </c>
      <c r="G504" s="12">
        <f>IF(Table1[[#This Row],[Pre-Booking Date]]&lt;&gt;"",1,0)</f>
        <v>0</v>
      </c>
      <c r="I504" s="12">
        <f>IF(Table1[[#This Row],[Booking Date]]&lt;&gt;"",1,0)</f>
        <v>0</v>
      </c>
      <c r="K504" s="12">
        <f>IF(Table1[[#This Row],[Delivery Date]]&lt;&gt;"",1,0)</f>
        <v>0</v>
      </c>
      <c r="L504" s="3" t="s">
        <v>3</v>
      </c>
      <c r="M504" s="3">
        <f>IF(Table1[[#This Row],[Cancellation Status]]&lt;&gt;"Yes",1,0)</f>
        <v>0</v>
      </c>
      <c r="N504" s="3" t="s">
        <v>55</v>
      </c>
      <c r="T50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04" t="str">
        <f>IF(Table1[[#This Row],[Customer Rating]]&gt;=9,"Promoter",IF(Table1[[#This Row],[Customer Rating]]&gt;=7,"Passive","Detractor"))</f>
        <v>Detractor</v>
      </c>
    </row>
    <row r="505" spans="1:21" ht="14.25" customHeight="1" x14ac:dyDescent="0.3">
      <c r="A505" s="3" t="s">
        <v>540</v>
      </c>
      <c r="B505" s="3" t="s">
        <v>26</v>
      </c>
      <c r="C505" s="3" t="s">
        <v>33</v>
      </c>
      <c r="D505" s="14">
        <v>45946</v>
      </c>
      <c r="E505" s="11">
        <f>1</f>
        <v>1</v>
      </c>
      <c r="G505" s="12">
        <f>IF(Table1[[#This Row],[Pre-Booking Date]]&lt;&gt;"",1,0)</f>
        <v>0</v>
      </c>
      <c r="I505" s="12">
        <f>IF(Table1[[#This Row],[Booking Date]]&lt;&gt;"",1,0)</f>
        <v>0</v>
      </c>
      <c r="K505" s="12">
        <f>IF(Table1[[#This Row],[Delivery Date]]&lt;&gt;"",1,0)</f>
        <v>0</v>
      </c>
      <c r="L505" s="3" t="s">
        <v>3</v>
      </c>
      <c r="M505" s="3">
        <f>IF(Table1[[#This Row],[Cancellation Status]]&lt;&gt;"Yes",1,0)</f>
        <v>0</v>
      </c>
      <c r="N505" s="3" t="s">
        <v>34</v>
      </c>
      <c r="T50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05" t="str">
        <f>IF(Table1[[#This Row],[Customer Rating]]&gt;=9,"Promoter",IF(Table1[[#This Row],[Customer Rating]]&gt;=7,"Passive","Detractor"))</f>
        <v>Detractor</v>
      </c>
    </row>
    <row r="506" spans="1:21" ht="14.25" customHeight="1" x14ac:dyDescent="0.3">
      <c r="A506" s="3" t="s">
        <v>541</v>
      </c>
      <c r="B506" s="3" t="s">
        <v>39</v>
      </c>
      <c r="C506" s="3" t="s">
        <v>27</v>
      </c>
      <c r="D506" s="14">
        <v>45946</v>
      </c>
      <c r="E506" s="11">
        <f>1</f>
        <v>1</v>
      </c>
      <c r="F506" s="14">
        <v>45948</v>
      </c>
      <c r="G506" s="11">
        <f>IF(Table1[[#This Row],[Pre-Booking Date]]&lt;&gt;"",1,0)</f>
        <v>1</v>
      </c>
      <c r="H506" s="4">
        <v>45949</v>
      </c>
      <c r="I506" s="11">
        <f>IF(Table1[[#This Row],[Booking Date]]&lt;&gt;"",1,0)</f>
        <v>1</v>
      </c>
      <c r="J506" s="30">
        <v>45956</v>
      </c>
      <c r="K506" s="11">
        <f>IF(Table1[[#This Row],[Delivery Date]]&lt;&gt;"",1,0)</f>
        <v>1</v>
      </c>
      <c r="L506" s="3" t="s">
        <v>2</v>
      </c>
      <c r="M506" s="3">
        <f>IF(Table1[[#This Row],[Cancellation Status]]&lt;&gt;"Yes",1,0)</f>
        <v>1</v>
      </c>
      <c r="O506" s="30">
        <v>45978</v>
      </c>
      <c r="P506" s="3">
        <v>2</v>
      </c>
      <c r="Q506" s="3">
        <v>1</v>
      </c>
      <c r="R506" s="3">
        <v>7</v>
      </c>
      <c r="S506" s="3">
        <v>7</v>
      </c>
      <c r="T50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06" t="str">
        <f>IF(Table1[[#This Row],[Customer Rating]]&gt;=9,"Promoter",IF(Table1[[#This Row],[Customer Rating]]&gt;=7,"Passive","Detractor"))</f>
        <v>Passive</v>
      </c>
    </row>
    <row r="507" spans="1:21" ht="14.25" customHeight="1" x14ac:dyDescent="0.3">
      <c r="A507" s="3" t="s">
        <v>542</v>
      </c>
      <c r="B507" s="3" t="s">
        <v>32</v>
      </c>
      <c r="C507" s="3" t="s">
        <v>27</v>
      </c>
      <c r="D507" s="14">
        <v>45946</v>
      </c>
      <c r="E507" s="11">
        <f>1</f>
        <v>1</v>
      </c>
      <c r="F507" s="14">
        <v>45951</v>
      </c>
      <c r="G507" s="11">
        <f>IF(Table1[[#This Row],[Pre-Booking Date]]&lt;&gt;"",1,0)</f>
        <v>1</v>
      </c>
      <c r="H507" s="4">
        <v>45954</v>
      </c>
      <c r="I507" s="11">
        <f>IF(Table1[[#This Row],[Booking Date]]&lt;&gt;"",1,0)</f>
        <v>1</v>
      </c>
      <c r="J507" s="30">
        <v>45956</v>
      </c>
      <c r="K507" s="11">
        <f>IF(Table1[[#This Row],[Delivery Date]]&lt;&gt;"",1,0)</f>
        <v>1</v>
      </c>
      <c r="L507" s="3" t="s">
        <v>2</v>
      </c>
      <c r="M507" s="3">
        <f>IF(Table1[[#This Row],[Cancellation Status]]&lt;&gt;"Yes",1,0)</f>
        <v>1</v>
      </c>
      <c r="O507" s="30">
        <v>45969</v>
      </c>
      <c r="P507" s="3">
        <v>5</v>
      </c>
      <c r="Q507" s="3">
        <v>3</v>
      </c>
      <c r="R507" s="3">
        <v>2</v>
      </c>
      <c r="S507" s="3">
        <v>3</v>
      </c>
      <c r="T50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07" t="str">
        <f>IF(Table1[[#This Row],[Customer Rating]]&gt;=9,"Promoter",IF(Table1[[#This Row],[Customer Rating]]&gt;=7,"Passive","Detractor"))</f>
        <v>Detractor</v>
      </c>
    </row>
    <row r="508" spans="1:21" ht="14.25" customHeight="1" x14ac:dyDescent="0.3">
      <c r="A508" s="3" t="s">
        <v>543</v>
      </c>
      <c r="B508" s="3" t="s">
        <v>26</v>
      </c>
      <c r="C508" s="3" t="s">
        <v>27</v>
      </c>
      <c r="D508" s="14">
        <v>45946</v>
      </c>
      <c r="E508" s="11">
        <f>1</f>
        <v>1</v>
      </c>
      <c r="F508" s="14">
        <v>45947</v>
      </c>
      <c r="G508" s="11">
        <f>IF(Table1[[#This Row],[Pre-Booking Date]]&lt;&gt;"",1,0)</f>
        <v>1</v>
      </c>
      <c r="H508" s="4">
        <v>45950</v>
      </c>
      <c r="I508" s="11">
        <f>IF(Table1[[#This Row],[Booking Date]]&lt;&gt;"",1,0)</f>
        <v>1</v>
      </c>
      <c r="J508" s="30">
        <v>45955</v>
      </c>
      <c r="K508" s="11">
        <f>IF(Table1[[#This Row],[Delivery Date]]&lt;&gt;"",1,0)</f>
        <v>1</v>
      </c>
      <c r="L508" s="3" t="s">
        <v>2</v>
      </c>
      <c r="M508" s="3">
        <f>IF(Table1[[#This Row],[Cancellation Status]]&lt;&gt;"Yes",1,0)</f>
        <v>1</v>
      </c>
      <c r="O508" s="30">
        <v>45984</v>
      </c>
      <c r="P508" s="3">
        <v>1</v>
      </c>
      <c r="Q508" s="3">
        <v>3</v>
      </c>
      <c r="R508" s="3">
        <v>5</v>
      </c>
      <c r="S508" s="3">
        <v>1</v>
      </c>
      <c r="T50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08" t="str">
        <f>IF(Table1[[#This Row],[Customer Rating]]&gt;=9,"Promoter",IF(Table1[[#This Row],[Customer Rating]]&gt;=7,"Passive","Detractor"))</f>
        <v>Detractor</v>
      </c>
    </row>
    <row r="509" spans="1:21" ht="14.25" customHeight="1" x14ac:dyDescent="0.3">
      <c r="A509" s="3" t="s">
        <v>544</v>
      </c>
      <c r="B509" s="3" t="s">
        <v>29</v>
      </c>
      <c r="C509" s="3" t="s">
        <v>30</v>
      </c>
      <c r="D509" s="14">
        <v>45946</v>
      </c>
      <c r="E509" s="11">
        <f>1</f>
        <v>1</v>
      </c>
      <c r="F509" s="14">
        <v>45950</v>
      </c>
      <c r="G509" s="11">
        <f>IF(Table1[[#This Row],[Pre-Booking Date]]&lt;&gt;"",1,0)</f>
        <v>1</v>
      </c>
      <c r="H509" s="4">
        <v>45951</v>
      </c>
      <c r="I509" s="11">
        <f>IF(Table1[[#This Row],[Booking Date]]&lt;&gt;"",1,0)</f>
        <v>1</v>
      </c>
      <c r="J509" s="30">
        <v>45955</v>
      </c>
      <c r="K509" s="11">
        <f>IF(Table1[[#This Row],[Delivery Date]]&lt;&gt;"",1,0)</f>
        <v>1</v>
      </c>
      <c r="L509" s="3" t="s">
        <v>2</v>
      </c>
      <c r="M509" s="3">
        <f>IF(Table1[[#This Row],[Cancellation Status]]&lt;&gt;"Yes",1,0)</f>
        <v>1</v>
      </c>
      <c r="O509" s="30">
        <v>45985</v>
      </c>
      <c r="P509" s="3">
        <v>4</v>
      </c>
      <c r="Q509" s="3">
        <v>1</v>
      </c>
      <c r="R509" s="3">
        <v>4</v>
      </c>
      <c r="S509" s="3">
        <v>3</v>
      </c>
      <c r="T50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09" t="str">
        <f>IF(Table1[[#This Row],[Customer Rating]]&gt;=9,"Promoter",IF(Table1[[#This Row],[Customer Rating]]&gt;=7,"Passive","Detractor"))</f>
        <v>Detractor</v>
      </c>
    </row>
    <row r="510" spans="1:21" ht="14.25" customHeight="1" x14ac:dyDescent="0.3">
      <c r="A510" s="3" t="s">
        <v>545</v>
      </c>
      <c r="B510" s="3" t="s">
        <v>39</v>
      </c>
      <c r="C510" s="3" t="s">
        <v>27</v>
      </c>
      <c r="D510" s="14">
        <v>45946</v>
      </c>
      <c r="E510" s="11">
        <f>1</f>
        <v>1</v>
      </c>
      <c r="F510" s="14">
        <v>45950</v>
      </c>
      <c r="G510" s="11">
        <f>IF(Table1[[#This Row],[Pre-Booking Date]]&lt;&gt;"",1,0)</f>
        <v>1</v>
      </c>
      <c r="H510" s="4">
        <v>45951</v>
      </c>
      <c r="I510" s="11">
        <f>IF(Table1[[#This Row],[Booking Date]]&lt;&gt;"",1,0)</f>
        <v>1</v>
      </c>
      <c r="J510" s="30">
        <v>45958</v>
      </c>
      <c r="K510" s="11">
        <f>IF(Table1[[#This Row],[Delivery Date]]&lt;&gt;"",1,0)</f>
        <v>1</v>
      </c>
      <c r="L510" s="3" t="s">
        <v>2</v>
      </c>
      <c r="M510" s="3">
        <f>IF(Table1[[#This Row],[Cancellation Status]]&lt;&gt;"Yes",1,0)</f>
        <v>1</v>
      </c>
      <c r="O510" s="30">
        <v>45974</v>
      </c>
      <c r="P510" s="3">
        <v>4</v>
      </c>
      <c r="Q510" s="3">
        <v>1</v>
      </c>
      <c r="R510" s="3">
        <v>7</v>
      </c>
      <c r="S510" s="3">
        <v>0</v>
      </c>
      <c r="T51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10" t="str">
        <f>IF(Table1[[#This Row],[Customer Rating]]&gt;=9,"Promoter",IF(Table1[[#This Row],[Customer Rating]]&gt;=7,"Passive","Detractor"))</f>
        <v>Detractor</v>
      </c>
    </row>
    <row r="511" spans="1:21" ht="14.25" customHeight="1" x14ac:dyDescent="0.3">
      <c r="A511" s="3" t="s">
        <v>546</v>
      </c>
      <c r="B511" s="3" t="s">
        <v>26</v>
      </c>
      <c r="C511" s="3" t="s">
        <v>27</v>
      </c>
      <c r="D511" s="14">
        <v>45946</v>
      </c>
      <c r="E511" s="11">
        <f>1</f>
        <v>1</v>
      </c>
      <c r="F511" s="14">
        <v>45949</v>
      </c>
      <c r="G511" s="11">
        <f>IF(Table1[[#This Row],[Pre-Booking Date]]&lt;&gt;"",1,0)</f>
        <v>1</v>
      </c>
      <c r="H511" s="4">
        <v>45953</v>
      </c>
      <c r="I511" s="11">
        <f>IF(Table1[[#This Row],[Booking Date]]&lt;&gt;"",1,0)</f>
        <v>1</v>
      </c>
      <c r="J511" s="30">
        <v>45956</v>
      </c>
      <c r="K511" s="11">
        <f>IF(Table1[[#This Row],[Delivery Date]]&lt;&gt;"",1,0)</f>
        <v>1</v>
      </c>
      <c r="L511" s="3" t="s">
        <v>2</v>
      </c>
      <c r="M511" s="3">
        <f>IF(Table1[[#This Row],[Cancellation Status]]&lt;&gt;"Yes",1,0)</f>
        <v>1</v>
      </c>
      <c r="O511" s="30">
        <v>45973</v>
      </c>
      <c r="P511" s="3">
        <v>3</v>
      </c>
      <c r="Q511" s="3">
        <v>4</v>
      </c>
      <c r="R511" s="3">
        <v>3</v>
      </c>
      <c r="S511" s="3">
        <v>8</v>
      </c>
      <c r="T51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11" t="str">
        <f>IF(Table1[[#This Row],[Customer Rating]]&gt;=9,"Promoter",IF(Table1[[#This Row],[Customer Rating]]&gt;=7,"Passive","Detractor"))</f>
        <v>Passive</v>
      </c>
    </row>
    <row r="512" spans="1:21" ht="14.25" customHeight="1" x14ac:dyDescent="0.3">
      <c r="A512" s="3" t="s">
        <v>547</v>
      </c>
      <c r="B512" s="3" t="s">
        <v>32</v>
      </c>
      <c r="C512" s="3" t="s">
        <v>33</v>
      </c>
      <c r="D512" s="14">
        <v>45946</v>
      </c>
      <c r="E512" s="11">
        <f>1</f>
        <v>1</v>
      </c>
      <c r="G512" s="12">
        <f>IF(Table1[[#This Row],[Pre-Booking Date]]&lt;&gt;"",1,0)</f>
        <v>0</v>
      </c>
      <c r="I512" s="12">
        <f>IF(Table1[[#This Row],[Booking Date]]&lt;&gt;"",1,0)</f>
        <v>0</v>
      </c>
      <c r="K512" s="12">
        <f>IF(Table1[[#This Row],[Delivery Date]]&lt;&gt;"",1,0)</f>
        <v>0</v>
      </c>
      <c r="L512" s="3" t="s">
        <v>3</v>
      </c>
      <c r="M512" s="3">
        <f>IF(Table1[[#This Row],[Cancellation Status]]&lt;&gt;"Yes",1,0)</f>
        <v>0</v>
      </c>
      <c r="N512" s="3" t="s">
        <v>37</v>
      </c>
      <c r="T51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12" t="str">
        <f>IF(Table1[[#This Row],[Customer Rating]]&gt;=9,"Promoter",IF(Table1[[#This Row],[Customer Rating]]&gt;=7,"Passive","Detractor"))</f>
        <v>Detractor</v>
      </c>
    </row>
    <row r="513" spans="1:21" ht="14.25" customHeight="1" x14ac:dyDescent="0.3">
      <c r="A513" s="3" t="s">
        <v>548</v>
      </c>
      <c r="B513" s="3" t="s">
        <v>39</v>
      </c>
      <c r="C513" s="3" t="s">
        <v>27</v>
      </c>
      <c r="D513" s="14">
        <v>45946</v>
      </c>
      <c r="E513" s="11">
        <f>1</f>
        <v>1</v>
      </c>
      <c r="F513" s="14">
        <v>45947</v>
      </c>
      <c r="G513" s="11">
        <f>IF(Table1[[#This Row],[Pre-Booking Date]]&lt;&gt;"",1,0)</f>
        <v>1</v>
      </c>
      <c r="H513" s="4">
        <v>45950</v>
      </c>
      <c r="I513" s="11">
        <f>IF(Table1[[#This Row],[Booking Date]]&lt;&gt;"",1,0)</f>
        <v>1</v>
      </c>
      <c r="J513" s="30">
        <v>45952</v>
      </c>
      <c r="K513" s="11">
        <f>IF(Table1[[#This Row],[Delivery Date]]&lt;&gt;"",1,0)</f>
        <v>1</v>
      </c>
      <c r="L513" s="3" t="s">
        <v>2</v>
      </c>
      <c r="M513" s="3">
        <f>IF(Table1[[#This Row],[Cancellation Status]]&lt;&gt;"Yes",1,0)</f>
        <v>1</v>
      </c>
      <c r="O513" s="30">
        <v>45973</v>
      </c>
      <c r="P513" s="3">
        <v>1</v>
      </c>
      <c r="Q513" s="3">
        <v>3</v>
      </c>
      <c r="R513" s="3">
        <v>2</v>
      </c>
      <c r="S513" s="3">
        <v>5</v>
      </c>
      <c r="T51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13" t="str">
        <f>IF(Table1[[#This Row],[Customer Rating]]&gt;=9,"Promoter",IF(Table1[[#This Row],[Customer Rating]]&gt;=7,"Passive","Detractor"))</f>
        <v>Detractor</v>
      </c>
    </row>
    <row r="514" spans="1:21" ht="14.25" customHeight="1" x14ac:dyDescent="0.3">
      <c r="A514" s="3" t="s">
        <v>549</v>
      </c>
      <c r="B514" s="3" t="s">
        <v>29</v>
      </c>
      <c r="C514" s="3" t="s">
        <v>33</v>
      </c>
      <c r="D514" s="14">
        <v>45946</v>
      </c>
      <c r="E514" s="11">
        <f>1</f>
        <v>1</v>
      </c>
      <c r="G514" s="12">
        <f>IF(Table1[[#This Row],[Pre-Booking Date]]&lt;&gt;"",1,0)</f>
        <v>0</v>
      </c>
      <c r="I514" s="12">
        <f>IF(Table1[[#This Row],[Booking Date]]&lt;&gt;"",1,0)</f>
        <v>0</v>
      </c>
      <c r="K514" s="12">
        <f>IF(Table1[[#This Row],[Delivery Date]]&lt;&gt;"",1,0)</f>
        <v>0</v>
      </c>
      <c r="L514" s="3" t="s">
        <v>3</v>
      </c>
      <c r="M514" s="3">
        <f>IF(Table1[[#This Row],[Cancellation Status]]&lt;&gt;"Yes",1,0)</f>
        <v>0</v>
      </c>
      <c r="N514" s="3" t="s">
        <v>55</v>
      </c>
      <c r="T51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14" t="str">
        <f>IF(Table1[[#This Row],[Customer Rating]]&gt;=9,"Promoter",IF(Table1[[#This Row],[Customer Rating]]&gt;=7,"Passive","Detractor"))</f>
        <v>Detractor</v>
      </c>
    </row>
    <row r="515" spans="1:21" ht="14.25" customHeight="1" x14ac:dyDescent="0.3">
      <c r="A515" s="3" t="s">
        <v>550</v>
      </c>
      <c r="B515" s="3" t="s">
        <v>26</v>
      </c>
      <c r="C515" s="3" t="s">
        <v>27</v>
      </c>
      <c r="D515" s="14">
        <v>45946</v>
      </c>
      <c r="E515" s="11">
        <f>1</f>
        <v>1</v>
      </c>
      <c r="F515" s="14">
        <v>45947</v>
      </c>
      <c r="G515" s="11">
        <f>IF(Table1[[#This Row],[Pre-Booking Date]]&lt;&gt;"",1,0)</f>
        <v>1</v>
      </c>
      <c r="H515" s="4">
        <v>45950</v>
      </c>
      <c r="I515" s="11">
        <f>IF(Table1[[#This Row],[Booking Date]]&lt;&gt;"",1,0)</f>
        <v>1</v>
      </c>
      <c r="J515" s="30">
        <v>45957</v>
      </c>
      <c r="K515" s="11">
        <f>IF(Table1[[#This Row],[Delivery Date]]&lt;&gt;"",1,0)</f>
        <v>1</v>
      </c>
      <c r="L515" s="3" t="s">
        <v>2</v>
      </c>
      <c r="M515" s="3">
        <f>IF(Table1[[#This Row],[Cancellation Status]]&lt;&gt;"Yes",1,0)</f>
        <v>1</v>
      </c>
      <c r="O515" s="30">
        <v>45979</v>
      </c>
      <c r="P515" s="3">
        <v>1</v>
      </c>
      <c r="Q515" s="3">
        <v>3</v>
      </c>
      <c r="R515" s="3">
        <v>7</v>
      </c>
      <c r="S515" s="3">
        <v>2</v>
      </c>
      <c r="T51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15" t="str">
        <f>IF(Table1[[#This Row],[Customer Rating]]&gt;=9,"Promoter",IF(Table1[[#This Row],[Customer Rating]]&gt;=7,"Passive","Detractor"))</f>
        <v>Detractor</v>
      </c>
    </row>
    <row r="516" spans="1:21" ht="14.25" customHeight="1" x14ac:dyDescent="0.3">
      <c r="A516" s="3" t="s">
        <v>551</v>
      </c>
      <c r="B516" s="3" t="s">
        <v>29</v>
      </c>
      <c r="C516" s="3" t="s">
        <v>27</v>
      </c>
      <c r="D516" s="14">
        <v>45946</v>
      </c>
      <c r="E516" s="11">
        <f>1</f>
        <v>1</v>
      </c>
      <c r="F516" s="14">
        <v>45950</v>
      </c>
      <c r="G516" s="11">
        <f>IF(Table1[[#This Row],[Pre-Booking Date]]&lt;&gt;"",1,0)</f>
        <v>1</v>
      </c>
      <c r="H516" s="4">
        <v>45955</v>
      </c>
      <c r="I516" s="11">
        <f>IF(Table1[[#This Row],[Booking Date]]&lt;&gt;"",1,0)</f>
        <v>1</v>
      </c>
      <c r="J516" s="30">
        <v>45962</v>
      </c>
      <c r="K516" s="11">
        <f>IF(Table1[[#This Row],[Delivery Date]]&lt;&gt;"",1,0)</f>
        <v>1</v>
      </c>
      <c r="L516" s="3" t="s">
        <v>2</v>
      </c>
      <c r="M516" s="3">
        <f>IF(Table1[[#This Row],[Cancellation Status]]&lt;&gt;"Yes",1,0)</f>
        <v>1</v>
      </c>
      <c r="O516" s="30">
        <v>45972</v>
      </c>
      <c r="P516" s="3">
        <v>4</v>
      </c>
      <c r="Q516" s="3">
        <v>5</v>
      </c>
      <c r="R516" s="3">
        <v>7</v>
      </c>
      <c r="S516" s="3">
        <v>2</v>
      </c>
      <c r="T51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16" t="str">
        <f>IF(Table1[[#This Row],[Customer Rating]]&gt;=9,"Promoter",IF(Table1[[#This Row],[Customer Rating]]&gt;=7,"Passive","Detractor"))</f>
        <v>Detractor</v>
      </c>
    </row>
    <row r="517" spans="1:21" ht="14.25" customHeight="1" x14ac:dyDescent="0.3">
      <c r="A517" s="3" t="s">
        <v>552</v>
      </c>
      <c r="B517" s="3" t="s">
        <v>32</v>
      </c>
      <c r="C517" s="3" t="s">
        <v>30</v>
      </c>
      <c r="D517" s="14">
        <v>45946</v>
      </c>
      <c r="E517" s="11">
        <f>1</f>
        <v>1</v>
      </c>
      <c r="F517" s="14">
        <v>45950</v>
      </c>
      <c r="G517" s="11">
        <f>IF(Table1[[#This Row],[Pre-Booking Date]]&lt;&gt;"",1,0)</f>
        <v>1</v>
      </c>
      <c r="H517" s="4">
        <v>45953</v>
      </c>
      <c r="I517" s="11">
        <f>IF(Table1[[#This Row],[Booking Date]]&lt;&gt;"",1,0)</f>
        <v>1</v>
      </c>
      <c r="J517" s="30">
        <v>45955</v>
      </c>
      <c r="K517" s="11">
        <f>IF(Table1[[#This Row],[Delivery Date]]&lt;&gt;"",1,0)</f>
        <v>1</v>
      </c>
      <c r="L517" s="3" t="s">
        <v>2</v>
      </c>
      <c r="M517" s="3">
        <f>IF(Table1[[#This Row],[Cancellation Status]]&lt;&gt;"Yes",1,0)</f>
        <v>1</v>
      </c>
      <c r="O517" s="30">
        <v>45973</v>
      </c>
      <c r="P517" s="3">
        <v>4</v>
      </c>
      <c r="Q517" s="3">
        <v>3</v>
      </c>
      <c r="R517" s="3">
        <v>2</v>
      </c>
      <c r="S517" s="3">
        <v>4</v>
      </c>
      <c r="T51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17" t="str">
        <f>IF(Table1[[#This Row],[Customer Rating]]&gt;=9,"Promoter",IF(Table1[[#This Row],[Customer Rating]]&gt;=7,"Passive","Detractor"))</f>
        <v>Detractor</v>
      </c>
    </row>
    <row r="518" spans="1:21" ht="14.25" customHeight="1" x14ac:dyDescent="0.3">
      <c r="A518" s="3" t="s">
        <v>553</v>
      </c>
      <c r="B518" s="3" t="s">
        <v>32</v>
      </c>
      <c r="C518" s="3" t="s">
        <v>30</v>
      </c>
      <c r="D518" s="14">
        <v>45946</v>
      </c>
      <c r="E518" s="11">
        <f>1</f>
        <v>1</v>
      </c>
      <c r="F518" s="14">
        <v>45950</v>
      </c>
      <c r="G518" s="11">
        <f>IF(Table1[[#This Row],[Pre-Booking Date]]&lt;&gt;"",1,0)</f>
        <v>1</v>
      </c>
      <c r="H518" s="4">
        <v>45955</v>
      </c>
      <c r="I518" s="11">
        <f>IF(Table1[[#This Row],[Booking Date]]&lt;&gt;"",1,0)</f>
        <v>1</v>
      </c>
      <c r="J518" s="30">
        <v>45961</v>
      </c>
      <c r="K518" s="11">
        <f>IF(Table1[[#This Row],[Delivery Date]]&lt;&gt;"",1,0)</f>
        <v>1</v>
      </c>
      <c r="L518" s="3" t="s">
        <v>2</v>
      </c>
      <c r="M518" s="3">
        <f>IF(Table1[[#This Row],[Cancellation Status]]&lt;&gt;"Yes",1,0)</f>
        <v>1</v>
      </c>
      <c r="O518" s="30">
        <v>45974</v>
      </c>
      <c r="P518" s="3">
        <v>4</v>
      </c>
      <c r="Q518" s="3">
        <v>5</v>
      </c>
      <c r="R518" s="3">
        <v>6</v>
      </c>
      <c r="S518" s="3">
        <v>2</v>
      </c>
      <c r="T51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18" t="str">
        <f>IF(Table1[[#This Row],[Customer Rating]]&gt;=9,"Promoter",IF(Table1[[#This Row],[Customer Rating]]&gt;=7,"Passive","Detractor"))</f>
        <v>Detractor</v>
      </c>
    </row>
    <row r="519" spans="1:21" ht="14.25" customHeight="1" x14ac:dyDescent="0.3">
      <c r="A519" s="3" t="s">
        <v>554</v>
      </c>
      <c r="B519" s="3" t="s">
        <v>39</v>
      </c>
      <c r="C519" s="3" t="s">
        <v>27</v>
      </c>
      <c r="D519" s="14">
        <v>45946</v>
      </c>
      <c r="E519" s="11">
        <f>1</f>
        <v>1</v>
      </c>
      <c r="F519" s="14">
        <v>45949</v>
      </c>
      <c r="G519" s="11">
        <f>IF(Table1[[#This Row],[Pre-Booking Date]]&lt;&gt;"",1,0)</f>
        <v>1</v>
      </c>
      <c r="H519" s="4">
        <v>45953</v>
      </c>
      <c r="I519" s="11">
        <f>IF(Table1[[#This Row],[Booking Date]]&lt;&gt;"",1,0)</f>
        <v>1</v>
      </c>
      <c r="J519" s="30">
        <v>45958</v>
      </c>
      <c r="K519" s="11">
        <f>IF(Table1[[#This Row],[Delivery Date]]&lt;&gt;"",1,0)</f>
        <v>1</v>
      </c>
      <c r="L519" s="3" t="s">
        <v>2</v>
      </c>
      <c r="M519" s="3">
        <f>IF(Table1[[#This Row],[Cancellation Status]]&lt;&gt;"Yes",1,0)</f>
        <v>1</v>
      </c>
      <c r="O519" s="30">
        <v>45981</v>
      </c>
      <c r="P519" s="3">
        <v>3</v>
      </c>
      <c r="Q519" s="3">
        <v>4</v>
      </c>
      <c r="R519" s="3">
        <v>5</v>
      </c>
      <c r="S519" s="3">
        <v>9</v>
      </c>
      <c r="T51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19" t="str">
        <f>IF(Table1[[#This Row],[Customer Rating]]&gt;=9,"Promoter",IF(Table1[[#This Row],[Customer Rating]]&gt;=7,"Passive","Detractor"))</f>
        <v>Promoter</v>
      </c>
    </row>
    <row r="520" spans="1:21" ht="14.25" customHeight="1" x14ac:dyDescent="0.3">
      <c r="A520" s="3" t="s">
        <v>555</v>
      </c>
      <c r="B520" s="3" t="s">
        <v>29</v>
      </c>
      <c r="C520" s="3" t="s">
        <v>33</v>
      </c>
      <c r="D520" s="14">
        <v>45946</v>
      </c>
      <c r="E520" s="11">
        <f>1</f>
        <v>1</v>
      </c>
      <c r="G520" s="12">
        <f>IF(Table1[[#This Row],[Pre-Booking Date]]&lt;&gt;"",1,0)</f>
        <v>0</v>
      </c>
      <c r="I520" s="12">
        <f>IF(Table1[[#This Row],[Booking Date]]&lt;&gt;"",1,0)</f>
        <v>0</v>
      </c>
      <c r="K520" s="12">
        <f>IF(Table1[[#This Row],[Delivery Date]]&lt;&gt;"",1,0)</f>
        <v>0</v>
      </c>
      <c r="L520" s="3" t="s">
        <v>3</v>
      </c>
      <c r="M520" s="3">
        <f>IF(Table1[[#This Row],[Cancellation Status]]&lt;&gt;"Yes",1,0)</f>
        <v>0</v>
      </c>
      <c r="N520" s="3" t="s">
        <v>37</v>
      </c>
      <c r="T52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20" t="str">
        <f>IF(Table1[[#This Row],[Customer Rating]]&gt;=9,"Promoter",IF(Table1[[#This Row],[Customer Rating]]&gt;=7,"Passive","Detractor"))</f>
        <v>Detractor</v>
      </c>
    </row>
    <row r="521" spans="1:21" ht="14.25" customHeight="1" x14ac:dyDescent="0.3">
      <c r="A521" s="3" t="s">
        <v>556</v>
      </c>
      <c r="B521" s="3" t="s">
        <v>39</v>
      </c>
      <c r="C521" s="3" t="s">
        <v>27</v>
      </c>
      <c r="D521" s="14">
        <v>45946</v>
      </c>
      <c r="E521" s="11">
        <f>1</f>
        <v>1</v>
      </c>
      <c r="F521" s="14">
        <v>45949</v>
      </c>
      <c r="G521" s="11">
        <f>IF(Table1[[#This Row],[Pre-Booking Date]]&lt;&gt;"",1,0)</f>
        <v>1</v>
      </c>
      <c r="H521" s="4">
        <v>45954</v>
      </c>
      <c r="I521" s="11">
        <f>IF(Table1[[#This Row],[Booking Date]]&lt;&gt;"",1,0)</f>
        <v>1</v>
      </c>
      <c r="J521" s="30">
        <v>45958</v>
      </c>
      <c r="K521" s="11">
        <f>IF(Table1[[#This Row],[Delivery Date]]&lt;&gt;"",1,0)</f>
        <v>1</v>
      </c>
      <c r="L521" s="3" t="s">
        <v>2</v>
      </c>
      <c r="M521" s="3">
        <f>IF(Table1[[#This Row],[Cancellation Status]]&lt;&gt;"Yes",1,0)</f>
        <v>1</v>
      </c>
      <c r="O521" s="30">
        <v>45984</v>
      </c>
      <c r="P521" s="3">
        <v>3</v>
      </c>
      <c r="Q521" s="3">
        <v>5</v>
      </c>
      <c r="R521" s="3">
        <v>4</v>
      </c>
      <c r="S521" s="3">
        <v>1</v>
      </c>
      <c r="T52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21" t="str">
        <f>IF(Table1[[#This Row],[Customer Rating]]&gt;=9,"Promoter",IF(Table1[[#This Row],[Customer Rating]]&gt;=7,"Passive","Detractor"))</f>
        <v>Detractor</v>
      </c>
    </row>
    <row r="522" spans="1:21" ht="14.25" customHeight="1" x14ac:dyDescent="0.3">
      <c r="A522" s="3" t="s">
        <v>557</v>
      </c>
      <c r="B522" s="3" t="s">
        <v>32</v>
      </c>
      <c r="C522" s="3" t="s">
        <v>27</v>
      </c>
      <c r="D522" s="14">
        <v>45946</v>
      </c>
      <c r="E522" s="11">
        <f>1</f>
        <v>1</v>
      </c>
      <c r="F522" s="14">
        <v>45951</v>
      </c>
      <c r="G522" s="11">
        <f>IF(Table1[[#This Row],[Pre-Booking Date]]&lt;&gt;"",1,0)</f>
        <v>1</v>
      </c>
      <c r="H522" s="4">
        <v>45953</v>
      </c>
      <c r="I522" s="11">
        <f>IF(Table1[[#This Row],[Booking Date]]&lt;&gt;"",1,0)</f>
        <v>1</v>
      </c>
      <c r="J522" s="30">
        <v>45959</v>
      </c>
      <c r="K522" s="11">
        <f>IF(Table1[[#This Row],[Delivery Date]]&lt;&gt;"",1,0)</f>
        <v>1</v>
      </c>
      <c r="L522" s="3" t="s">
        <v>3</v>
      </c>
      <c r="M522" s="3">
        <f>IF(Table1[[#This Row],[Cancellation Status]]&lt;&gt;"Yes",1,0)</f>
        <v>0</v>
      </c>
      <c r="N522" s="3" t="s">
        <v>55</v>
      </c>
      <c r="P522" s="3">
        <v>5</v>
      </c>
      <c r="Q522" s="3">
        <v>2</v>
      </c>
      <c r="R522" s="3">
        <v>6</v>
      </c>
      <c r="T52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22" t="str">
        <f>IF(Table1[[#This Row],[Customer Rating]]&gt;=9,"Promoter",IF(Table1[[#This Row],[Customer Rating]]&gt;=7,"Passive","Detractor"))</f>
        <v>Detractor</v>
      </c>
    </row>
    <row r="523" spans="1:21" ht="14.25" customHeight="1" x14ac:dyDescent="0.3">
      <c r="A523" s="3" t="s">
        <v>558</v>
      </c>
      <c r="B523" s="3" t="s">
        <v>26</v>
      </c>
      <c r="C523" s="3" t="s">
        <v>30</v>
      </c>
      <c r="D523" s="14">
        <v>45946</v>
      </c>
      <c r="E523" s="11">
        <f>1</f>
        <v>1</v>
      </c>
      <c r="F523" s="14">
        <v>45947</v>
      </c>
      <c r="G523" s="11">
        <f>IF(Table1[[#This Row],[Pre-Booking Date]]&lt;&gt;"",1,0)</f>
        <v>1</v>
      </c>
      <c r="H523" s="4">
        <v>45952</v>
      </c>
      <c r="I523" s="11">
        <f>IF(Table1[[#This Row],[Booking Date]]&lt;&gt;"",1,0)</f>
        <v>1</v>
      </c>
      <c r="J523" s="30">
        <v>45959</v>
      </c>
      <c r="K523" s="11">
        <f>IF(Table1[[#This Row],[Delivery Date]]&lt;&gt;"",1,0)</f>
        <v>1</v>
      </c>
      <c r="L523" s="3" t="s">
        <v>2</v>
      </c>
      <c r="M523" s="3">
        <f>IF(Table1[[#This Row],[Cancellation Status]]&lt;&gt;"Yes",1,0)</f>
        <v>1</v>
      </c>
      <c r="O523" s="30">
        <v>45970</v>
      </c>
      <c r="P523" s="3">
        <v>1</v>
      </c>
      <c r="Q523" s="3">
        <v>5</v>
      </c>
      <c r="R523" s="3">
        <v>7</v>
      </c>
      <c r="S523" s="3">
        <v>2</v>
      </c>
      <c r="T52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23" t="str">
        <f>IF(Table1[[#This Row],[Customer Rating]]&gt;=9,"Promoter",IF(Table1[[#This Row],[Customer Rating]]&gt;=7,"Passive","Detractor"))</f>
        <v>Detractor</v>
      </c>
    </row>
    <row r="524" spans="1:21" ht="14.25" customHeight="1" x14ac:dyDescent="0.3">
      <c r="A524" s="3" t="s">
        <v>559</v>
      </c>
      <c r="B524" s="3" t="s">
        <v>29</v>
      </c>
      <c r="C524" s="3" t="s">
        <v>30</v>
      </c>
      <c r="D524" s="14">
        <v>45946</v>
      </c>
      <c r="E524" s="11">
        <f>1</f>
        <v>1</v>
      </c>
      <c r="F524" s="14">
        <v>45951</v>
      </c>
      <c r="G524" s="11">
        <f>IF(Table1[[#This Row],[Pre-Booking Date]]&lt;&gt;"",1,0)</f>
        <v>1</v>
      </c>
      <c r="H524" s="4">
        <v>45954</v>
      </c>
      <c r="I524" s="11">
        <f>IF(Table1[[#This Row],[Booking Date]]&lt;&gt;"",1,0)</f>
        <v>1</v>
      </c>
      <c r="J524" s="30">
        <v>45957</v>
      </c>
      <c r="K524" s="11">
        <f>IF(Table1[[#This Row],[Delivery Date]]&lt;&gt;"",1,0)</f>
        <v>1</v>
      </c>
      <c r="L524" s="3" t="s">
        <v>2</v>
      </c>
      <c r="M524" s="3">
        <f>IF(Table1[[#This Row],[Cancellation Status]]&lt;&gt;"Yes",1,0)</f>
        <v>1</v>
      </c>
      <c r="O524" s="30">
        <v>45982</v>
      </c>
      <c r="P524" s="3">
        <v>5</v>
      </c>
      <c r="Q524" s="3">
        <v>3</v>
      </c>
      <c r="R524" s="3">
        <v>3</v>
      </c>
      <c r="S524" s="3">
        <v>3</v>
      </c>
      <c r="T52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24" t="str">
        <f>IF(Table1[[#This Row],[Customer Rating]]&gt;=9,"Promoter",IF(Table1[[#This Row],[Customer Rating]]&gt;=7,"Passive","Detractor"))</f>
        <v>Detractor</v>
      </c>
    </row>
    <row r="525" spans="1:21" ht="14.25" customHeight="1" x14ac:dyDescent="0.3">
      <c r="A525" s="3" t="s">
        <v>560</v>
      </c>
      <c r="B525" s="3" t="s">
        <v>39</v>
      </c>
      <c r="C525" s="3" t="s">
        <v>33</v>
      </c>
      <c r="D525" s="14">
        <v>45946</v>
      </c>
      <c r="E525" s="11">
        <f>1</f>
        <v>1</v>
      </c>
      <c r="G525" s="12">
        <f>IF(Table1[[#This Row],[Pre-Booking Date]]&lt;&gt;"",1,0)</f>
        <v>0</v>
      </c>
      <c r="I525" s="12">
        <f>IF(Table1[[#This Row],[Booking Date]]&lt;&gt;"",1,0)</f>
        <v>0</v>
      </c>
      <c r="K525" s="12">
        <f>IF(Table1[[#This Row],[Delivery Date]]&lt;&gt;"",1,0)</f>
        <v>0</v>
      </c>
      <c r="L525" s="3" t="s">
        <v>3</v>
      </c>
      <c r="M525" s="3">
        <f>IF(Table1[[#This Row],[Cancellation Status]]&lt;&gt;"Yes",1,0)</f>
        <v>0</v>
      </c>
      <c r="N525" s="3" t="s">
        <v>34</v>
      </c>
      <c r="T52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25" t="str">
        <f>IF(Table1[[#This Row],[Customer Rating]]&gt;=9,"Promoter",IF(Table1[[#This Row],[Customer Rating]]&gt;=7,"Passive","Detractor"))</f>
        <v>Detractor</v>
      </c>
    </row>
    <row r="526" spans="1:21" ht="14.25" customHeight="1" x14ac:dyDescent="0.3">
      <c r="A526" s="3" t="s">
        <v>561</v>
      </c>
      <c r="B526" s="3" t="s">
        <v>32</v>
      </c>
      <c r="C526" s="3" t="s">
        <v>30</v>
      </c>
      <c r="D526" s="14">
        <v>45945</v>
      </c>
      <c r="E526" s="11">
        <f>1</f>
        <v>1</v>
      </c>
      <c r="F526" s="14">
        <v>45947</v>
      </c>
      <c r="G526" s="11">
        <f>IF(Table1[[#This Row],[Pre-Booking Date]]&lt;&gt;"",1,0)</f>
        <v>1</v>
      </c>
      <c r="H526" s="4">
        <v>45948</v>
      </c>
      <c r="I526" s="11">
        <f>IF(Table1[[#This Row],[Booking Date]]&lt;&gt;"",1,0)</f>
        <v>1</v>
      </c>
      <c r="J526" s="30">
        <v>45951</v>
      </c>
      <c r="K526" s="11">
        <f>IF(Table1[[#This Row],[Delivery Date]]&lt;&gt;"",1,0)</f>
        <v>1</v>
      </c>
      <c r="L526" s="3" t="s">
        <v>3</v>
      </c>
      <c r="M526" s="3">
        <f>IF(Table1[[#This Row],[Cancellation Status]]&lt;&gt;"Yes",1,0)</f>
        <v>0</v>
      </c>
      <c r="N526" s="3" t="s">
        <v>42</v>
      </c>
      <c r="P526" s="3">
        <v>2</v>
      </c>
      <c r="Q526" s="3">
        <v>1</v>
      </c>
      <c r="R526" s="3">
        <v>3</v>
      </c>
      <c r="T52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26" t="str">
        <f>IF(Table1[[#This Row],[Customer Rating]]&gt;=9,"Promoter",IF(Table1[[#This Row],[Customer Rating]]&gt;=7,"Passive","Detractor"))</f>
        <v>Detractor</v>
      </c>
    </row>
    <row r="527" spans="1:21" ht="14.25" customHeight="1" x14ac:dyDescent="0.3">
      <c r="A527" s="3" t="s">
        <v>562</v>
      </c>
      <c r="B527" s="3" t="s">
        <v>32</v>
      </c>
      <c r="C527" s="3" t="s">
        <v>27</v>
      </c>
      <c r="D527" s="14">
        <v>45945</v>
      </c>
      <c r="E527" s="11">
        <f>1</f>
        <v>1</v>
      </c>
      <c r="F527" s="14">
        <v>45948</v>
      </c>
      <c r="G527" s="11">
        <f>IF(Table1[[#This Row],[Pre-Booking Date]]&lt;&gt;"",1,0)</f>
        <v>1</v>
      </c>
      <c r="H527" s="4">
        <v>45950</v>
      </c>
      <c r="I527" s="11">
        <f>IF(Table1[[#This Row],[Booking Date]]&lt;&gt;"",1,0)</f>
        <v>1</v>
      </c>
      <c r="J527" s="30">
        <v>45953</v>
      </c>
      <c r="K527" s="11">
        <f>IF(Table1[[#This Row],[Delivery Date]]&lt;&gt;"",1,0)</f>
        <v>1</v>
      </c>
      <c r="L527" s="3" t="s">
        <v>2</v>
      </c>
      <c r="M527" s="3">
        <f>IF(Table1[[#This Row],[Cancellation Status]]&lt;&gt;"Yes",1,0)</f>
        <v>1</v>
      </c>
      <c r="O527" s="30">
        <v>45967</v>
      </c>
      <c r="P527" s="3">
        <v>3</v>
      </c>
      <c r="Q527" s="3">
        <v>2</v>
      </c>
      <c r="R527" s="3">
        <v>3</v>
      </c>
      <c r="S527" s="3">
        <v>3</v>
      </c>
      <c r="T52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27" t="str">
        <f>IF(Table1[[#This Row],[Customer Rating]]&gt;=9,"Promoter",IF(Table1[[#This Row],[Customer Rating]]&gt;=7,"Passive","Detractor"))</f>
        <v>Detractor</v>
      </c>
    </row>
    <row r="528" spans="1:21" ht="14.25" customHeight="1" x14ac:dyDescent="0.3">
      <c r="A528" s="3" t="s">
        <v>563</v>
      </c>
      <c r="B528" s="3" t="s">
        <v>29</v>
      </c>
      <c r="C528" s="3" t="s">
        <v>30</v>
      </c>
      <c r="D528" s="14">
        <v>45945</v>
      </c>
      <c r="E528" s="11">
        <f>1</f>
        <v>1</v>
      </c>
      <c r="F528" s="14">
        <v>45950</v>
      </c>
      <c r="G528" s="11">
        <f>IF(Table1[[#This Row],[Pre-Booking Date]]&lt;&gt;"",1,0)</f>
        <v>1</v>
      </c>
      <c r="H528" s="4">
        <v>45952</v>
      </c>
      <c r="I528" s="11">
        <f>IF(Table1[[#This Row],[Booking Date]]&lt;&gt;"",1,0)</f>
        <v>1</v>
      </c>
      <c r="J528" s="30">
        <v>45956</v>
      </c>
      <c r="K528" s="11">
        <f>IF(Table1[[#This Row],[Delivery Date]]&lt;&gt;"",1,0)</f>
        <v>1</v>
      </c>
      <c r="L528" s="3" t="s">
        <v>2</v>
      </c>
      <c r="M528" s="3">
        <f>IF(Table1[[#This Row],[Cancellation Status]]&lt;&gt;"Yes",1,0)</f>
        <v>1</v>
      </c>
      <c r="O528" s="30">
        <v>45984</v>
      </c>
      <c r="P528" s="3">
        <v>5</v>
      </c>
      <c r="Q528" s="3">
        <v>2</v>
      </c>
      <c r="R528" s="3">
        <v>4</v>
      </c>
      <c r="S528" s="3">
        <v>8</v>
      </c>
      <c r="T52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28" t="str">
        <f>IF(Table1[[#This Row],[Customer Rating]]&gt;=9,"Promoter",IF(Table1[[#This Row],[Customer Rating]]&gt;=7,"Passive","Detractor"))</f>
        <v>Passive</v>
      </c>
    </row>
    <row r="529" spans="1:21" ht="14.25" customHeight="1" x14ac:dyDescent="0.3">
      <c r="A529" s="3" t="s">
        <v>564</v>
      </c>
      <c r="B529" s="3" t="s">
        <v>32</v>
      </c>
      <c r="C529" s="3" t="s">
        <v>33</v>
      </c>
      <c r="D529" s="14">
        <v>45945</v>
      </c>
      <c r="E529" s="11">
        <f>1</f>
        <v>1</v>
      </c>
      <c r="G529" s="12">
        <f>IF(Table1[[#This Row],[Pre-Booking Date]]&lt;&gt;"",1,0)</f>
        <v>0</v>
      </c>
      <c r="I529" s="12">
        <f>IF(Table1[[#This Row],[Booking Date]]&lt;&gt;"",1,0)</f>
        <v>0</v>
      </c>
      <c r="K529" s="12">
        <f>IF(Table1[[#This Row],[Delivery Date]]&lt;&gt;"",1,0)</f>
        <v>0</v>
      </c>
      <c r="L529" s="3" t="s">
        <v>3</v>
      </c>
      <c r="M529" s="3">
        <f>IF(Table1[[#This Row],[Cancellation Status]]&lt;&gt;"Yes",1,0)</f>
        <v>0</v>
      </c>
      <c r="N529" s="3" t="s">
        <v>55</v>
      </c>
      <c r="T52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29" t="str">
        <f>IF(Table1[[#This Row],[Customer Rating]]&gt;=9,"Promoter",IF(Table1[[#This Row],[Customer Rating]]&gt;=7,"Passive","Detractor"))</f>
        <v>Detractor</v>
      </c>
    </row>
    <row r="530" spans="1:21" ht="14.25" customHeight="1" x14ac:dyDescent="0.3">
      <c r="A530" s="3" t="s">
        <v>565</v>
      </c>
      <c r="B530" s="3" t="s">
        <v>26</v>
      </c>
      <c r="C530" s="3" t="s">
        <v>30</v>
      </c>
      <c r="D530" s="14">
        <v>45945</v>
      </c>
      <c r="E530" s="11">
        <f>1</f>
        <v>1</v>
      </c>
      <c r="F530" s="14">
        <v>45947</v>
      </c>
      <c r="G530" s="11">
        <f>IF(Table1[[#This Row],[Pre-Booking Date]]&lt;&gt;"",1,0)</f>
        <v>1</v>
      </c>
      <c r="H530" s="4">
        <v>45950</v>
      </c>
      <c r="I530" s="11">
        <f>IF(Table1[[#This Row],[Booking Date]]&lt;&gt;"",1,0)</f>
        <v>1</v>
      </c>
      <c r="J530" s="30">
        <v>45956</v>
      </c>
      <c r="K530" s="11">
        <f>IF(Table1[[#This Row],[Delivery Date]]&lt;&gt;"",1,0)</f>
        <v>1</v>
      </c>
      <c r="L530" s="3" t="s">
        <v>2</v>
      </c>
      <c r="M530" s="3">
        <f>IF(Table1[[#This Row],[Cancellation Status]]&lt;&gt;"Yes",1,0)</f>
        <v>1</v>
      </c>
      <c r="O530" s="30">
        <v>45985</v>
      </c>
      <c r="P530" s="3">
        <v>2</v>
      </c>
      <c r="Q530" s="3">
        <v>3</v>
      </c>
      <c r="R530" s="3">
        <v>6</v>
      </c>
      <c r="S530" s="3">
        <v>5</v>
      </c>
      <c r="T53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30" t="str">
        <f>IF(Table1[[#This Row],[Customer Rating]]&gt;=9,"Promoter",IF(Table1[[#This Row],[Customer Rating]]&gt;=7,"Passive","Detractor"))</f>
        <v>Detractor</v>
      </c>
    </row>
    <row r="531" spans="1:21" ht="14.25" customHeight="1" x14ac:dyDescent="0.3">
      <c r="A531" s="3" t="s">
        <v>566</v>
      </c>
      <c r="B531" s="3" t="s">
        <v>26</v>
      </c>
      <c r="C531" s="3" t="s">
        <v>27</v>
      </c>
      <c r="D531" s="14">
        <v>45945</v>
      </c>
      <c r="E531" s="11">
        <f>1</f>
        <v>1</v>
      </c>
      <c r="F531" s="14">
        <v>45946</v>
      </c>
      <c r="G531" s="11">
        <f>IF(Table1[[#This Row],[Pre-Booking Date]]&lt;&gt;"",1,0)</f>
        <v>1</v>
      </c>
      <c r="H531" s="4">
        <v>45947</v>
      </c>
      <c r="I531" s="11">
        <f>IF(Table1[[#This Row],[Booking Date]]&lt;&gt;"",1,0)</f>
        <v>1</v>
      </c>
      <c r="J531" s="30">
        <v>45951</v>
      </c>
      <c r="K531" s="11">
        <f>IF(Table1[[#This Row],[Delivery Date]]&lt;&gt;"",1,0)</f>
        <v>1</v>
      </c>
      <c r="L531" s="3" t="s">
        <v>2</v>
      </c>
      <c r="M531" s="3">
        <f>IF(Table1[[#This Row],[Cancellation Status]]&lt;&gt;"Yes",1,0)</f>
        <v>1</v>
      </c>
      <c r="O531" s="30">
        <v>45963</v>
      </c>
      <c r="P531" s="3">
        <v>1</v>
      </c>
      <c r="Q531" s="3">
        <v>1</v>
      </c>
      <c r="R531" s="3">
        <v>4</v>
      </c>
      <c r="S531" s="3">
        <v>2</v>
      </c>
      <c r="T53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31" t="str">
        <f>IF(Table1[[#This Row],[Customer Rating]]&gt;=9,"Promoter",IF(Table1[[#This Row],[Customer Rating]]&gt;=7,"Passive","Detractor"))</f>
        <v>Detractor</v>
      </c>
    </row>
    <row r="532" spans="1:21" ht="14.25" customHeight="1" x14ac:dyDescent="0.3">
      <c r="A532" s="3" t="s">
        <v>567</v>
      </c>
      <c r="B532" s="3" t="s">
        <v>32</v>
      </c>
      <c r="C532" s="3" t="s">
        <v>30</v>
      </c>
      <c r="D532" s="14">
        <v>45945</v>
      </c>
      <c r="E532" s="11">
        <f>1</f>
        <v>1</v>
      </c>
      <c r="F532" s="14">
        <v>45947</v>
      </c>
      <c r="G532" s="11">
        <f>IF(Table1[[#This Row],[Pre-Booking Date]]&lt;&gt;"",1,0)</f>
        <v>1</v>
      </c>
      <c r="H532" s="4">
        <v>45948</v>
      </c>
      <c r="I532" s="11">
        <f>IF(Table1[[#This Row],[Booking Date]]&lt;&gt;"",1,0)</f>
        <v>1</v>
      </c>
      <c r="J532" s="30">
        <v>45954</v>
      </c>
      <c r="K532" s="11">
        <f>IF(Table1[[#This Row],[Delivery Date]]&lt;&gt;"",1,0)</f>
        <v>1</v>
      </c>
      <c r="L532" s="3" t="s">
        <v>2</v>
      </c>
      <c r="M532" s="3">
        <f>IF(Table1[[#This Row],[Cancellation Status]]&lt;&gt;"Yes",1,0)</f>
        <v>1</v>
      </c>
      <c r="O532" s="30">
        <v>45974</v>
      </c>
      <c r="P532" s="3">
        <v>2</v>
      </c>
      <c r="Q532" s="3">
        <v>1</v>
      </c>
      <c r="R532" s="3">
        <v>6</v>
      </c>
      <c r="S532" s="3">
        <v>2</v>
      </c>
      <c r="T53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32" t="str">
        <f>IF(Table1[[#This Row],[Customer Rating]]&gt;=9,"Promoter",IF(Table1[[#This Row],[Customer Rating]]&gt;=7,"Passive","Detractor"))</f>
        <v>Detractor</v>
      </c>
    </row>
    <row r="533" spans="1:21" ht="14.25" customHeight="1" x14ac:dyDescent="0.3">
      <c r="A533" s="3" t="s">
        <v>568</v>
      </c>
      <c r="B533" s="3" t="s">
        <v>26</v>
      </c>
      <c r="C533" s="3" t="s">
        <v>33</v>
      </c>
      <c r="D533" s="14">
        <v>45945</v>
      </c>
      <c r="E533" s="11">
        <f>1</f>
        <v>1</v>
      </c>
      <c r="G533" s="12">
        <f>IF(Table1[[#This Row],[Pre-Booking Date]]&lt;&gt;"",1,0)</f>
        <v>0</v>
      </c>
      <c r="I533" s="12">
        <f>IF(Table1[[#This Row],[Booking Date]]&lt;&gt;"",1,0)</f>
        <v>0</v>
      </c>
      <c r="K533" s="12">
        <f>IF(Table1[[#This Row],[Delivery Date]]&lt;&gt;"",1,0)</f>
        <v>0</v>
      </c>
      <c r="L533" s="3" t="s">
        <v>3</v>
      </c>
      <c r="M533" s="3">
        <f>IF(Table1[[#This Row],[Cancellation Status]]&lt;&gt;"Yes",1,0)</f>
        <v>0</v>
      </c>
      <c r="N533" s="3" t="s">
        <v>34</v>
      </c>
      <c r="T53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33" t="str">
        <f>IF(Table1[[#This Row],[Customer Rating]]&gt;=9,"Promoter",IF(Table1[[#This Row],[Customer Rating]]&gt;=7,"Passive","Detractor"))</f>
        <v>Detractor</v>
      </c>
    </row>
    <row r="534" spans="1:21" ht="14.25" customHeight="1" x14ac:dyDescent="0.3">
      <c r="A534" s="3" t="s">
        <v>569</v>
      </c>
      <c r="B534" s="3" t="s">
        <v>32</v>
      </c>
      <c r="C534" s="3" t="s">
        <v>33</v>
      </c>
      <c r="D534" s="14">
        <v>45945</v>
      </c>
      <c r="E534" s="11">
        <f>1</f>
        <v>1</v>
      </c>
      <c r="G534" s="12">
        <f>IF(Table1[[#This Row],[Pre-Booking Date]]&lt;&gt;"",1,0)</f>
        <v>0</v>
      </c>
      <c r="I534" s="12">
        <f>IF(Table1[[#This Row],[Booking Date]]&lt;&gt;"",1,0)</f>
        <v>0</v>
      </c>
      <c r="K534" s="12">
        <f>IF(Table1[[#This Row],[Delivery Date]]&lt;&gt;"",1,0)</f>
        <v>0</v>
      </c>
      <c r="L534" s="3" t="s">
        <v>3</v>
      </c>
      <c r="M534" s="3">
        <f>IF(Table1[[#This Row],[Cancellation Status]]&lt;&gt;"Yes",1,0)</f>
        <v>0</v>
      </c>
      <c r="N534" s="3" t="s">
        <v>34</v>
      </c>
      <c r="T53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34" t="str">
        <f>IF(Table1[[#This Row],[Customer Rating]]&gt;=9,"Promoter",IF(Table1[[#This Row],[Customer Rating]]&gt;=7,"Passive","Detractor"))</f>
        <v>Detractor</v>
      </c>
    </row>
    <row r="535" spans="1:21" ht="14.25" customHeight="1" x14ac:dyDescent="0.3">
      <c r="A535" s="3" t="s">
        <v>570</v>
      </c>
      <c r="B535" s="3" t="s">
        <v>26</v>
      </c>
      <c r="C535" s="3" t="s">
        <v>30</v>
      </c>
      <c r="D535" s="14">
        <v>45945</v>
      </c>
      <c r="E535" s="11">
        <f>1</f>
        <v>1</v>
      </c>
      <c r="F535" s="14">
        <v>45947</v>
      </c>
      <c r="G535" s="11">
        <f>IF(Table1[[#This Row],[Pre-Booking Date]]&lt;&gt;"",1,0)</f>
        <v>1</v>
      </c>
      <c r="H535" s="4">
        <v>45951</v>
      </c>
      <c r="I535" s="11">
        <f>IF(Table1[[#This Row],[Booking Date]]&lt;&gt;"",1,0)</f>
        <v>1</v>
      </c>
      <c r="J535" s="30">
        <v>45954</v>
      </c>
      <c r="K535" s="11">
        <f>IF(Table1[[#This Row],[Delivery Date]]&lt;&gt;"",1,0)</f>
        <v>1</v>
      </c>
      <c r="L535" s="3" t="s">
        <v>3</v>
      </c>
      <c r="M535" s="3">
        <f>IF(Table1[[#This Row],[Cancellation Status]]&lt;&gt;"Yes",1,0)</f>
        <v>0</v>
      </c>
      <c r="N535" s="3" t="s">
        <v>37</v>
      </c>
      <c r="P535" s="3">
        <v>2</v>
      </c>
      <c r="Q535" s="3">
        <v>4</v>
      </c>
      <c r="R535" s="3">
        <v>3</v>
      </c>
      <c r="T53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35" t="str">
        <f>IF(Table1[[#This Row],[Customer Rating]]&gt;=9,"Promoter",IF(Table1[[#This Row],[Customer Rating]]&gt;=7,"Passive","Detractor"))</f>
        <v>Detractor</v>
      </c>
    </row>
    <row r="536" spans="1:21" ht="14.25" customHeight="1" x14ac:dyDescent="0.3">
      <c r="A536" s="3" t="s">
        <v>571</v>
      </c>
      <c r="B536" s="3" t="s">
        <v>26</v>
      </c>
      <c r="C536" s="3" t="s">
        <v>30</v>
      </c>
      <c r="D536" s="14">
        <v>45945</v>
      </c>
      <c r="E536" s="11">
        <f>1</f>
        <v>1</v>
      </c>
      <c r="F536" s="14">
        <v>45949</v>
      </c>
      <c r="G536" s="11">
        <f>IF(Table1[[#This Row],[Pre-Booking Date]]&lt;&gt;"",1,0)</f>
        <v>1</v>
      </c>
      <c r="H536" s="4">
        <v>45952</v>
      </c>
      <c r="I536" s="11">
        <f>IF(Table1[[#This Row],[Booking Date]]&lt;&gt;"",1,0)</f>
        <v>1</v>
      </c>
      <c r="J536" s="30">
        <v>45959</v>
      </c>
      <c r="K536" s="11">
        <f>IF(Table1[[#This Row],[Delivery Date]]&lt;&gt;"",1,0)</f>
        <v>1</v>
      </c>
      <c r="L536" s="3" t="s">
        <v>2</v>
      </c>
      <c r="M536" s="3">
        <f>IF(Table1[[#This Row],[Cancellation Status]]&lt;&gt;"Yes",1,0)</f>
        <v>1</v>
      </c>
      <c r="O536" s="30">
        <v>45972</v>
      </c>
      <c r="P536" s="3">
        <v>4</v>
      </c>
      <c r="Q536" s="3">
        <v>3</v>
      </c>
      <c r="R536" s="3">
        <v>7</v>
      </c>
      <c r="S536" s="3">
        <v>6</v>
      </c>
      <c r="T53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36" t="str">
        <f>IF(Table1[[#This Row],[Customer Rating]]&gt;=9,"Promoter",IF(Table1[[#This Row],[Customer Rating]]&gt;=7,"Passive","Detractor"))</f>
        <v>Detractor</v>
      </c>
    </row>
    <row r="537" spans="1:21" ht="14.25" customHeight="1" x14ac:dyDescent="0.3">
      <c r="A537" s="3" t="s">
        <v>572</v>
      </c>
      <c r="B537" s="3" t="s">
        <v>29</v>
      </c>
      <c r="C537" s="3" t="s">
        <v>33</v>
      </c>
      <c r="D537" s="14">
        <v>45945</v>
      </c>
      <c r="E537" s="11">
        <f>1</f>
        <v>1</v>
      </c>
      <c r="G537" s="12">
        <f>IF(Table1[[#This Row],[Pre-Booking Date]]&lt;&gt;"",1,0)</f>
        <v>0</v>
      </c>
      <c r="I537" s="12">
        <f>IF(Table1[[#This Row],[Booking Date]]&lt;&gt;"",1,0)</f>
        <v>0</v>
      </c>
      <c r="K537" s="12">
        <f>IF(Table1[[#This Row],[Delivery Date]]&lt;&gt;"",1,0)</f>
        <v>0</v>
      </c>
      <c r="L537" s="3" t="s">
        <v>3</v>
      </c>
      <c r="M537" s="3">
        <f>IF(Table1[[#This Row],[Cancellation Status]]&lt;&gt;"Yes",1,0)</f>
        <v>0</v>
      </c>
      <c r="N537" s="3" t="s">
        <v>55</v>
      </c>
      <c r="T53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37" t="str">
        <f>IF(Table1[[#This Row],[Customer Rating]]&gt;=9,"Promoter",IF(Table1[[#This Row],[Customer Rating]]&gt;=7,"Passive","Detractor"))</f>
        <v>Detractor</v>
      </c>
    </row>
    <row r="538" spans="1:21" ht="14.25" customHeight="1" x14ac:dyDescent="0.3">
      <c r="A538" s="3" t="s">
        <v>573</v>
      </c>
      <c r="B538" s="3" t="s">
        <v>32</v>
      </c>
      <c r="C538" s="3" t="s">
        <v>27</v>
      </c>
      <c r="D538" s="14">
        <v>45945</v>
      </c>
      <c r="E538" s="11">
        <f>1</f>
        <v>1</v>
      </c>
      <c r="F538" s="14">
        <v>45946</v>
      </c>
      <c r="G538" s="11">
        <f>IF(Table1[[#This Row],[Pre-Booking Date]]&lt;&gt;"",1,0)</f>
        <v>1</v>
      </c>
      <c r="H538" s="4">
        <v>45947</v>
      </c>
      <c r="I538" s="11">
        <f>IF(Table1[[#This Row],[Booking Date]]&lt;&gt;"",1,0)</f>
        <v>1</v>
      </c>
      <c r="J538" s="30">
        <v>45949</v>
      </c>
      <c r="K538" s="11">
        <f>IF(Table1[[#This Row],[Delivery Date]]&lt;&gt;"",1,0)</f>
        <v>1</v>
      </c>
      <c r="L538" s="3" t="s">
        <v>3</v>
      </c>
      <c r="M538" s="3">
        <f>IF(Table1[[#This Row],[Cancellation Status]]&lt;&gt;"Yes",1,0)</f>
        <v>0</v>
      </c>
      <c r="N538" s="3" t="s">
        <v>42</v>
      </c>
      <c r="P538" s="3">
        <v>1</v>
      </c>
      <c r="Q538" s="3">
        <v>1</v>
      </c>
      <c r="R538" s="3">
        <v>2</v>
      </c>
      <c r="T53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38" t="str">
        <f>IF(Table1[[#This Row],[Customer Rating]]&gt;=9,"Promoter",IF(Table1[[#This Row],[Customer Rating]]&gt;=7,"Passive","Detractor"))</f>
        <v>Detractor</v>
      </c>
    </row>
    <row r="539" spans="1:21" ht="14.25" customHeight="1" x14ac:dyDescent="0.3">
      <c r="A539" s="3" t="s">
        <v>574</v>
      </c>
      <c r="B539" s="3" t="s">
        <v>39</v>
      </c>
      <c r="C539" s="3" t="s">
        <v>30</v>
      </c>
      <c r="D539" s="14">
        <v>45945</v>
      </c>
      <c r="E539" s="11">
        <f>1</f>
        <v>1</v>
      </c>
      <c r="F539" s="14">
        <v>45950</v>
      </c>
      <c r="G539" s="11">
        <f>IF(Table1[[#This Row],[Pre-Booking Date]]&lt;&gt;"",1,0)</f>
        <v>1</v>
      </c>
      <c r="H539" s="4">
        <v>45951</v>
      </c>
      <c r="I539" s="11">
        <f>IF(Table1[[#This Row],[Booking Date]]&lt;&gt;"",1,0)</f>
        <v>1</v>
      </c>
      <c r="J539" s="30">
        <v>45953</v>
      </c>
      <c r="K539" s="11">
        <f>IF(Table1[[#This Row],[Delivery Date]]&lt;&gt;"",1,0)</f>
        <v>1</v>
      </c>
      <c r="L539" s="3" t="s">
        <v>2</v>
      </c>
      <c r="M539" s="3">
        <f>IF(Table1[[#This Row],[Cancellation Status]]&lt;&gt;"Yes",1,0)</f>
        <v>1</v>
      </c>
      <c r="O539" s="30">
        <v>45976</v>
      </c>
      <c r="P539" s="3">
        <v>5</v>
      </c>
      <c r="Q539" s="3">
        <v>1</v>
      </c>
      <c r="R539" s="3">
        <v>2</v>
      </c>
      <c r="S539" s="3">
        <v>10</v>
      </c>
      <c r="T53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39" t="str">
        <f>IF(Table1[[#This Row],[Customer Rating]]&gt;=9,"Promoter",IF(Table1[[#This Row],[Customer Rating]]&gt;=7,"Passive","Detractor"))</f>
        <v>Promoter</v>
      </c>
    </row>
    <row r="540" spans="1:21" ht="14.25" customHeight="1" x14ac:dyDescent="0.3">
      <c r="A540" s="3" t="s">
        <v>575</v>
      </c>
      <c r="B540" s="3" t="s">
        <v>26</v>
      </c>
      <c r="C540" s="3" t="s">
        <v>27</v>
      </c>
      <c r="D540" s="14">
        <v>45945</v>
      </c>
      <c r="E540" s="11">
        <f>1</f>
        <v>1</v>
      </c>
      <c r="F540" s="14">
        <v>45948</v>
      </c>
      <c r="G540" s="11">
        <f>IF(Table1[[#This Row],[Pre-Booking Date]]&lt;&gt;"",1,0)</f>
        <v>1</v>
      </c>
      <c r="H540" s="4">
        <v>45949</v>
      </c>
      <c r="I540" s="11">
        <f>IF(Table1[[#This Row],[Booking Date]]&lt;&gt;"",1,0)</f>
        <v>1</v>
      </c>
      <c r="J540" s="30">
        <v>45952</v>
      </c>
      <c r="K540" s="11">
        <f>IF(Table1[[#This Row],[Delivery Date]]&lt;&gt;"",1,0)</f>
        <v>1</v>
      </c>
      <c r="L540" s="3" t="s">
        <v>2</v>
      </c>
      <c r="M540" s="3">
        <f>IF(Table1[[#This Row],[Cancellation Status]]&lt;&gt;"Yes",1,0)</f>
        <v>1</v>
      </c>
      <c r="O540" s="30">
        <v>45967</v>
      </c>
      <c r="P540" s="3">
        <v>3</v>
      </c>
      <c r="Q540" s="3">
        <v>1</v>
      </c>
      <c r="R540" s="3">
        <v>3</v>
      </c>
      <c r="S540" s="3">
        <v>0</v>
      </c>
      <c r="T54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40" t="str">
        <f>IF(Table1[[#This Row],[Customer Rating]]&gt;=9,"Promoter",IF(Table1[[#This Row],[Customer Rating]]&gt;=7,"Passive","Detractor"))</f>
        <v>Detractor</v>
      </c>
    </row>
    <row r="541" spans="1:21" ht="14.25" customHeight="1" x14ac:dyDescent="0.3">
      <c r="A541" s="3" t="s">
        <v>576</v>
      </c>
      <c r="B541" s="3" t="s">
        <v>32</v>
      </c>
      <c r="C541" s="3" t="s">
        <v>27</v>
      </c>
      <c r="D541" s="14">
        <v>45945</v>
      </c>
      <c r="E541" s="11">
        <f>1</f>
        <v>1</v>
      </c>
      <c r="F541" s="14">
        <v>45948</v>
      </c>
      <c r="G541" s="11">
        <f>IF(Table1[[#This Row],[Pre-Booking Date]]&lt;&gt;"",1,0)</f>
        <v>1</v>
      </c>
      <c r="H541" s="4">
        <v>45949</v>
      </c>
      <c r="I541" s="11">
        <f>IF(Table1[[#This Row],[Booking Date]]&lt;&gt;"",1,0)</f>
        <v>1</v>
      </c>
      <c r="J541" s="30">
        <v>45956</v>
      </c>
      <c r="K541" s="11">
        <f>IF(Table1[[#This Row],[Delivery Date]]&lt;&gt;"",1,0)</f>
        <v>1</v>
      </c>
      <c r="L541" s="3" t="s">
        <v>2</v>
      </c>
      <c r="M541" s="3">
        <f>IF(Table1[[#This Row],[Cancellation Status]]&lt;&gt;"Yes",1,0)</f>
        <v>1</v>
      </c>
      <c r="O541" s="30">
        <v>45966</v>
      </c>
      <c r="P541" s="3">
        <v>3</v>
      </c>
      <c r="Q541" s="3">
        <v>1</v>
      </c>
      <c r="R541" s="3">
        <v>7</v>
      </c>
      <c r="S541" s="3">
        <v>1</v>
      </c>
      <c r="T54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41" t="str">
        <f>IF(Table1[[#This Row],[Customer Rating]]&gt;=9,"Promoter",IF(Table1[[#This Row],[Customer Rating]]&gt;=7,"Passive","Detractor"))</f>
        <v>Detractor</v>
      </c>
    </row>
    <row r="542" spans="1:21" ht="14.25" customHeight="1" x14ac:dyDescent="0.3">
      <c r="A542" s="3" t="s">
        <v>577</v>
      </c>
      <c r="B542" s="3" t="s">
        <v>26</v>
      </c>
      <c r="C542" s="3" t="s">
        <v>27</v>
      </c>
      <c r="D542" s="14">
        <v>45945</v>
      </c>
      <c r="E542" s="11">
        <f>1</f>
        <v>1</v>
      </c>
      <c r="F542" s="14">
        <v>45947</v>
      </c>
      <c r="G542" s="11">
        <f>IF(Table1[[#This Row],[Pre-Booking Date]]&lt;&gt;"",1,0)</f>
        <v>1</v>
      </c>
      <c r="H542" s="4">
        <v>45952</v>
      </c>
      <c r="I542" s="11">
        <f>IF(Table1[[#This Row],[Booking Date]]&lt;&gt;"",1,0)</f>
        <v>1</v>
      </c>
      <c r="J542" s="30">
        <v>45956</v>
      </c>
      <c r="K542" s="11">
        <f>IF(Table1[[#This Row],[Delivery Date]]&lt;&gt;"",1,0)</f>
        <v>1</v>
      </c>
      <c r="L542" s="3" t="s">
        <v>2</v>
      </c>
      <c r="M542" s="3">
        <f>IF(Table1[[#This Row],[Cancellation Status]]&lt;&gt;"Yes",1,0)</f>
        <v>1</v>
      </c>
      <c r="O542" s="30">
        <v>45969</v>
      </c>
      <c r="P542" s="3">
        <v>2</v>
      </c>
      <c r="Q542" s="3">
        <v>5</v>
      </c>
      <c r="R542" s="3">
        <v>4</v>
      </c>
      <c r="S542" s="3">
        <v>9</v>
      </c>
      <c r="T54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42" t="str">
        <f>IF(Table1[[#This Row],[Customer Rating]]&gt;=9,"Promoter",IF(Table1[[#This Row],[Customer Rating]]&gt;=7,"Passive","Detractor"))</f>
        <v>Promoter</v>
      </c>
    </row>
    <row r="543" spans="1:21" ht="14.25" customHeight="1" x14ac:dyDescent="0.3">
      <c r="A543" s="3" t="s">
        <v>578</v>
      </c>
      <c r="B543" s="3" t="s">
        <v>39</v>
      </c>
      <c r="C543" s="3" t="s">
        <v>27</v>
      </c>
      <c r="D543" s="14">
        <v>45945</v>
      </c>
      <c r="E543" s="11">
        <f>1</f>
        <v>1</v>
      </c>
      <c r="F543" s="14">
        <v>45950</v>
      </c>
      <c r="G543" s="11">
        <f>IF(Table1[[#This Row],[Pre-Booking Date]]&lt;&gt;"",1,0)</f>
        <v>1</v>
      </c>
      <c r="H543" s="4">
        <v>45952</v>
      </c>
      <c r="I543" s="11">
        <f>IF(Table1[[#This Row],[Booking Date]]&lt;&gt;"",1,0)</f>
        <v>1</v>
      </c>
      <c r="J543" s="30">
        <v>45957</v>
      </c>
      <c r="K543" s="11">
        <f>IF(Table1[[#This Row],[Delivery Date]]&lt;&gt;"",1,0)</f>
        <v>1</v>
      </c>
      <c r="L543" s="3" t="s">
        <v>3</v>
      </c>
      <c r="M543" s="3">
        <f>IF(Table1[[#This Row],[Cancellation Status]]&lt;&gt;"Yes",1,0)</f>
        <v>0</v>
      </c>
      <c r="N543" s="3" t="s">
        <v>34</v>
      </c>
      <c r="P543" s="3">
        <v>5</v>
      </c>
      <c r="Q543" s="3">
        <v>2</v>
      </c>
      <c r="R543" s="3">
        <v>5</v>
      </c>
      <c r="T54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43" t="str">
        <f>IF(Table1[[#This Row],[Customer Rating]]&gt;=9,"Promoter",IF(Table1[[#This Row],[Customer Rating]]&gt;=7,"Passive","Detractor"))</f>
        <v>Detractor</v>
      </c>
    </row>
    <row r="544" spans="1:21" ht="14.25" customHeight="1" x14ac:dyDescent="0.3">
      <c r="A544" s="3" t="s">
        <v>579</v>
      </c>
      <c r="B544" s="3" t="s">
        <v>29</v>
      </c>
      <c r="C544" s="3" t="s">
        <v>27</v>
      </c>
      <c r="D544" s="14">
        <v>45945</v>
      </c>
      <c r="E544" s="11">
        <f>1</f>
        <v>1</v>
      </c>
      <c r="F544" s="14">
        <v>45947</v>
      </c>
      <c r="G544" s="11">
        <f>IF(Table1[[#This Row],[Pre-Booking Date]]&lt;&gt;"",1,0)</f>
        <v>1</v>
      </c>
      <c r="H544" s="4">
        <v>45949</v>
      </c>
      <c r="I544" s="11">
        <f>IF(Table1[[#This Row],[Booking Date]]&lt;&gt;"",1,0)</f>
        <v>1</v>
      </c>
      <c r="J544" s="30">
        <v>45952</v>
      </c>
      <c r="K544" s="11">
        <f>IF(Table1[[#This Row],[Delivery Date]]&lt;&gt;"",1,0)</f>
        <v>1</v>
      </c>
      <c r="L544" s="3" t="s">
        <v>2</v>
      </c>
      <c r="M544" s="3">
        <f>IF(Table1[[#This Row],[Cancellation Status]]&lt;&gt;"Yes",1,0)</f>
        <v>1</v>
      </c>
      <c r="O544" s="30">
        <v>45963</v>
      </c>
      <c r="P544" s="3">
        <v>2</v>
      </c>
      <c r="Q544" s="3">
        <v>2</v>
      </c>
      <c r="R544" s="3">
        <v>3</v>
      </c>
      <c r="S544" s="3">
        <v>6</v>
      </c>
      <c r="T54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44" t="str">
        <f>IF(Table1[[#This Row],[Customer Rating]]&gt;=9,"Promoter",IF(Table1[[#This Row],[Customer Rating]]&gt;=7,"Passive","Detractor"))</f>
        <v>Detractor</v>
      </c>
    </row>
    <row r="545" spans="1:21" ht="14.25" customHeight="1" x14ac:dyDescent="0.3">
      <c r="A545" s="3" t="s">
        <v>580</v>
      </c>
      <c r="B545" s="3" t="s">
        <v>26</v>
      </c>
      <c r="C545" s="3" t="s">
        <v>27</v>
      </c>
      <c r="D545" s="14">
        <v>45945</v>
      </c>
      <c r="E545" s="11">
        <f>1</f>
        <v>1</v>
      </c>
      <c r="F545" s="14">
        <v>45950</v>
      </c>
      <c r="G545" s="11">
        <f>IF(Table1[[#This Row],[Pre-Booking Date]]&lt;&gt;"",1,0)</f>
        <v>1</v>
      </c>
      <c r="H545" s="4">
        <v>45952</v>
      </c>
      <c r="I545" s="11">
        <f>IF(Table1[[#This Row],[Booking Date]]&lt;&gt;"",1,0)</f>
        <v>1</v>
      </c>
      <c r="J545" s="30">
        <v>45957</v>
      </c>
      <c r="K545" s="11">
        <f>IF(Table1[[#This Row],[Delivery Date]]&lt;&gt;"",1,0)</f>
        <v>1</v>
      </c>
      <c r="L545" s="3" t="s">
        <v>2</v>
      </c>
      <c r="M545" s="3">
        <f>IF(Table1[[#This Row],[Cancellation Status]]&lt;&gt;"Yes",1,0)</f>
        <v>1</v>
      </c>
      <c r="O545" s="30">
        <v>45977</v>
      </c>
      <c r="P545" s="3">
        <v>5</v>
      </c>
      <c r="Q545" s="3">
        <v>2</v>
      </c>
      <c r="R545" s="3">
        <v>5</v>
      </c>
      <c r="S545" s="3">
        <v>9</v>
      </c>
      <c r="T54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45" t="str">
        <f>IF(Table1[[#This Row],[Customer Rating]]&gt;=9,"Promoter",IF(Table1[[#This Row],[Customer Rating]]&gt;=7,"Passive","Detractor"))</f>
        <v>Promoter</v>
      </c>
    </row>
    <row r="546" spans="1:21" ht="14.25" customHeight="1" x14ac:dyDescent="0.3">
      <c r="A546" s="3" t="s">
        <v>581</v>
      </c>
      <c r="B546" s="3" t="s">
        <v>39</v>
      </c>
      <c r="C546" s="3" t="s">
        <v>27</v>
      </c>
      <c r="D546" s="14">
        <v>45945</v>
      </c>
      <c r="E546" s="11">
        <f>1</f>
        <v>1</v>
      </c>
      <c r="F546" s="14">
        <v>45950</v>
      </c>
      <c r="G546" s="11">
        <f>IF(Table1[[#This Row],[Pre-Booking Date]]&lt;&gt;"",1,0)</f>
        <v>1</v>
      </c>
      <c r="H546" s="4">
        <v>45955</v>
      </c>
      <c r="I546" s="11">
        <f>IF(Table1[[#This Row],[Booking Date]]&lt;&gt;"",1,0)</f>
        <v>1</v>
      </c>
      <c r="J546" s="30">
        <v>45958</v>
      </c>
      <c r="K546" s="11">
        <f>IF(Table1[[#This Row],[Delivery Date]]&lt;&gt;"",1,0)</f>
        <v>1</v>
      </c>
      <c r="L546" s="3" t="s">
        <v>2</v>
      </c>
      <c r="M546" s="3">
        <f>IF(Table1[[#This Row],[Cancellation Status]]&lt;&gt;"Yes",1,0)</f>
        <v>1</v>
      </c>
      <c r="O546" s="30">
        <v>45974</v>
      </c>
      <c r="P546" s="3">
        <v>5</v>
      </c>
      <c r="Q546" s="3">
        <v>5</v>
      </c>
      <c r="R546" s="3">
        <v>3</v>
      </c>
      <c r="S546" s="3">
        <v>3</v>
      </c>
      <c r="T54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46" t="str">
        <f>IF(Table1[[#This Row],[Customer Rating]]&gt;=9,"Promoter",IF(Table1[[#This Row],[Customer Rating]]&gt;=7,"Passive","Detractor"))</f>
        <v>Detractor</v>
      </c>
    </row>
    <row r="547" spans="1:21" ht="14.25" customHeight="1" x14ac:dyDescent="0.3">
      <c r="A547" s="3" t="s">
        <v>582</v>
      </c>
      <c r="B547" s="3" t="s">
        <v>32</v>
      </c>
      <c r="C547" s="3" t="s">
        <v>33</v>
      </c>
      <c r="D547" s="14">
        <v>45945</v>
      </c>
      <c r="E547" s="11">
        <f>1</f>
        <v>1</v>
      </c>
      <c r="G547" s="12">
        <f>IF(Table1[[#This Row],[Pre-Booking Date]]&lt;&gt;"",1,0)</f>
        <v>0</v>
      </c>
      <c r="I547" s="12">
        <f>IF(Table1[[#This Row],[Booking Date]]&lt;&gt;"",1,0)</f>
        <v>0</v>
      </c>
      <c r="K547" s="12">
        <f>IF(Table1[[#This Row],[Delivery Date]]&lt;&gt;"",1,0)</f>
        <v>0</v>
      </c>
      <c r="L547" s="3" t="s">
        <v>3</v>
      </c>
      <c r="M547" s="3">
        <f>IF(Table1[[#This Row],[Cancellation Status]]&lt;&gt;"Yes",1,0)</f>
        <v>0</v>
      </c>
      <c r="N547" s="3" t="s">
        <v>37</v>
      </c>
      <c r="T54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47" t="str">
        <f>IF(Table1[[#This Row],[Customer Rating]]&gt;=9,"Promoter",IF(Table1[[#This Row],[Customer Rating]]&gt;=7,"Passive","Detractor"))</f>
        <v>Detractor</v>
      </c>
    </row>
    <row r="548" spans="1:21" ht="14.25" customHeight="1" x14ac:dyDescent="0.3">
      <c r="A548" s="3" t="s">
        <v>583</v>
      </c>
      <c r="B548" s="3" t="s">
        <v>26</v>
      </c>
      <c r="C548" s="3" t="s">
        <v>27</v>
      </c>
      <c r="D548" s="14">
        <v>45945</v>
      </c>
      <c r="E548" s="11">
        <f>1</f>
        <v>1</v>
      </c>
      <c r="F548" s="14">
        <v>45947</v>
      </c>
      <c r="G548" s="11">
        <f>IF(Table1[[#This Row],[Pre-Booking Date]]&lt;&gt;"",1,0)</f>
        <v>1</v>
      </c>
      <c r="H548" s="4">
        <v>45949</v>
      </c>
      <c r="I548" s="11">
        <f>IF(Table1[[#This Row],[Booking Date]]&lt;&gt;"",1,0)</f>
        <v>1</v>
      </c>
      <c r="J548" s="30">
        <v>45956</v>
      </c>
      <c r="K548" s="11">
        <f>IF(Table1[[#This Row],[Delivery Date]]&lt;&gt;"",1,0)</f>
        <v>1</v>
      </c>
      <c r="L548" s="3" t="s">
        <v>2</v>
      </c>
      <c r="M548" s="3">
        <f>IF(Table1[[#This Row],[Cancellation Status]]&lt;&gt;"Yes",1,0)</f>
        <v>1</v>
      </c>
      <c r="O548" s="30">
        <v>45967</v>
      </c>
      <c r="P548" s="3">
        <v>2</v>
      </c>
      <c r="Q548" s="3">
        <v>2</v>
      </c>
      <c r="R548" s="3">
        <v>7</v>
      </c>
      <c r="S548" s="3">
        <v>2</v>
      </c>
      <c r="T54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48" t="str">
        <f>IF(Table1[[#This Row],[Customer Rating]]&gt;=9,"Promoter",IF(Table1[[#This Row],[Customer Rating]]&gt;=7,"Passive","Detractor"))</f>
        <v>Detractor</v>
      </c>
    </row>
    <row r="549" spans="1:21" ht="14.25" customHeight="1" x14ac:dyDescent="0.3">
      <c r="A549" s="3" t="s">
        <v>584</v>
      </c>
      <c r="B549" s="3" t="s">
        <v>32</v>
      </c>
      <c r="C549" s="3" t="s">
        <v>27</v>
      </c>
      <c r="D549" s="14">
        <v>45945</v>
      </c>
      <c r="E549" s="11">
        <f>1</f>
        <v>1</v>
      </c>
      <c r="F549" s="14">
        <v>45950</v>
      </c>
      <c r="G549" s="11">
        <f>IF(Table1[[#This Row],[Pre-Booking Date]]&lt;&gt;"",1,0)</f>
        <v>1</v>
      </c>
      <c r="H549" s="4">
        <v>45952</v>
      </c>
      <c r="I549" s="11">
        <f>IF(Table1[[#This Row],[Booking Date]]&lt;&gt;"",1,0)</f>
        <v>1</v>
      </c>
      <c r="J549" s="30">
        <v>45957</v>
      </c>
      <c r="K549" s="11">
        <f>IF(Table1[[#This Row],[Delivery Date]]&lt;&gt;"",1,0)</f>
        <v>1</v>
      </c>
      <c r="L549" s="3" t="s">
        <v>2</v>
      </c>
      <c r="M549" s="3">
        <f>IF(Table1[[#This Row],[Cancellation Status]]&lt;&gt;"Yes",1,0)</f>
        <v>1</v>
      </c>
      <c r="O549" s="30">
        <v>45972</v>
      </c>
      <c r="P549" s="3">
        <v>5</v>
      </c>
      <c r="Q549" s="3">
        <v>2</v>
      </c>
      <c r="R549" s="3">
        <v>5</v>
      </c>
      <c r="S549" s="3">
        <v>6</v>
      </c>
      <c r="T54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49" t="str">
        <f>IF(Table1[[#This Row],[Customer Rating]]&gt;=9,"Promoter",IF(Table1[[#This Row],[Customer Rating]]&gt;=7,"Passive","Detractor"))</f>
        <v>Detractor</v>
      </c>
    </row>
    <row r="550" spans="1:21" ht="14.25" customHeight="1" x14ac:dyDescent="0.3">
      <c r="A550" s="3" t="s">
        <v>585</v>
      </c>
      <c r="B550" s="3" t="s">
        <v>26</v>
      </c>
      <c r="C550" s="3" t="s">
        <v>27</v>
      </c>
      <c r="D550" s="14">
        <v>45945</v>
      </c>
      <c r="E550" s="11">
        <f>1</f>
        <v>1</v>
      </c>
      <c r="F550" s="14">
        <v>45950</v>
      </c>
      <c r="G550" s="11">
        <f>IF(Table1[[#This Row],[Pre-Booking Date]]&lt;&gt;"",1,0)</f>
        <v>1</v>
      </c>
      <c r="H550" s="4">
        <v>45955</v>
      </c>
      <c r="I550" s="11">
        <f>IF(Table1[[#This Row],[Booking Date]]&lt;&gt;"",1,0)</f>
        <v>1</v>
      </c>
      <c r="J550" s="30">
        <v>45957</v>
      </c>
      <c r="K550" s="11">
        <f>IF(Table1[[#This Row],[Delivery Date]]&lt;&gt;"",1,0)</f>
        <v>1</v>
      </c>
      <c r="L550" s="3" t="s">
        <v>2</v>
      </c>
      <c r="M550" s="3">
        <f>IF(Table1[[#This Row],[Cancellation Status]]&lt;&gt;"Yes",1,0)</f>
        <v>1</v>
      </c>
      <c r="O550" s="30">
        <v>45974</v>
      </c>
      <c r="P550" s="3">
        <v>5</v>
      </c>
      <c r="Q550" s="3">
        <v>5</v>
      </c>
      <c r="R550" s="3">
        <v>2</v>
      </c>
      <c r="S550" s="3">
        <v>4</v>
      </c>
      <c r="T55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50" t="str">
        <f>IF(Table1[[#This Row],[Customer Rating]]&gt;=9,"Promoter",IF(Table1[[#This Row],[Customer Rating]]&gt;=7,"Passive","Detractor"))</f>
        <v>Detractor</v>
      </c>
    </row>
    <row r="551" spans="1:21" ht="14.25" customHeight="1" x14ac:dyDescent="0.3">
      <c r="A551" s="3" t="s">
        <v>586</v>
      </c>
      <c r="B551" s="3" t="s">
        <v>29</v>
      </c>
      <c r="C551" s="3" t="s">
        <v>30</v>
      </c>
      <c r="D551" s="14">
        <v>45945</v>
      </c>
      <c r="E551" s="11">
        <f>1</f>
        <v>1</v>
      </c>
      <c r="F551" s="14">
        <v>45949</v>
      </c>
      <c r="G551" s="11">
        <f>IF(Table1[[#This Row],[Pre-Booking Date]]&lt;&gt;"",1,0)</f>
        <v>1</v>
      </c>
      <c r="H551" s="4">
        <v>45953</v>
      </c>
      <c r="I551" s="11">
        <f>IF(Table1[[#This Row],[Booking Date]]&lt;&gt;"",1,0)</f>
        <v>1</v>
      </c>
      <c r="J551" s="30">
        <v>45955</v>
      </c>
      <c r="K551" s="11">
        <f>IF(Table1[[#This Row],[Delivery Date]]&lt;&gt;"",1,0)</f>
        <v>1</v>
      </c>
      <c r="L551" s="3" t="s">
        <v>2</v>
      </c>
      <c r="M551" s="3">
        <f>IF(Table1[[#This Row],[Cancellation Status]]&lt;&gt;"Yes",1,0)</f>
        <v>1</v>
      </c>
      <c r="O551" s="30">
        <v>45984</v>
      </c>
      <c r="P551" s="3">
        <v>4</v>
      </c>
      <c r="Q551" s="3">
        <v>4</v>
      </c>
      <c r="R551" s="3">
        <v>2</v>
      </c>
      <c r="S551" s="3">
        <v>10</v>
      </c>
      <c r="T55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51" t="str">
        <f>IF(Table1[[#This Row],[Customer Rating]]&gt;=9,"Promoter",IF(Table1[[#This Row],[Customer Rating]]&gt;=7,"Passive","Detractor"))</f>
        <v>Promoter</v>
      </c>
    </row>
    <row r="552" spans="1:21" ht="14.25" customHeight="1" x14ac:dyDescent="0.3">
      <c r="A552" s="3" t="s">
        <v>587</v>
      </c>
      <c r="B552" s="3" t="s">
        <v>32</v>
      </c>
      <c r="C552" s="3" t="s">
        <v>27</v>
      </c>
      <c r="D552" s="14">
        <v>45945</v>
      </c>
      <c r="E552" s="11">
        <f>1</f>
        <v>1</v>
      </c>
      <c r="F552" s="14">
        <v>45947</v>
      </c>
      <c r="G552" s="11">
        <f>IF(Table1[[#This Row],[Pre-Booking Date]]&lt;&gt;"",1,0)</f>
        <v>1</v>
      </c>
      <c r="H552" s="4">
        <v>45952</v>
      </c>
      <c r="I552" s="11">
        <f>IF(Table1[[#This Row],[Booking Date]]&lt;&gt;"",1,0)</f>
        <v>1</v>
      </c>
      <c r="J552" s="30">
        <v>45956</v>
      </c>
      <c r="K552" s="11">
        <f>IF(Table1[[#This Row],[Delivery Date]]&lt;&gt;"",1,0)</f>
        <v>1</v>
      </c>
      <c r="L552" s="3" t="s">
        <v>2</v>
      </c>
      <c r="M552" s="3">
        <f>IF(Table1[[#This Row],[Cancellation Status]]&lt;&gt;"Yes",1,0)</f>
        <v>1</v>
      </c>
      <c r="O552" s="30">
        <v>45979</v>
      </c>
      <c r="P552" s="3">
        <v>2</v>
      </c>
      <c r="Q552" s="3">
        <v>5</v>
      </c>
      <c r="R552" s="3">
        <v>4</v>
      </c>
      <c r="S552" s="3">
        <v>2</v>
      </c>
      <c r="T55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52" t="str">
        <f>IF(Table1[[#This Row],[Customer Rating]]&gt;=9,"Promoter",IF(Table1[[#This Row],[Customer Rating]]&gt;=7,"Passive","Detractor"))</f>
        <v>Detractor</v>
      </c>
    </row>
    <row r="553" spans="1:21" ht="14.25" customHeight="1" x14ac:dyDescent="0.3">
      <c r="A553" s="3" t="s">
        <v>588</v>
      </c>
      <c r="B553" s="3" t="s">
        <v>26</v>
      </c>
      <c r="C553" s="3" t="s">
        <v>27</v>
      </c>
      <c r="D553" s="14">
        <v>45945</v>
      </c>
      <c r="E553" s="11">
        <f>1</f>
        <v>1</v>
      </c>
      <c r="F553" s="14">
        <v>45949</v>
      </c>
      <c r="G553" s="11">
        <f>IF(Table1[[#This Row],[Pre-Booking Date]]&lt;&gt;"",1,0)</f>
        <v>1</v>
      </c>
      <c r="H553" s="4">
        <v>45953</v>
      </c>
      <c r="I553" s="11">
        <f>IF(Table1[[#This Row],[Booking Date]]&lt;&gt;"",1,0)</f>
        <v>1</v>
      </c>
      <c r="J553" s="30">
        <v>45958</v>
      </c>
      <c r="K553" s="11">
        <f>IF(Table1[[#This Row],[Delivery Date]]&lt;&gt;"",1,0)</f>
        <v>1</v>
      </c>
      <c r="L553" s="3" t="s">
        <v>2</v>
      </c>
      <c r="M553" s="3">
        <f>IF(Table1[[#This Row],[Cancellation Status]]&lt;&gt;"Yes",1,0)</f>
        <v>1</v>
      </c>
      <c r="O553" s="30">
        <v>45980</v>
      </c>
      <c r="P553" s="3">
        <v>4</v>
      </c>
      <c r="Q553" s="3">
        <v>4</v>
      </c>
      <c r="R553" s="3">
        <v>5</v>
      </c>
      <c r="S553" s="3">
        <v>6</v>
      </c>
      <c r="T55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53" t="str">
        <f>IF(Table1[[#This Row],[Customer Rating]]&gt;=9,"Promoter",IF(Table1[[#This Row],[Customer Rating]]&gt;=7,"Passive","Detractor"))</f>
        <v>Detractor</v>
      </c>
    </row>
    <row r="554" spans="1:21" ht="14.25" customHeight="1" x14ac:dyDescent="0.3">
      <c r="A554" s="3" t="s">
        <v>589</v>
      </c>
      <c r="B554" s="3" t="s">
        <v>26</v>
      </c>
      <c r="C554" s="3" t="s">
        <v>27</v>
      </c>
      <c r="D554" s="14">
        <v>45945</v>
      </c>
      <c r="E554" s="11">
        <f>1</f>
        <v>1</v>
      </c>
      <c r="F554" s="14">
        <v>45949</v>
      </c>
      <c r="G554" s="11">
        <f>IF(Table1[[#This Row],[Pre-Booking Date]]&lt;&gt;"",1,0)</f>
        <v>1</v>
      </c>
      <c r="H554" s="4">
        <v>45954</v>
      </c>
      <c r="I554" s="11">
        <f>IF(Table1[[#This Row],[Booking Date]]&lt;&gt;"",1,0)</f>
        <v>1</v>
      </c>
      <c r="J554" s="30">
        <v>45958</v>
      </c>
      <c r="K554" s="11">
        <f>IF(Table1[[#This Row],[Delivery Date]]&lt;&gt;"",1,0)</f>
        <v>1</v>
      </c>
      <c r="L554" s="3" t="s">
        <v>3</v>
      </c>
      <c r="M554" s="3">
        <f>IF(Table1[[#This Row],[Cancellation Status]]&lt;&gt;"Yes",1,0)</f>
        <v>0</v>
      </c>
      <c r="N554" s="3" t="s">
        <v>42</v>
      </c>
      <c r="P554" s="3">
        <v>4</v>
      </c>
      <c r="Q554" s="3">
        <v>5</v>
      </c>
      <c r="R554" s="3">
        <v>4</v>
      </c>
      <c r="T55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54" t="str">
        <f>IF(Table1[[#This Row],[Customer Rating]]&gt;=9,"Promoter",IF(Table1[[#This Row],[Customer Rating]]&gt;=7,"Passive","Detractor"))</f>
        <v>Detractor</v>
      </c>
    </row>
    <row r="555" spans="1:21" ht="14.25" customHeight="1" x14ac:dyDescent="0.3">
      <c r="A555" s="3" t="s">
        <v>590</v>
      </c>
      <c r="B555" s="3" t="s">
        <v>29</v>
      </c>
      <c r="C555" s="3" t="s">
        <v>33</v>
      </c>
      <c r="D555" s="14">
        <v>45945</v>
      </c>
      <c r="E555" s="11">
        <f>1</f>
        <v>1</v>
      </c>
      <c r="G555" s="12">
        <f>IF(Table1[[#This Row],[Pre-Booking Date]]&lt;&gt;"",1,0)</f>
        <v>0</v>
      </c>
      <c r="I555" s="12">
        <f>IF(Table1[[#This Row],[Booking Date]]&lt;&gt;"",1,0)</f>
        <v>0</v>
      </c>
      <c r="K555" s="12">
        <f>IF(Table1[[#This Row],[Delivery Date]]&lt;&gt;"",1,0)</f>
        <v>0</v>
      </c>
      <c r="L555" s="3" t="s">
        <v>3</v>
      </c>
      <c r="M555" s="3">
        <f>IF(Table1[[#This Row],[Cancellation Status]]&lt;&gt;"Yes",1,0)</f>
        <v>0</v>
      </c>
      <c r="N555" s="3" t="s">
        <v>34</v>
      </c>
      <c r="T55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55" t="str">
        <f>IF(Table1[[#This Row],[Customer Rating]]&gt;=9,"Promoter",IF(Table1[[#This Row],[Customer Rating]]&gt;=7,"Passive","Detractor"))</f>
        <v>Detractor</v>
      </c>
    </row>
    <row r="556" spans="1:21" ht="14.25" customHeight="1" x14ac:dyDescent="0.3">
      <c r="A556" s="3" t="s">
        <v>591</v>
      </c>
      <c r="B556" s="3" t="s">
        <v>29</v>
      </c>
      <c r="C556" s="3" t="s">
        <v>30</v>
      </c>
      <c r="D556" s="14">
        <v>45945</v>
      </c>
      <c r="E556" s="11">
        <f>1</f>
        <v>1</v>
      </c>
      <c r="F556" s="14">
        <v>45950</v>
      </c>
      <c r="G556" s="11">
        <f>IF(Table1[[#This Row],[Pre-Booking Date]]&lt;&gt;"",1,0)</f>
        <v>1</v>
      </c>
      <c r="H556" s="4">
        <v>45953</v>
      </c>
      <c r="I556" s="11">
        <f>IF(Table1[[#This Row],[Booking Date]]&lt;&gt;"",1,0)</f>
        <v>1</v>
      </c>
      <c r="J556" s="30">
        <v>45958</v>
      </c>
      <c r="K556" s="11">
        <f>IF(Table1[[#This Row],[Delivery Date]]&lt;&gt;"",1,0)</f>
        <v>1</v>
      </c>
      <c r="L556" s="3" t="s">
        <v>2</v>
      </c>
      <c r="M556" s="3">
        <f>IF(Table1[[#This Row],[Cancellation Status]]&lt;&gt;"Yes",1,0)</f>
        <v>1</v>
      </c>
      <c r="O556" s="30">
        <v>45973</v>
      </c>
      <c r="P556" s="3">
        <v>5</v>
      </c>
      <c r="Q556" s="3">
        <v>3</v>
      </c>
      <c r="R556" s="3">
        <v>5</v>
      </c>
      <c r="S556" s="3">
        <v>2</v>
      </c>
      <c r="T55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56" t="str">
        <f>IF(Table1[[#This Row],[Customer Rating]]&gt;=9,"Promoter",IF(Table1[[#This Row],[Customer Rating]]&gt;=7,"Passive","Detractor"))</f>
        <v>Detractor</v>
      </c>
    </row>
    <row r="557" spans="1:21" ht="14.25" customHeight="1" x14ac:dyDescent="0.3">
      <c r="A557" s="3" t="s">
        <v>592</v>
      </c>
      <c r="B557" s="3" t="s">
        <v>29</v>
      </c>
      <c r="C557" s="3" t="s">
        <v>33</v>
      </c>
      <c r="D557" s="14">
        <v>45945</v>
      </c>
      <c r="E557" s="11">
        <f>1</f>
        <v>1</v>
      </c>
      <c r="G557" s="12">
        <f>IF(Table1[[#This Row],[Pre-Booking Date]]&lt;&gt;"",1,0)</f>
        <v>0</v>
      </c>
      <c r="I557" s="12">
        <f>IF(Table1[[#This Row],[Booking Date]]&lt;&gt;"",1,0)</f>
        <v>0</v>
      </c>
      <c r="K557" s="12">
        <f>IF(Table1[[#This Row],[Delivery Date]]&lt;&gt;"",1,0)</f>
        <v>0</v>
      </c>
      <c r="L557" s="3" t="s">
        <v>3</v>
      </c>
      <c r="M557" s="3">
        <f>IF(Table1[[#This Row],[Cancellation Status]]&lt;&gt;"Yes",1,0)</f>
        <v>0</v>
      </c>
      <c r="N557" s="3" t="s">
        <v>37</v>
      </c>
      <c r="T55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57" t="str">
        <f>IF(Table1[[#This Row],[Customer Rating]]&gt;=9,"Promoter",IF(Table1[[#This Row],[Customer Rating]]&gt;=7,"Passive","Detractor"))</f>
        <v>Detractor</v>
      </c>
    </row>
    <row r="558" spans="1:21" ht="14.25" customHeight="1" x14ac:dyDescent="0.3">
      <c r="A558" s="3" t="s">
        <v>593</v>
      </c>
      <c r="B558" s="3" t="s">
        <v>26</v>
      </c>
      <c r="C558" s="3" t="s">
        <v>30</v>
      </c>
      <c r="D558" s="14">
        <v>45945</v>
      </c>
      <c r="E558" s="11">
        <f>1</f>
        <v>1</v>
      </c>
      <c r="F558" s="14">
        <v>45946</v>
      </c>
      <c r="G558" s="11">
        <f>IF(Table1[[#This Row],[Pre-Booking Date]]&lt;&gt;"",1,0)</f>
        <v>1</v>
      </c>
      <c r="H558" s="4">
        <v>45950</v>
      </c>
      <c r="I558" s="11">
        <f>IF(Table1[[#This Row],[Booking Date]]&lt;&gt;"",1,0)</f>
        <v>1</v>
      </c>
      <c r="J558" s="30">
        <v>45956</v>
      </c>
      <c r="K558" s="11">
        <f>IF(Table1[[#This Row],[Delivery Date]]&lt;&gt;"",1,0)</f>
        <v>1</v>
      </c>
      <c r="L558" s="3" t="s">
        <v>2</v>
      </c>
      <c r="M558" s="3">
        <f>IF(Table1[[#This Row],[Cancellation Status]]&lt;&gt;"Yes",1,0)</f>
        <v>1</v>
      </c>
      <c r="O558" s="30">
        <v>45967</v>
      </c>
      <c r="P558" s="3">
        <v>1</v>
      </c>
      <c r="Q558" s="3">
        <v>4</v>
      </c>
      <c r="R558" s="3">
        <v>6</v>
      </c>
      <c r="S558" s="3">
        <v>7</v>
      </c>
      <c r="T55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58" t="str">
        <f>IF(Table1[[#This Row],[Customer Rating]]&gt;=9,"Promoter",IF(Table1[[#This Row],[Customer Rating]]&gt;=7,"Passive","Detractor"))</f>
        <v>Passive</v>
      </c>
    </row>
    <row r="559" spans="1:21" ht="14.25" customHeight="1" x14ac:dyDescent="0.3">
      <c r="A559" s="3" t="s">
        <v>594</v>
      </c>
      <c r="B559" s="3" t="s">
        <v>39</v>
      </c>
      <c r="C559" s="3" t="s">
        <v>33</v>
      </c>
      <c r="D559" s="14">
        <v>45945</v>
      </c>
      <c r="E559" s="11">
        <f>1</f>
        <v>1</v>
      </c>
      <c r="G559" s="12">
        <f>IF(Table1[[#This Row],[Pre-Booking Date]]&lt;&gt;"",1,0)</f>
        <v>0</v>
      </c>
      <c r="I559" s="12">
        <f>IF(Table1[[#This Row],[Booking Date]]&lt;&gt;"",1,0)</f>
        <v>0</v>
      </c>
      <c r="K559" s="12">
        <f>IF(Table1[[#This Row],[Delivery Date]]&lt;&gt;"",1,0)</f>
        <v>0</v>
      </c>
      <c r="L559" s="3" t="s">
        <v>3</v>
      </c>
      <c r="M559" s="3">
        <f>IF(Table1[[#This Row],[Cancellation Status]]&lt;&gt;"Yes",1,0)</f>
        <v>0</v>
      </c>
      <c r="N559" s="3" t="s">
        <v>42</v>
      </c>
      <c r="T55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59" t="str">
        <f>IF(Table1[[#This Row],[Customer Rating]]&gt;=9,"Promoter",IF(Table1[[#This Row],[Customer Rating]]&gt;=7,"Passive","Detractor"))</f>
        <v>Detractor</v>
      </c>
    </row>
    <row r="560" spans="1:21" ht="14.25" customHeight="1" x14ac:dyDescent="0.3">
      <c r="A560" s="3" t="s">
        <v>595</v>
      </c>
      <c r="B560" s="3" t="s">
        <v>26</v>
      </c>
      <c r="C560" s="3" t="s">
        <v>27</v>
      </c>
      <c r="D560" s="14">
        <v>45945</v>
      </c>
      <c r="E560" s="11">
        <f>1</f>
        <v>1</v>
      </c>
      <c r="F560" s="14">
        <v>45947</v>
      </c>
      <c r="G560" s="11">
        <f>IF(Table1[[#This Row],[Pre-Booking Date]]&lt;&gt;"",1,0)</f>
        <v>1</v>
      </c>
      <c r="H560" s="4">
        <v>45948</v>
      </c>
      <c r="I560" s="11">
        <f>IF(Table1[[#This Row],[Booking Date]]&lt;&gt;"",1,0)</f>
        <v>1</v>
      </c>
      <c r="J560" s="30">
        <v>45953</v>
      </c>
      <c r="K560" s="11">
        <f>IF(Table1[[#This Row],[Delivery Date]]&lt;&gt;"",1,0)</f>
        <v>1</v>
      </c>
      <c r="L560" s="3" t="s">
        <v>2</v>
      </c>
      <c r="M560" s="3">
        <f>IF(Table1[[#This Row],[Cancellation Status]]&lt;&gt;"Yes",1,0)</f>
        <v>1</v>
      </c>
      <c r="O560" s="30">
        <v>45963</v>
      </c>
      <c r="P560" s="3">
        <v>2</v>
      </c>
      <c r="Q560" s="3">
        <v>1</v>
      </c>
      <c r="R560" s="3">
        <v>5</v>
      </c>
      <c r="S560" s="3">
        <v>8</v>
      </c>
      <c r="T56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60" t="str">
        <f>IF(Table1[[#This Row],[Customer Rating]]&gt;=9,"Promoter",IF(Table1[[#This Row],[Customer Rating]]&gt;=7,"Passive","Detractor"))</f>
        <v>Passive</v>
      </c>
    </row>
    <row r="561" spans="1:21" ht="14.25" customHeight="1" x14ac:dyDescent="0.3">
      <c r="A561" s="3" t="s">
        <v>596</v>
      </c>
      <c r="B561" s="3" t="s">
        <v>39</v>
      </c>
      <c r="C561" s="3" t="s">
        <v>27</v>
      </c>
      <c r="D561" s="14">
        <v>45945</v>
      </c>
      <c r="E561" s="11">
        <f>1</f>
        <v>1</v>
      </c>
      <c r="F561" s="14">
        <v>45950</v>
      </c>
      <c r="G561" s="11">
        <f>IF(Table1[[#This Row],[Pre-Booking Date]]&lt;&gt;"",1,0)</f>
        <v>1</v>
      </c>
      <c r="H561" s="4">
        <v>45953</v>
      </c>
      <c r="I561" s="11">
        <f>IF(Table1[[#This Row],[Booking Date]]&lt;&gt;"",1,0)</f>
        <v>1</v>
      </c>
      <c r="J561" s="30">
        <v>45960</v>
      </c>
      <c r="K561" s="11">
        <f>IF(Table1[[#This Row],[Delivery Date]]&lt;&gt;"",1,0)</f>
        <v>1</v>
      </c>
      <c r="L561" s="3" t="s">
        <v>2</v>
      </c>
      <c r="M561" s="3">
        <f>IF(Table1[[#This Row],[Cancellation Status]]&lt;&gt;"Yes",1,0)</f>
        <v>1</v>
      </c>
      <c r="O561" s="30">
        <v>45982</v>
      </c>
      <c r="P561" s="3">
        <v>5</v>
      </c>
      <c r="Q561" s="3">
        <v>3</v>
      </c>
      <c r="R561" s="3">
        <v>7</v>
      </c>
      <c r="S561" s="3">
        <v>7</v>
      </c>
      <c r="T56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61" t="str">
        <f>IF(Table1[[#This Row],[Customer Rating]]&gt;=9,"Promoter",IF(Table1[[#This Row],[Customer Rating]]&gt;=7,"Passive","Detractor"))</f>
        <v>Passive</v>
      </c>
    </row>
    <row r="562" spans="1:21" ht="14.25" customHeight="1" x14ac:dyDescent="0.3">
      <c r="A562" s="3" t="s">
        <v>597</v>
      </c>
      <c r="B562" s="3" t="s">
        <v>26</v>
      </c>
      <c r="C562" s="3" t="s">
        <v>30</v>
      </c>
      <c r="D562" s="14">
        <v>45945</v>
      </c>
      <c r="E562" s="11">
        <f>1</f>
        <v>1</v>
      </c>
      <c r="F562" s="14">
        <v>45948</v>
      </c>
      <c r="G562" s="11">
        <f>IF(Table1[[#This Row],[Pre-Booking Date]]&lt;&gt;"",1,0)</f>
        <v>1</v>
      </c>
      <c r="H562" s="4">
        <v>45952</v>
      </c>
      <c r="I562" s="11">
        <f>IF(Table1[[#This Row],[Booking Date]]&lt;&gt;"",1,0)</f>
        <v>1</v>
      </c>
      <c r="J562" s="30">
        <v>45959</v>
      </c>
      <c r="K562" s="11">
        <f>IF(Table1[[#This Row],[Delivery Date]]&lt;&gt;"",1,0)</f>
        <v>1</v>
      </c>
      <c r="L562" s="3" t="s">
        <v>2</v>
      </c>
      <c r="M562" s="3">
        <f>IF(Table1[[#This Row],[Cancellation Status]]&lt;&gt;"Yes",1,0)</f>
        <v>1</v>
      </c>
      <c r="O562" s="30">
        <v>45984</v>
      </c>
      <c r="P562" s="3">
        <v>3</v>
      </c>
      <c r="Q562" s="3">
        <v>4</v>
      </c>
      <c r="R562" s="3">
        <v>7</v>
      </c>
      <c r="S562" s="3">
        <v>9</v>
      </c>
      <c r="T56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62" t="str">
        <f>IF(Table1[[#This Row],[Customer Rating]]&gt;=9,"Promoter",IF(Table1[[#This Row],[Customer Rating]]&gt;=7,"Passive","Detractor"))</f>
        <v>Promoter</v>
      </c>
    </row>
    <row r="563" spans="1:21" ht="14.25" customHeight="1" x14ac:dyDescent="0.3">
      <c r="A563" s="3" t="s">
        <v>598</v>
      </c>
      <c r="B563" s="3" t="s">
        <v>29</v>
      </c>
      <c r="C563" s="3" t="s">
        <v>33</v>
      </c>
      <c r="D563" s="14">
        <v>45945</v>
      </c>
      <c r="E563" s="11">
        <f>1</f>
        <v>1</v>
      </c>
      <c r="G563" s="12">
        <f>IF(Table1[[#This Row],[Pre-Booking Date]]&lt;&gt;"",1,0)</f>
        <v>0</v>
      </c>
      <c r="I563" s="12">
        <f>IF(Table1[[#This Row],[Booking Date]]&lt;&gt;"",1,0)</f>
        <v>0</v>
      </c>
      <c r="K563" s="12">
        <f>IF(Table1[[#This Row],[Delivery Date]]&lt;&gt;"",1,0)</f>
        <v>0</v>
      </c>
      <c r="L563" s="3" t="s">
        <v>3</v>
      </c>
      <c r="M563" s="3">
        <f>IF(Table1[[#This Row],[Cancellation Status]]&lt;&gt;"Yes",1,0)</f>
        <v>0</v>
      </c>
      <c r="N563" s="3" t="s">
        <v>42</v>
      </c>
      <c r="T56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63" t="str">
        <f>IF(Table1[[#This Row],[Customer Rating]]&gt;=9,"Promoter",IF(Table1[[#This Row],[Customer Rating]]&gt;=7,"Passive","Detractor"))</f>
        <v>Detractor</v>
      </c>
    </row>
    <row r="564" spans="1:21" ht="14.25" customHeight="1" x14ac:dyDescent="0.3">
      <c r="A564" s="3" t="s">
        <v>599</v>
      </c>
      <c r="B564" s="3" t="s">
        <v>26</v>
      </c>
      <c r="C564" s="3" t="s">
        <v>27</v>
      </c>
      <c r="D564" s="14">
        <v>45945</v>
      </c>
      <c r="E564" s="11">
        <f>1</f>
        <v>1</v>
      </c>
      <c r="F564" s="14">
        <v>45948</v>
      </c>
      <c r="G564" s="11">
        <f>IF(Table1[[#This Row],[Pre-Booking Date]]&lt;&gt;"",1,0)</f>
        <v>1</v>
      </c>
      <c r="H564" s="4">
        <v>45951</v>
      </c>
      <c r="I564" s="11">
        <f>IF(Table1[[#This Row],[Booking Date]]&lt;&gt;"",1,0)</f>
        <v>1</v>
      </c>
      <c r="J564" s="30">
        <v>45953</v>
      </c>
      <c r="K564" s="11">
        <f>IF(Table1[[#This Row],[Delivery Date]]&lt;&gt;"",1,0)</f>
        <v>1</v>
      </c>
      <c r="L564" s="3" t="s">
        <v>2</v>
      </c>
      <c r="M564" s="3">
        <f>IF(Table1[[#This Row],[Cancellation Status]]&lt;&gt;"Yes",1,0)</f>
        <v>1</v>
      </c>
      <c r="O564" s="30">
        <v>45982</v>
      </c>
      <c r="P564" s="3">
        <v>3</v>
      </c>
      <c r="Q564" s="3">
        <v>3</v>
      </c>
      <c r="R564" s="3">
        <v>2</v>
      </c>
      <c r="S564" s="3">
        <v>5</v>
      </c>
      <c r="T56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64" t="str">
        <f>IF(Table1[[#This Row],[Customer Rating]]&gt;=9,"Promoter",IF(Table1[[#This Row],[Customer Rating]]&gt;=7,"Passive","Detractor"))</f>
        <v>Detractor</v>
      </c>
    </row>
    <row r="565" spans="1:21" ht="14.25" customHeight="1" x14ac:dyDescent="0.3">
      <c r="A565" s="3" t="s">
        <v>600</v>
      </c>
      <c r="B565" s="3" t="s">
        <v>32</v>
      </c>
      <c r="C565" s="3" t="s">
        <v>27</v>
      </c>
      <c r="D565" s="14">
        <v>45945</v>
      </c>
      <c r="E565" s="11">
        <f>1</f>
        <v>1</v>
      </c>
      <c r="F565" s="14">
        <v>45949</v>
      </c>
      <c r="G565" s="11">
        <f>IF(Table1[[#This Row],[Pre-Booking Date]]&lt;&gt;"",1,0)</f>
        <v>1</v>
      </c>
      <c r="H565" s="4">
        <v>45953</v>
      </c>
      <c r="I565" s="11">
        <f>IF(Table1[[#This Row],[Booking Date]]&lt;&gt;"",1,0)</f>
        <v>1</v>
      </c>
      <c r="J565" s="30">
        <v>45959</v>
      </c>
      <c r="K565" s="11">
        <f>IF(Table1[[#This Row],[Delivery Date]]&lt;&gt;"",1,0)</f>
        <v>1</v>
      </c>
      <c r="L565" s="3" t="s">
        <v>2</v>
      </c>
      <c r="M565" s="3">
        <f>IF(Table1[[#This Row],[Cancellation Status]]&lt;&gt;"Yes",1,0)</f>
        <v>1</v>
      </c>
      <c r="O565" s="30">
        <v>45969</v>
      </c>
      <c r="P565" s="3">
        <v>4</v>
      </c>
      <c r="Q565" s="3">
        <v>4</v>
      </c>
      <c r="R565" s="3">
        <v>6</v>
      </c>
      <c r="S565" s="3">
        <v>7</v>
      </c>
      <c r="T56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65" t="str">
        <f>IF(Table1[[#This Row],[Customer Rating]]&gt;=9,"Promoter",IF(Table1[[#This Row],[Customer Rating]]&gt;=7,"Passive","Detractor"))</f>
        <v>Passive</v>
      </c>
    </row>
    <row r="566" spans="1:21" ht="14.25" customHeight="1" x14ac:dyDescent="0.3">
      <c r="A566" s="3" t="s">
        <v>601</v>
      </c>
      <c r="B566" s="3" t="s">
        <v>32</v>
      </c>
      <c r="C566" s="3" t="s">
        <v>27</v>
      </c>
      <c r="D566" s="14">
        <v>45945</v>
      </c>
      <c r="E566" s="11">
        <f>1</f>
        <v>1</v>
      </c>
      <c r="F566" s="14">
        <v>45946</v>
      </c>
      <c r="G566" s="11">
        <f>IF(Table1[[#This Row],[Pre-Booking Date]]&lt;&gt;"",1,0)</f>
        <v>1</v>
      </c>
      <c r="H566" s="4">
        <v>45949</v>
      </c>
      <c r="I566" s="11">
        <f>IF(Table1[[#This Row],[Booking Date]]&lt;&gt;"",1,0)</f>
        <v>1</v>
      </c>
      <c r="J566" s="30">
        <v>45956</v>
      </c>
      <c r="K566" s="11">
        <f>IF(Table1[[#This Row],[Delivery Date]]&lt;&gt;"",1,0)</f>
        <v>1</v>
      </c>
      <c r="L566" s="3" t="s">
        <v>2</v>
      </c>
      <c r="M566" s="3">
        <f>IF(Table1[[#This Row],[Cancellation Status]]&lt;&gt;"Yes",1,0)</f>
        <v>1</v>
      </c>
      <c r="O566" s="30">
        <v>45977</v>
      </c>
      <c r="P566" s="3">
        <v>1</v>
      </c>
      <c r="Q566" s="3">
        <v>3</v>
      </c>
      <c r="R566" s="3">
        <v>7</v>
      </c>
      <c r="S566" s="3">
        <v>2</v>
      </c>
      <c r="T56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66" t="str">
        <f>IF(Table1[[#This Row],[Customer Rating]]&gt;=9,"Promoter",IF(Table1[[#This Row],[Customer Rating]]&gt;=7,"Passive","Detractor"))</f>
        <v>Detractor</v>
      </c>
    </row>
    <row r="567" spans="1:21" ht="14.25" customHeight="1" x14ac:dyDescent="0.3">
      <c r="A567" s="3" t="s">
        <v>602</v>
      </c>
      <c r="B567" s="3" t="s">
        <v>32</v>
      </c>
      <c r="C567" s="3" t="s">
        <v>27</v>
      </c>
      <c r="D567" s="14">
        <v>45945</v>
      </c>
      <c r="E567" s="11">
        <f>1</f>
        <v>1</v>
      </c>
      <c r="F567" s="14">
        <v>45950</v>
      </c>
      <c r="G567" s="11">
        <f>IF(Table1[[#This Row],[Pre-Booking Date]]&lt;&gt;"",1,0)</f>
        <v>1</v>
      </c>
      <c r="H567" s="4">
        <v>45954</v>
      </c>
      <c r="I567" s="11">
        <f>IF(Table1[[#This Row],[Booking Date]]&lt;&gt;"",1,0)</f>
        <v>1</v>
      </c>
      <c r="J567" s="30">
        <v>45957</v>
      </c>
      <c r="K567" s="11">
        <f>IF(Table1[[#This Row],[Delivery Date]]&lt;&gt;"",1,0)</f>
        <v>1</v>
      </c>
      <c r="L567" s="3" t="s">
        <v>2</v>
      </c>
      <c r="M567" s="3">
        <f>IF(Table1[[#This Row],[Cancellation Status]]&lt;&gt;"Yes",1,0)</f>
        <v>1</v>
      </c>
      <c r="O567" s="30">
        <v>45979</v>
      </c>
      <c r="P567" s="3">
        <v>5</v>
      </c>
      <c r="Q567" s="3">
        <v>4</v>
      </c>
      <c r="R567" s="3">
        <v>3</v>
      </c>
      <c r="S567" s="3">
        <v>6</v>
      </c>
      <c r="T56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67" t="str">
        <f>IF(Table1[[#This Row],[Customer Rating]]&gt;=9,"Promoter",IF(Table1[[#This Row],[Customer Rating]]&gt;=7,"Passive","Detractor"))</f>
        <v>Detractor</v>
      </c>
    </row>
    <row r="568" spans="1:21" ht="14.25" customHeight="1" x14ac:dyDescent="0.3">
      <c r="A568" s="3" t="s">
        <v>603</v>
      </c>
      <c r="B568" s="3" t="s">
        <v>29</v>
      </c>
      <c r="C568" s="3" t="s">
        <v>33</v>
      </c>
      <c r="D568" s="14">
        <v>45945</v>
      </c>
      <c r="E568" s="11">
        <f>1</f>
        <v>1</v>
      </c>
      <c r="G568" s="12">
        <f>IF(Table1[[#This Row],[Pre-Booking Date]]&lt;&gt;"",1,0)</f>
        <v>0</v>
      </c>
      <c r="I568" s="12">
        <f>IF(Table1[[#This Row],[Booking Date]]&lt;&gt;"",1,0)</f>
        <v>0</v>
      </c>
      <c r="K568" s="12">
        <f>IF(Table1[[#This Row],[Delivery Date]]&lt;&gt;"",1,0)</f>
        <v>0</v>
      </c>
      <c r="L568" s="3" t="s">
        <v>3</v>
      </c>
      <c r="M568" s="3">
        <f>IF(Table1[[#This Row],[Cancellation Status]]&lt;&gt;"Yes",1,0)</f>
        <v>0</v>
      </c>
      <c r="N568" s="3" t="s">
        <v>42</v>
      </c>
      <c r="T56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68" t="str">
        <f>IF(Table1[[#This Row],[Customer Rating]]&gt;=9,"Promoter",IF(Table1[[#This Row],[Customer Rating]]&gt;=7,"Passive","Detractor"))</f>
        <v>Detractor</v>
      </c>
    </row>
    <row r="569" spans="1:21" ht="14.25" customHeight="1" x14ac:dyDescent="0.3">
      <c r="A569" s="3" t="s">
        <v>604</v>
      </c>
      <c r="B569" s="3" t="s">
        <v>39</v>
      </c>
      <c r="C569" s="3" t="s">
        <v>27</v>
      </c>
      <c r="D569" s="14">
        <v>45945</v>
      </c>
      <c r="E569" s="11">
        <f>1</f>
        <v>1</v>
      </c>
      <c r="F569" s="14">
        <v>45949</v>
      </c>
      <c r="G569" s="11">
        <f>IF(Table1[[#This Row],[Pre-Booking Date]]&lt;&gt;"",1,0)</f>
        <v>1</v>
      </c>
      <c r="H569" s="4">
        <v>45952</v>
      </c>
      <c r="I569" s="11">
        <f>IF(Table1[[#This Row],[Booking Date]]&lt;&gt;"",1,0)</f>
        <v>1</v>
      </c>
      <c r="J569" s="30">
        <v>45955</v>
      </c>
      <c r="K569" s="11">
        <f>IF(Table1[[#This Row],[Delivery Date]]&lt;&gt;"",1,0)</f>
        <v>1</v>
      </c>
      <c r="L569" s="3" t="s">
        <v>2</v>
      </c>
      <c r="M569" s="3">
        <f>IF(Table1[[#This Row],[Cancellation Status]]&lt;&gt;"Yes",1,0)</f>
        <v>1</v>
      </c>
      <c r="O569" s="30">
        <v>45980</v>
      </c>
      <c r="P569" s="3">
        <v>4</v>
      </c>
      <c r="Q569" s="3">
        <v>3</v>
      </c>
      <c r="R569" s="3">
        <v>3</v>
      </c>
      <c r="S569" s="3">
        <v>5</v>
      </c>
      <c r="T56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69" t="str">
        <f>IF(Table1[[#This Row],[Customer Rating]]&gt;=9,"Promoter",IF(Table1[[#This Row],[Customer Rating]]&gt;=7,"Passive","Detractor"))</f>
        <v>Detractor</v>
      </c>
    </row>
    <row r="570" spans="1:21" ht="14.25" customHeight="1" x14ac:dyDescent="0.3">
      <c r="A570" s="3" t="s">
        <v>605</v>
      </c>
      <c r="B570" s="3" t="s">
        <v>29</v>
      </c>
      <c r="C570" s="3" t="s">
        <v>27</v>
      </c>
      <c r="D570" s="14">
        <v>45945</v>
      </c>
      <c r="E570" s="11">
        <f>1</f>
        <v>1</v>
      </c>
      <c r="F570" s="14">
        <v>45950</v>
      </c>
      <c r="G570" s="11">
        <f>IF(Table1[[#This Row],[Pre-Booking Date]]&lt;&gt;"",1,0)</f>
        <v>1</v>
      </c>
      <c r="H570" s="4">
        <v>45954</v>
      </c>
      <c r="I570" s="11">
        <f>IF(Table1[[#This Row],[Booking Date]]&lt;&gt;"",1,0)</f>
        <v>1</v>
      </c>
      <c r="J570" s="30">
        <v>45960</v>
      </c>
      <c r="K570" s="11">
        <f>IF(Table1[[#This Row],[Delivery Date]]&lt;&gt;"",1,0)</f>
        <v>1</v>
      </c>
      <c r="L570" s="3" t="s">
        <v>2</v>
      </c>
      <c r="M570" s="3">
        <f>IF(Table1[[#This Row],[Cancellation Status]]&lt;&gt;"Yes",1,0)</f>
        <v>1</v>
      </c>
      <c r="O570" s="30">
        <v>45980</v>
      </c>
      <c r="P570" s="3">
        <v>5</v>
      </c>
      <c r="Q570" s="3">
        <v>4</v>
      </c>
      <c r="R570" s="3">
        <v>6</v>
      </c>
      <c r="S570" s="3">
        <v>3</v>
      </c>
      <c r="T57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70" t="str">
        <f>IF(Table1[[#This Row],[Customer Rating]]&gt;=9,"Promoter",IF(Table1[[#This Row],[Customer Rating]]&gt;=7,"Passive","Detractor"))</f>
        <v>Detractor</v>
      </c>
    </row>
    <row r="571" spans="1:21" ht="14.25" customHeight="1" x14ac:dyDescent="0.3">
      <c r="A571" s="3" t="s">
        <v>606</v>
      </c>
      <c r="B571" s="3" t="s">
        <v>32</v>
      </c>
      <c r="C571" s="3" t="s">
        <v>27</v>
      </c>
      <c r="D571" s="14">
        <v>45944</v>
      </c>
      <c r="E571" s="11">
        <f>1</f>
        <v>1</v>
      </c>
      <c r="F571" s="14">
        <v>45948</v>
      </c>
      <c r="G571" s="11">
        <f>IF(Table1[[#This Row],[Pre-Booking Date]]&lt;&gt;"",1,0)</f>
        <v>1</v>
      </c>
      <c r="H571" s="4">
        <v>45951</v>
      </c>
      <c r="I571" s="11">
        <f>IF(Table1[[#This Row],[Booking Date]]&lt;&gt;"",1,0)</f>
        <v>1</v>
      </c>
      <c r="J571" s="30">
        <v>45954</v>
      </c>
      <c r="K571" s="11">
        <f>IF(Table1[[#This Row],[Delivery Date]]&lt;&gt;"",1,0)</f>
        <v>1</v>
      </c>
      <c r="L571" s="3" t="s">
        <v>2</v>
      </c>
      <c r="M571" s="3">
        <f>IF(Table1[[#This Row],[Cancellation Status]]&lt;&gt;"Yes",1,0)</f>
        <v>1</v>
      </c>
      <c r="O571" s="30">
        <v>45973</v>
      </c>
      <c r="P571" s="3">
        <v>4</v>
      </c>
      <c r="Q571" s="3">
        <v>3</v>
      </c>
      <c r="R571" s="3">
        <v>3</v>
      </c>
      <c r="S571" s="3">
        <v>8</v>
      </c>
      <c r="T57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71" t="str">
        <f>IF(Table1[[#This Row],[Customer Rating]]&gt;=9,"Promoter",IF(Table1[[#This Row],[Customer Rating]]&gt;=7,"Passive","Detractor"))</f>
        <v>Passive</v>
      </c>
    </row>
    <row r="572" spans="1:21" ht="14.25" customHeight="1" x14ac:dyDescent="0.3">
      <c r="A572" s="3" t="s">
        <v>607</v>
      </c>
      <c r="B572" s="3" t="s">
        <v>29</v>
      </c>
      <c r="C572" s="3" t="s">
        <v>30</v>
      </c>
      <c r="D572" s="14">
        <v>45944</v>
      </c>
      <c r="E572" s="11">
        <f>1</f>
        <v>1</v>
      </c>
      <c r="F572" s="14">
        <v>45947</v>
      </c>
      <c r="G572" s="11">
        <f>IF(Table1[[#This Row],[Pre-Booking Date]]&lt;&gt;"",1,0)</f>
        <v>1</v>
      </c>
      <c r="H572" s="4">
        <v>45950</v>
      </c>
      <c r="I572" s="11">
        <f>IF(Table1[[#This Row],[Booking Date]]&lt;&gt;"",1,0)</f>
        <v>1</v>
      </c>
      <c r="J572" s="30">
        <v>45955</v>
      </c>
      <c r="K572" s="11">
        <f>IF(Table1[[#This Row],[Delivery Date]]&lt;&gt;"",1,0)</f>
        <v>1</v>
      </c>
      <c r="L572" s="3" t="s">
        <v>2</v>
      </c>
      <c r="M572" s="3">
        <f>IF(Table1[[#This Row],[Cancellation Status]]&lt;&gt;"Yes",1,0)</f>
        <v>1</v>
      </c>
      <c r="O572" s="30">
        <v>45966</v>
      </c>
      <c r="P572" s="3">
        <v>3</v>
      </c>
      <c r="Q572" s="3">
        <v>3</v>
      </c>
      <c r="R572" s="3">
        <v>5</v>
      </c>
      <c r="S572" s="3">
        <v>8</v>
      </c>
      <c r="T57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72" t="str">
        <f>IF(Table1[[#This Row],[Customer Rating]]&gt;=9,"Promoter",IF(Table1[[#This Row],[Customer Rating]]&gt;=7,"Passive","Detractor"))</f>
        <v>Passive</v>
      </c>
    </row>
    <row r="573" spans="1:21" ht="14.25" customHeight="1" x14ac:dyDescent="0.3">
      <c r="A573" s="3" t="s">
        <v>608</v>
      </c>
      <c r="B573" s="3" t="s">
        <v>29</v>
      </c>
      <c r="C573" s="3" t="s">
        <v>30</v>
      </c>
      <c r="D573" s="14">
        <v>45944</v>
      </c>
      <c r="E573" s="11">
        <f>1</f>
        <v>1</v>
      </c>
      <c r="F573" s="14">
        <v>45945</v>
      </c>
      <c r="G573" s="11">
        <f>IF(Table1[[#This Row],[Pre-Booking Date]]&lt;&gt;"",1,0)</f>
        <v>1</v>
      </c>
      <c r="H573" s="4">
        <v>45948</v>
      </c>
      <c r="I573" s="11">
        <f>IF(Table1[[#This Row],[Booking Date]]&lt;&gt;"",1,0)</f>
        <v>1</v>
      </c>
      <c r="J573" s="30">
        <v>45953</v>
      </c>
      <c r="K573" s="11">
        <f>IF(Table1[[#This Row],[Delivery Date]]&lt;&gt;"",1,0)</f>
        <v>1</v>
      </c>
      <c r="L573" s="3" t="s">
        <v>2</v>
      </c>
      <c r="M573" s="3">
        <f>IF(Table1[[#This Row],[Cancellation Status]]&lt;&gt;"Yes",1,0)</f>
        <v>1</v>
      </c>
      <c r="O573" s="30">
        <v>45979</v>
      </c>
      <c r="P573" s="3">
        <v>1</v>
      </c>
      <c r="Q573" s="3">
        <v>3</v>
      </c>
      <c r="R573" s="3">
        <v>5</v>
      </c>
      <c r="S573" s="3">
        <v>0</v>
      </c>
      <c r="T57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73" t="str">
        <f>IF(Table1[[#This Row],[Customer Rating]]&gt;=9,"Promoter",IF(Table1[[#This Row],[Customer Rating]]&gt;=7,"Passive","Detractor"))</f>
        <v>Detractor</v>
      </c>
    </row>
    <row r="574" spans="1:21" ht="14.25" customHeight="1" x14ac:dyDescent="0.3">
      <c r="A574" s="3" t="s">
        <v>609</v>
      </c>
      <c r="B574" s="3" t="s">
        <v>26</v>
      </c>
      <c r="C574" s="3" t="s">
        <v>27</v>
      </c>
      <c r="D574" s="14">
        <v>45944</v>
      </c>
      <c r="E574" s="11">
        <f>1</f>
        <v>1</v>
      </c>
      <c r="F574" s="14">
        <v>45945</v>
      </c>
      <c r="G574" s="11">
        <f>IF(Table1[[#This Row],[Pre-Booking Date]]&lt;&gt;"",1,0)</f>
        <v>1</v>
      </c>
      <c r="H574" s="4">
        <v>45946</v>
      </c>
      <c r="I574" s="11">
        <f>IF(Table1[[#This Row],[Booking Date]]&lt;&gt;"",1,0)</f>
        <v>1</v>
      </c>
      <c r="J574" s="30">
        <v>45950</v>
      </c>
      <c r="K574" s="11">
        <f>IF(Table1[[#This Row],[Delivery Date]]&lt;&gt;"",1,0)</f>
        <v>1</v>
      </c>
      <c r="L574" s="3" t="s">
        <v>2</v>
      </c>
      <c r="M574" s="3">
        <f>IF(Table1[[#This Row],[Cancellation Status]]&lt;&gt;"Yes",1,0)</f>
        <v>1</v>
      </c>
      <c r="O574" s="30">
        <v>45978</v>
      </c>
      <c r="P574" s="3">
        <v>1</v>
      </c>
      <c r="Q574" s="3">
        <v>1</v>
      </c>
      <c r="R574" s="3">
        <v>4</v>
      </c>
      <c r="S574" s="3">
        <v>5</v>
      </c>
      <c r="T57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74" t="str">
        <f>IF(Table1[[#This Row],[Customer Rating]]&gt;=9,"Promoter",IF(Table1[[#This Row],[Customer Rating]]&gt;=7,"Passive","Detractor"))</f>
        <v>Detractor</v>
      </c>
    </row>
    <row r="575" spans="1:21" ht="14.25" customHeight="1" x14ac:dyDescent="0.3">
      <c r="A575" s="3" t="s">
        <v>610</v>
      </c>
      <c r="B575" s="3" t="s">
        <v>32</v>
      </c>
      <c r="C575" s="3" t="s">
        <v>33</v>
      </c>
      <c r="D575" s="14">
        <v>45944</v>
      </c>
      <c r="E575" s="11">
        <f>1</f>
        <v>1</v>
      </c>
      <c r="G575" s="12">
        <f>IF(Table1[[#This Row],[Pre-Booking Date]]&lt;&gt;"",1,0)</f>
        <v>0</v>
      </c>
      <c r="I575" s="12">
        <f>IF(Table1[[#This Row],[Booking Date]]&lt;&gt;"",1,0)</f>
        <v>0</v>
      </c>
      <c r="K575" s="12">
        <f>IF(Table1[[#This Row],[Delivery Date]]&lt;&gt;"",1,0)</f>
        <v>0</v>
      </c>
      <c r="L575" s="3" t="s">
        <v>3</v>
      </c>
      <c r="M575" s="3">
        <f>IF(Table1[[#This Row],[Cancellation Status]]&lt;&gt;"Yes",1,0)</f>
        <v>0</v>
      </c>
      <c r="N575" s="3" t="s">
        <v>37</v>
      </c>
      <c r="T57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75" t="str">
        <f>IF(Table1[[#This Row],[Customer Rating]]&gt;=9,"Promoter",IF(Table1[[#This Row],[Customer Rating]]&gt;=7,"Passive","Detractor"))</f>
        <v>Detractor</v>
      </c>
    </row>
    <row r="576" spans="1:21" ht="14.25" customHeight="1" x14ac:dyDescent="0.3">
      <c r="A576" s="3" t="s">
        <v>611</v>
      </c>
      <c r="B576" s="3" t="s">
        <v>26</v>
      </c>
      <c r="C576" s="3" t="s">
        <v>27</v>
      </c>
      <c r="D576" s="14">
        <v>45944</v>
      </c>
      <c r="E576" s="11">
        <f>1</f>
        <v>1</v>
      </c>
      <c r="F576" s="14">
        <v>45947</v>
      </c>
      <c r="G576" s="11">
        <f>IF(Table1[[#This Row],[Pre-Booking Date]]&lt;&gt;"",1,0)</f>
        <v>1</v>
      </c>
      <c r="H576" s="4">
        <v>45949</v>
      </c>
      <c r="I576" s="11">
        <f>IF(Table1[[#This Row],[Booking Date]]&lt;&gt;"",1,0)</f>
        <v>1</v>
      </c>
      <c r="J576" s="30">
        <v>45954</v>
      </c>
      <c r="K576" s="11">
        <f>IF(Table1[[#This Row],[Delivery Date]]&lt;&gt;"",1,0)</f>
        <v>1</v>
      </c>
      <c r="L576" s="3" t="s">
        <v>2</v>
      </c>
      <c r="M576" s="3">
        <f>IF(Table1[[#This Row],[Cancellation Status]]&lt;&gt;"Yes",1,0)</f>
        <v>1</v>
      </c>
      <c r="O576" s="30">
        <v>45974</v>
      </c>
      <c r="P576" s="3">
        <v>3</v>
      </c>
      <c r="Q576" s="3">
        <v>2</v>
      </c>
      <c r="R576" s="3">
        <v>5</v>
      </c>
      <c r="S576" s="3">
        <v>2</v>
      </c>
      <c r="T57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76" t="str">
        <f>IF(Table1[[#This Row],[Customer Rating]]&gt;=9,"Promoter",IF(Table1[[#This Row],[Customer Rating]]&gt;=7,"Passive","Detractor"))</f>
        <v>Detractor</v>
      </c>
    </row>
    <row r="577" spans="1:21" ht="14.25" customHeight="1" x14ac:dyDescent="0.3">
      <c r="A577" s="3" t="s">
        <v>612</v>
      </c>
      <c r="B577" s="3" t="s">
        <v>29</v>
      </c>
      <c r="C577" s="3" t="s">
        <v>33</v>
      </c>
      <c r="D577" s="14">
        <v>45944</v>
      </c>
      <c r="E577" s="11">
        <f>1</f>
        <v>1</v>
      </c>
      <c r="G577" s="12">
        <f>IF(Table1[[#This Row],[Pre-Booking Date]]&lt;&gt;"",1,0)</f>
        <v>0</v>
      </c>
      <c r="I577" s="12">
        <f>IF(Table1[[#This Row],[Booking Date]]&lt;&gt;"",1,0)</f>
        <v>0</v>
      </c>
      <c r="K577" s="12">
        <f>IF(Table1[[#This Row],[Delivery Date]]&lt;&gt;"",1,0)</f>
        <v>0</v>
      </c>
      <c r="L577" s="3" t="s">
        <v>3</v>
      </c>
      <c r="M577" s="3">
        <f>IF(Table1[[#This Row],[Cancellation Status]]&lt;&gt;"Yes",1,0)</f>
        <v>0</v>
      </c>
      <c r="N577" s="3" t="s">
        <v>55</v>
      </c>
      <c r="T57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77" t="str">
        <f>IF(Table1[[#This Row],[Customer Rating]]&gt;=9,"Promoter",IF(Table1[[#This Row],[Customer Rating]]&gt;=7,"Passive","Detractor"))</f>
        <v>Detractor</v>
      </c>
    </row>
    <row r="578" spans="1:21" ht="14.25" customHeight="1" x14ac:dyDescent="0.3">
      <c r="A578" s="3" t="s">
        <v>613</v>
      </c>
      <c r="B578" s="3" t="s">
        <v>32</v>
      </c>
      <c r="C578" s="3" t="s">
        <v>33</v>
      </c>
      <c r="D578" s="14">
        <v>45944</v>
      </c>
      <c r="E578" s="11">
        <f>1</f>
        <v>1</v>
      </c>
      <c r="G578" s="12">
        <f>IF(Table1[[#This Row],[Pre-Booking Date]]&lt;&gt;"",1,0)</f>
        <v>0</v>
      </c>
      <c r="I578" s="12">
        <f>IF(Table1[[#This Row],[Booking Date]]&lt;&gt;"",1,0)</f>
        <v>0</v>
      </c>
      <c r="K578" s="12">
        <f>IF(Table1[[#This Row],[Delivery Date]]&lt;&gt;"",1,0)</f>
        <v>0</v>
      </c>
      <c r="L578" s="3" t="s">
        <v>3</v>
      </c>
      <c r="M578" s="3">
        <f>IF(Table1[[#This Row],[Cancellation Status]]&lt;&gt;"Yes",1,0)</f>
        <v>0</v>
      </c>
      <c r="N578" s="3" t="s">
        <v>55</v>
      </c>
      <c r="T57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78" t="str">
        <f>IF(Table1[[#This Row],[Customer Rating]]&gt;=9,"Promoter",IF(Table1[[#This Row],[Customer Rating]]&gt;=7,"Passive","Detractor"))</f>
        <v>Detractor</v>
      </c>
    </row>
    <row r="579" spans="1:21" ht="14.25" customHeight="1" x14ac:dyDescent="0.3">
      <c r="A579" s="3" t="s">
        <v>614</v>
      </c>
      <c r="B579" s="3" t="s">
        <v>39</v>
      </c>
      <c r="C579" s="3" t="s">
        <v>27</v>
      </c>
      <c r="D579" s="14">
        <v>45944</v>
      </c>
      <c r="E579" s="11">
        <f>1</f>
        <v>1</v>
      </c>
      <c r="F579" s="14">
        <v>45946</v>
      </c>
      <c r="G579" s="11">
        <f>IF(Table1[[#This Row],[Pre-Booking Date]]&lt;&gt;"",1,0)</f>
        <v>1</v>
      </c>
      <c r="H579" s="4">
        <v>45949</v>
      </c>
      <c r="I579" s="11">
        <f>IF(Table1[[#This Row],[Booking Date]]&lt;&gt;"",1,0)</f>
        <v>1</v>
      </c>
      <c r="J579" s="30">
        <v>45951</v>
      </c>
      <c r="K579" s="11">
        <f>IF(Table1[[#This Row],[Delivery Date]]&lt;&gt;"",1,0)</f>
        <v>1</v>
      </c>
      <c r="L579" s="3" t="s">
        <v>2</v>
      </c>
      <c r="M579" s="3">
        <f>IF(Table1[[#This Row],[Cancellation Status]]&lt;&gt;"Yes",1,0)</f>
        <v>1</v>
      </c>
      <c r="O579" s="30">
        <v>45967</v>
      </c>
      <c r="P579" s="3">
        <v>2</v>
      </c>
      <c r="Q579" s="3">
        <v>3</v>
      </c>
      <c r="R579" s="3">
        <v>2</v>
      </c>
      <c r="S579" s="3">
        <v>1</v>
      </c>
      <c r="T57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79" t="str">
        <f>IF(Table1[[#This Row],[Customer Rating]]&gt;=9,"Promoter",IF(Table1[[#This Row],[Customer Rating]]&gt;=7,"Passive","Detractor"))</f>
        <v>Detractor</v>
      </c>
    </row>
    <row r="580" spans="1:21" ht="14.25" customHeight="1" x14ac:dyDescent="0.3">
      <c r="A580" s="3" t="s">
        <v>615</v>
      </c>
      <c r="B580" s="3" t="s">
        <v>29</v>
      </c>
      <c r="C580" s="3" t="s">
        <v>27</v>
      </c>
      <c r="D580" s="14">
        <v>45944</v>
      </c>
      <c r="E580" s="11">
        <f>1</f>
        <v>1</v>
      </c>
      <c r="F580" s="14">
        <v>45948</v>
      </c>
      <c r="G580" s="11">
        <f>IF(Table1[[#This Row],[Pre-Booking Date]]&lt;&gt;"",1,0)</f>
        <v>1</v>
      </c>
      <c r="H580" s="4">
        <v>45951</v>
      </c>
      <c r="I580" s="11">
        <f>IF(Table1[[#This Row],[Booking Date]]&lt;&gt;"",1,0)</f>
        <v>1</v>
      </c>
      <c r="J580" s="30">
        <v>45956</v>
      </c>
      <c r="K580" s="11">
        <f>IF(Table1[[#This Row],[Delivery Date]]&lt;&gt;"",1,0)</f>
        <v>1</v>
      </c>
      <c r="L580" s="3" t="s">
        <v>2</v>
      </c>
      <c r="M580" s="3">
        <f>IF(Table1[[#This Row],[Cancellation Status]]&lt;&gt;"Yes",1,0)</f>
        <v>1</v>
      </c>
      <c r="O580" s="30">
        <v>45971</v>
      </c>
      <c r="P580" s="3">
        <v>4</v>
      </c>
      <c r="Q580" s="3">
        <v>3</v>
      </c>
      <c r="R580" s="3">
        <v>5</v>
      </c>
      <c r="S580" s="3">
        <v>5</v>
      </c>
      <c r="T58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80" t="str">
        <f>IF(Table1[[#This Row],[Customer Rating]]&gt;=9,"Promoter",IF(Table1[[#This Row],[Customer Rating]]&gt;=7,"Passive","Detractor"))</f>
        <v>Detractor</v>
      </c>
    </row>
    <row r="581" spans="1:21" ht="14.25" customHeight="1" x14ac:dyDescent="0.3">
      <c r="A581" s="3" t="s">
        <v>616</v>
      </c>
      <c r="B581" s="3" t="s">
        <v>32</v>
      </c>
      <c r="C581" s="3" t="s">
        <v>27</v>
      </c>
      <c r="D581" s="14">
        <v>45944</v>
      </c>
      <c r="E581" s="11">
        <f>1</f>
        <v>1</v>
      </c>
      <c r="F581" s="14">
        <v>45949</v>
      </c>
      <c r="G581" s="11">
        <f>IF(Table1[[#This Row],[Pre-Booking Date]]&lt;&gt;"",1,0)</f>
        <v>1</v>
      </c>
      <c r="H581" s="4">
        <v>45954</v>
      </c>
      <c r="I581" s="11">
        <f>IF(Table1[[#This Row],[Booking Date]]&lt;&gt;"",1,0)</f>
        <v>1</v>
      </c>
      <c r="J581" s="30">
        <v>45957</v>
      </c>
      <c r="K581" s="11">
        <f>IF(Table1[[#This Row],[Delivery Date]]&lt;&gt;"",1,0)</f>
        <v>1</v>
      </c>
      <c r="L581" s="3" t="s">
        <v>2</v>
      </c>
      <c r="M581" s="3">
        <f>IF(Table1[[#This Row],[Cancellation Status]]&lt;&gt;"Yes",1,0)</f>
        <v>1</v>
      </c>
      <c r="O581" s="30">
        <v>45984</v>
      </c>
      <c r="P581" s="3">
        <v>5</v>
      </c>
      <c r="Q581" s="3">
        <v>5</v>
      </c>
      <c r="R581" s="3">
        <v>3</v>
      </c>
      <c r="S581" s="3">
        <v>6</v>
      </c>
      <c r="T58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81" t="str">
        <f>IF(Table1[[#This Row],[Customer Rating]]&gt;=9,"Promoter",IF(Table1[[#This Row],[Customer Rating]]&gt;=7,"Passive","Detractor"))</f>
        <v>Detractor</v>
      </c>
    </row>
    <row r="582" spans="1:21" ht="14.25" customHeight="1" x14ac:dyDescent="0.3">
      <c r="A582" s="3" t="s">
        <v>617</v>
      </c>
      <c r="B582" s="3" t="s">
        <v>26</v>
      </c>
      <c r="C582" s="3" t="s">
        <v>30</v>
      </c>
      <c r="D582" s="14">
        <v>45944</v>
      </c>
      <c r="E582" s="11">
        <f>1</f>
        <v>1</v>
      </c>
      <c r="F582" s="14">
        <v>45945</v>
      </c>
      <c r="G582" s="11">
        <f>IF(Table1[[#This Row],[Pre-Booking Date]]&lt;&gt;"",1,0)</f>
        <v>1</v>
      </c>
      <c r="H582" s="4">
        <v>45947</v>
      </c>
      <c r="I582" s="11">
        <f>IF(Table1[[#This Row],[Booking Date]]&lt;&gt;"",1,0)</f>
        <v>1</v>
      </c>
      <c r="J582" s="30">
        <v>45951</v>
      </c>
      <c r="K582" s="11">
        <f>IF(Table1[[#This Row],[Delivery Date]]&lt;&gt;"",1,0)</f>
        <v>1</v>
      </c>
      <c r="L582" s="3" t="s">
        <v>2</v>
      </c>
      <c r="M582" s="3">
        <f>IF(Table1[[#This Row],[Cancellation Status]]&lt;&gt;"Yes",1,0)</f>
        <v>1</v>
      </c>
      <c r="O582" s="30">
        <v>45962</v>
      </c>
      <c r="P582" s="3">
        <v>1</v>
      </c>
      <c r="Q582" s="3">
        <v>2</v>
      </c>
      <c r="R582" s="3">
        <v>4</v>
      </c>
      <c r="S582" s="3">
        <v>7</v>
      </c>
      <c r="T58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82" t="str">
        <f>IF(Table1[[#This Row],[Customer Rating]]&gt;=9,"Promoter",IF(Table1[[#This Row],[Customer Rating]]&gt;=7,"Passive","Detractor"))</f>
        <v>Passive</v>
      </c>
    </row>
    <row r="583" spans="1:21" ht="14.25" customHeight="1" x14ac:dyDescent="0.3">
      <c r="A583" s="3" t="s">
        <v>618</v>
      </c>
      <c r="B583" s="3" t="s">
        <v>32</v>
      </c>
      <c r="C583" s="3" t="s">
        <v>27</v>
      </c>
      <c r="D583" s="14">
        <v>45944</v>
      </c>
      <c r="E583" s="11">
        <f>1</f>
        <v>1</v>
      </c>
      <c r="F583" s="14">
        <v>45947</v>
      </c>
      <c r="G583" s="11">
        <f>IF(Table1[[#This Row],[Pre-Booking Date]]&lt;&gt;"",1,0)</f>
        <v>1</v>
      </c>
      <c r="H583" s="4">
        <v>45950</v>
      </c>
      <c r="I583" s="11">
        <f>IF(Table1[[#This Row],[Booking Date]]&lt;&gt;"",1,0)</f>
        <v>1</v>
      </c>
      <c r="J583" s="30">
        <v>45954</v>
      </c>
      <c r="K583" s="11">
        <f>IF(Table1[[#This Row],[Delivery Date]]&lt;&gt;"",1,0)</f>
        <v>1</v>
      </c>
      <c r="L583" s="3" t="s">
        <v>2</v>
      </c>
      <c r="M583" s="3">
        <f>IF(Table1[[#This Row],[Cancellation Status]]&lt;&gt;"Yes",1,0)</f>
        <v>1</v>
      </c>
      <c r="O583" s="30">
        <v>45984</v>
      </c>
      <c r="P583" s="3">
        <v>3</v>
      </c>
      <c r="Q583" s="3">
        <v>3</v>
      </c>
      <c r="R583" s="3">
        <v>4</v>
      </c>
      <c r="S583" s="3">
        <v>8</v>
      </c>
      <c r="T58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83" t="str">
        <f>IF(Table1[[#This Row],[Customer Rating]]&gt;=9,"Promoter",IF(Table1[[#This Row],[Customer Rating]]&gt;=7,"Passive","Detractor"))</f>
        <v>Passive</v>
      </c>
    </row>
    <row r="584" spans="1:21" ht="14.25" customHeight="1" x14ac:dyDescent="0.3">
      <c r="A584" s="3" t="s">
        <v>619</v>
      </c>
      <c r="B584" s="3" t="s">
        <v>29</v>
      </c>
      <c r="C584" s="3" t="s">
        <v>27</v>
      </c>
      <c r="D584" s="14">
        <v>45944</v>
      </c>
      <c r="E584" s="11">
        <f>1</f>
        <v>1</v>
      </c>
      <c r="F584" s="14">
        <v>45947</v>
      </c>
      <c r="G584" s="11">
        <f>IF(Table1[[#This Row],[Pre-Booking Date]]&lt;&gt;"",1,0)</f>
        <v>1</v>
      </c>
      <c r="H584" s="4">
        <v>45951</v>
      </c>
      <c r="I584" s="11">
        <f>IF(Table1[[#This Row],[Booking Date]]&lt;&gt;"",1,0)</f>
        <v>1</v>
      </c>
      <c r="J584" s="30">
        <v>45956</v>
      </c>
      <c r="K584" s="11">
        <f>IF(Table1[[#This Row],[Delivery Date]]&lt;&gt;"",1,0)</f>
        <v>1</v>
      </c>
      <c r="L584" s="3" t="s">
        <v>3</v>
      </c>
      <c r="M584" s="3">
        <f>IF(Table1[[#This Row],[Cancellation Status]]&lt;&gt;"Yes",1,0)</f>
        <v>0</v>
      </c>
      <c r="N584" s="3" t="s">
        <v>42</v>
      </c>
      <c r="P584" s="3">
        <v>3</v>
      </c>
      <c r="Q584" s="3">
        <v>4</v>
      </c>
      <c r="R584" s="3">
        <v>5</v>
      </c>
      <c r="T58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84" t="str">
        <f>IF(Table1[[#This Row],[Customer Rating]]&gt;=9,"Promoter",IF(Table1[[#This Row],[Customer Rating]]&gt;=7,"Passive","Detractor"))</f>
        <v>Detractor</v>
      </c>
    </row>
    <row r="585" spans="1:21" ht="14.25" customHeight="1" x14ac:dyDescent="0.3">
      <c r="A585" s="3" t="s">
        <v>620</v>
      </c>
      <c r="B585" s="3" t="s">
        <v>29</v>
      </c>
      <c r="C585" s="3" t="s">
        <v>33</v>
      </c>
      <c r="D585" s="14">
        <v>45944</v>
      </c>
      <c r="E585" s="11">
        <f>1</f>
        <v>1</v>
      </c>
      <c r="G585" s="12">
        <f>IF(Table1[[#This Row],[Pre-Booking Date]]&lt;&gt;"",1,0)</f>
        <v>0</v>
      </c>
      <c r="I585" s="12">
        <f>IF(Table1[[#This Row],[Booking Date]]&lt;&gt;"",1,0)</f>
        <v>0</v>
      </c>
      <c r="K585" s="12">
        <f>IF(Table1[[#This Row],[Delivery Date]]&lt;&gt;"",1,0)</f>
        <v>0</v>
      </c>
      <c r="L585" s="3" t="s">
        <v>3</v>
      </c>
      <c r="M585" s="3">
        <f>IF(Table1[[#This Row],[Cancellation Status]]&lt;&gt;"Yes",1,0)</f>
        <v>0</v>
      </c>
      <c r="N585" s="3" t="s">
        <v>37</v>
      </c>
      <c r="T58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85" t="str">
        <f>IF(Table1[[#This Row],[Customer Rating]]&gt;=9,"Promoter",IF(Table1[[#This Row],[Customer Rating]]&gt;=7,"Passive","Detractor"))</f>
        <v>Detractor</v>
      </c>
    </row>
    <row r="586" spans="1:21" ht="14.25" customHeight="1" x14ac:dyDescent="0.3">
      <c r="A586" s="3" t="s">
        <v>621</v>
      </c>
      <c r="B586" s="3" t="s">
        <v>26</v>
      </c>
      <c r="C586" s="3" t="s">
        <v>30</v>
      </c>
      <c r="D586" s="14">
        <v>45944</v>
      </c>
      <c r="E586" s="11">
        <f>1</f>
        <v>1</v>
      </c>
      <c r="F586" s="14">
        <v>45949</v>
      </c>
      <c r="G586" s="11">
        <f>IF(Table1[[#This Row],[Pre-Booking Date]]&lt;&gt;"",1,0)</f>
        <v>1</v>
      </c>
      <c r="H586" s="4">
        <v>45954</v>
      </c>
      <c r="I586" s="11">
        <f>IF(Table1[[#This Row],[Booking Date]]&lt;&gt;"",1,0)</f>
        <v>1</v>
      </c>
      <c r="J586" s="30">
        <v>45958</v>
      </c>
      <c r="K586" s="11">
        <f>IF(Table1[[#This Row],[Delivery Date]]&lt;&gt;"",1,0)</f>
        <v>1</v>
      </c>
      <c r="L586" s="3" t="s">
        <v>2</v>
      </c>
      <c r="M586" s="3">
        <f>IF(Table1[[#This Row],[Cancellation Status]]&lt;&gt;"Yes",1,0)</f>
        <v>1</v>
      </c>
      <c r="O586" s="30">
        <v>45969</v>
      </c>
      <c r="P586" s="3">
        <v>5</v>
      </c>
      <c r="Q586" s="3">
        <v>5</v>
      </c>
      <c r="R586" s="3">
        <v>4</v>
      </c>
      <c r="S586" s="3">
        <v>7</v>
      </c>
      <c r="T58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86" t="str">
        <f>IF(Table1[[#This Row],[Customer Rating]]&gt;=9,"Promoter",IF(Table1[[#This Row],[Customer Rating]]&gt;=7,"Passive","Detractor"))</f>
        <v>Passive</v>
      </c>
    </row>
    <row r="587" spans="1:21" ht="14.25" customHeight="1" x14ac:dyDescent="0.3">
      <c r="A587" s="3" t="s">
        <v>622</v>
      </c>
      <c r="B587" s="3" t="s">
        <v>39</v>
      </c>
      <c r="C587" s="3" t="s">
        <v>30</v>
      </c>
      <c r="D587" s="14">
        <v>45944</v>
      </c>
      <c r="E587" s="11">
        <f>1</f>
        <v>1</v>
      </c>
      <c r="F587" s="14">
        <v>45947</v>
      </c>
      <c r="G587" s="11">
        <f>IF(Table1[[#This Row],[Pre-Booking Date]]&lt;&gt;"",1,0)</f>
        <v>1</v>
      </c>
      <c r="H587" s="4">
        <v>45950</v>
      </c>
      <c r="I587" s="11">
        <f>IF(Table1[[#This Row],[Booking Date]]&lt;&gt;"",1,0)</f>
        <v>1</v>
      </c>
      <c r="J587" s="30">
        <v>45954</v>
      </c>
      <c r="K587" s="11">
        <f>IF(Table1[[#This Row],[Delivery Date]]&lt;&gt;"",1,0)</f>
        <v>1</v>
      </c>
      <c r="L587" s="3" t="s">
        <v>2</v>
      </c>
      <c r="M587" s="3">
        <f>IF(Table1[[#This Row],[Cancellation Status]]&lt;&gt;"Yes",1,0)</f>
        <v>1</v>
      </c>
      <c r="O587" s="30">
        <v>45977</v>
      </c>
      <c r="P587" s="3">
        <v>3</v>
      </c>
      <c r="Q587" s="3">
        <v>3</v>
      </c>
      <c r="R587" s="3">
        <v>4</v>
      </c>
      <c r="S587" s="3">
        <v>4</v>
      </c>
      <c r="T58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87" t="str">
        <f>IF(Table1[[#This Row],[Customer Rating]]&gt;=9,"Promoter",IF(Table1[[#This Row],[Customer Rating]]&gt;=7,"Passive","Detractor"))</f>
        <v>Detractor</v>
      </c>
    </row>
    <row r="588" spans="1:21" ht="14.25" customHeight="1" x14ac:dyDescent="0.3">
      <c r="A588" s="3" t="s">
        <v>623</v>
      </c>
      <c r="B588" s="3" t="s">
        <v>26</v>
      </c>
      <c r="C588" s="3" t="s">
        <v>33</v>
      </c>
      <c r="D588" s="14">
        <v>45944</v>
      </c>
      <c r="E588" s="11">
        <f>1</f>
        <v>1</v>
      </c>
      <c r="G588" s="12">
        <f>IF(Table1[[#This Row],[Pre-Booking Date]]&lt;&gt;"",1,0)</f>
        <v>0</v>
      </c>
      <c r="I588" s="12">
        <f>IF(Table1[[#This Row],[Booking Date]]&lt;&gt;"",1,0)</f>
        <v>0</v>
      </c>
      <c r="K588" s="12">
        <f>IF(Table1[[#This Row],[Delivery Date]]&lt;&gt;"",1,0)</f>
        <v>0</v>
      </c>
      <c r="L588" s="3" t="s">
        <v>3</v>
      </c>
      <c r="M588" s="3">
        <f>IF(Table1[[#This Row],[Cancellation Status]]&lt;&gt;"Yes",1,0)</f>
        <v>0</v>
      </c>
      <c r="N588" s="3" t="s">
        <v>52</v>
      </c>
      <c r="T58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88" t="str">
        <f>IF(Table1[[#This Row],[Customer Rating]]&gt;=9,"Promoter",IF(Table1[[#This Row],[Customer Rating]]&gt;=7,"Passive","Detractor"))</f>
        <v>Detractor</v>
      </c>
    </row>
    <row r="589" spans="1:21" ht="14.25" customHeight="1" x14ac:dyDescent="0.3">
      <c r="A589" s="3" t="s">
        <v>624</v>
      </c>
      <c r="B589" s="3" t="s">
        <v>26</v>
      </c>
      <c r="C589" s="3" t="s">
        <v>27</v>
      </c>
      <c r="D589" s="14">
        <v>45944</v>
      </c>
      <c r="E589" s="11">
        <f>1</f>
        <v>1</v>
      </c>
      <c r="F589" s="14">
        <v>45947</v>
      </c>
      <c r="G589" s="11">
        <f>IF(Table1[[#This Row],[Pre-Booking Date]]&lt;&gt;"",1,0)</f>
        <v>1</v>
      </c>
      <c r="H589" s="4">
        <v>45951</v>
      </c>
      <c r="I589" s="11">
        <f>IF(Table1[[#This Row],[Booking Date]]&lt;&gt;"",1,0)</f>
        <v>1</v>
      </c>
      <c r="J589" s="30">
        <v>45957</v>
      </c>
      <c r="K589" s="11">
        <f>IF(Table1[[#This Row],[Delivery Date]]&lt;&gt;"",1,0)</f>
        <v>1</v>
      </c>
      <c r="L589" s="3" t="s">
        <v>2</v>
      </c>
      <c r="M589" s="3">
        <f>IF(Table1[[#This Row],[Cancellation Status]]&lt;&gt;"Yes",1,0)</f>
        <v>1</v>
      </c>
      <c r="O589" s="30">
        <v>45967</v>
      </c>
      <c r="P589" s="3">
        <v>3</v>
      </c>
      <c r="Q589" s="3">
        <v>4</v>
      </c>
      <c r="R589" s="3">
        <v>6</v>
      </c>
      <c r="S589" s="3">
        <v>3</v>
      </c>
      <c r="T58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89" t="str">
        <f>IF(Table1[[#This Row],[Customer Rating]]&gt;=9,"Promoter",IF(Table1[[#This Row],[Customer Rating]]&gt;=7,"Passive","Detractor"))</f>
        <v>Detractor</v>
      </c>
    </row>
    <row r="590" spans="1:21" ht="14.25" customHeight="1" x14ac:dyDescent="0.3">
      <c r="A590" s="3" t="s">
        <v>625</v>
      </c>
      <c r="B590" s="3" t="s">
        <v>32</v>
      </c>
      <c r="C590" s="3" t="s">
        <v>27</v>
      </c>
      <c r="D590" s="14">
        <v>45944</v>
      </c>
      <c r="E590" s="11">
        <f>1</f>
        <v>1</v>
      </c>
      <c r="F590" s="14">
        <v>45947</v>
      </c>
      <c r="G590" s="11">
        <f>IF(Table1[[#This Row],[Pre-Booking Date]]&lt;&gt;"",1,0)</f>
        <v>1</v>
      </c>
      <c r="H590" s="4">
        <v>45951</v>
      </c>
      <c r="I590" s="11">
        <f>IF(Table1[[#This Row],[Booking Date]]&lt;&gt;"",1,0)</f>
        <v>1</v>
      </c>
      <c r="J590" s="30">
        <v>45957</v>
      </c>
      <c r="K590" s="11">
        <f>IF(Table1[[#This Row],[Delivery Date]]&lt;&gt;"",1,0)</f>
        <v>1</v>
      </c>
      <c r="L590" s="3" t="s">
        <v>2</v>
      </c>
      <c r="M590" s="3">
        <f>IF(Table1[[#This Row],[Cancellation Status]]&lt;&gt;"Yes",1,0)</f>
        <v>1</v>
      </c>
      <c r="O590" s="30">
        <v>45975</v>
      </c>
      <c r="P590" s="3">
        <v>3</v>
      </c>
      <c r="Q590" s="3">
        <v>4</v>
      </c>
      <c r="R590" s="3">
        <v>6</v>
      </c>
      <c r="S590" s="3">
        <v>4</v>
      </c>
      <c r="T59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90" t="str">
        <f>IF(Table1[[#This Row],[Customer Rating]]&gt;=9,"Promoter",IF(Table1[[#This Row],[Customer Rating]]&gt;=7,"Passive","Detractor"))</f>
        <v>Detractor</v>
      </c>
    </row>
    <row r="591" spans="1:21" ht="14.25" customHeight="1" x14ac:dyDescent="0.3">
      <c r="A591" s="3" t="s">
        <v>626</v>
      </c>
      <c r="B591" s="3" t="s">
        <v>26</v>
      </c>
      <c r="C591" s="3" t="s">
        <v>27</v>
      </c>
      <c r="D591" s="14">
        <v>45944</v>
      </c>
      <c r="E591" s="11">
        <f>1</f>
        <v>1</v>
      </c>
      <c r="F591" s="14">
        <v>45947</v>
      </c>
      <c r="G591" s="11">
        <f>IF(Table1[[#This Row],[Pre-Booking Date]]&lt;&gt;"",1,0)</f>
        <v>1</v>
      </c>
      <c r="H591" s="4">
        <v>45952</v>
      </c>
      <c r="I591" s="11">
        <f>IF(Table1[[#This Row],[Booking Date]]&lt;&gt;"",1,0)</f>
        <v>1</v>
      </c>
      <c r="J591" s="30">
        <v>45956</v>
      </c>
      <c r="K591" s="11">
        <f>IF(Table1[[#This Row],[Delivery Date]]&lt;&gt;"",1,0)</f>
        <v>1</v>
      </c>
      <c r="L591" s="3" t="s">
        <v>2</v>
      </c>
      <c r="M591" s="3">
        <f>IF(Table1[[#This Row],[Cancellation Status]]&lt;&gt;"Yes",1,0)</f>
        <v>1</v>
      </c>
      <c r="O591" s="30">
        <v>45969</v>
      </c>
      <c r="P591" s="3">
        <v>3</v>
      </c>
      <c r="Q591" s="3">
        <v>5</v>
      </c>
      <c r="R591" s="3">
        <v>4</v>
      </c>
      <c r="S591" s="3">
        <v>9</v>
      </c>
      <c r="T59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91" t="str">
        <f>IF(Table1[[#This Row],[Customer Rating]]&gt;=9,"Promoter",IF(Table1[[#This Row],[Customer Rating]]&gt;=7,"Passive","Detractor"))</f>
        <v>Promoter</v>
      </c>
    </row>
    <row r="592" spans="1:21" ht="14.25" customHeight="1" x14ac:dyDescent="0.3">
      <c r="A592" s="3" t="s">
        <v>627</v>
      </c>
      <c r="B592" s="3" t="s">
        <v>29</v>
      </c>
      <c r="C592" s="3" t="s">
        <v>27</v>
      </c>
      <c r="D592" s="14">
        <v>45944</v>
      </c>
      <c r="E592" s="11">
        <f>1</f>
        <v>1</v>
      </c>
      <c r="F592" s="14">
        <v>45947</v>
      </c>
      <c r="G592" s="11">
        <f>IF(Table1[[#This Row],[Pre-Booking Date]]&lt;&gt;"",1,0)</f>
        <v>1</v>
      </c>
      <c r="H592" s="4">
        <v>45948</v>
      </c>
      <c r="I592" s="11">
        <f>IF(Table1[[#This Row],[Booking Date]]&lt;&gt;"",1,0)</f>
        <v>1</v>
      </c>
      <c r="J592" s="30">
        <v>45951</v>
      </c>
      <c r="K592" s="11">
        <f>IF(Table1[[#This Row],[Delivery Date]]&lt;&gt;"",1,0)</f>
        <v>1</v>
      </c>
      <c r="L592" s="3" t="s">
        <v>3</v>
      </c>
      <c r="M592" s="3">
        <f>IF(Table1[[#This Row],[Cancellation Status]]&lt;&gt;"Yes",1,0)</f>
        <v>0</v>
      </c>
      <c r="N592" s="3" t="s">
        <v>34</v>
      </c>
      <c r="P592" s="3">
        <v>3</v>
      </c>
      <c r="Q592" s="3">
        <v>1</v>
      </c>
      <c r="R592" s="3">
        <v>3</v>
      </c>
      <c r="T59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92" t="str">
        <f>IF(Table1[[#This Row],[Customer Rating]]&gt;=9,"Promoter",IF(Table1[[#This Row],[Customer Rating]]&gt;=7,"Passive","Detractor"))</f>
        <v>Detractor</v>
      </c>
    </row>
    <row r="593" spans="1:21" ht="14.25" customHeight="1" x14ac:dyDescent="0.3">
      <c r="A593" s="3" t="s">
        <v>628</v>
      </c>
      <c r="B593" s="3" t="s">
        <v>29</v>
      </c>
      <c r="C593" s="3" t="s">
        <v>30</v>
      </c>
      <c r="D593" s="14">
        <v>45944</v>
      </c>
      <c r="E593" s="11">
        <f>1</f>
        <v>1</v>
      </c>
      <c r="F593" s="14">
        <v>45948</v>
      </c>
      <c r="G593" s="11">
        <f>IF(Table1[[#This Row],[Pre-Booking Date]]&lt;&gt;"",1,0)</f>
        <v>1</v>
      </c>
      <c r="H593" s="4">
        <v>45949</v>
      </c>
      <c r="I593" s="11">
        <f>IF(Table1[[#This Row],[Booking Date]]&lt;&gt;"",1,0)</f>
        <v>1</v>
      </c>
      <c r="J593" s="30">
        <v>45956</v>
      </c>
      <c r="K593" s="11">
        <f>IF(Table1[[#This Row],[Delivery Date]]&lt;&gt;"",1,0)</f>
        <v>1</v>
      </c>
      <c r="L593" s="3" t="s">
        <v>3</v>
      </c>
      <c r="M593" s="3">
        <f>IF(Table1[[#This Row],[Cancellation Status]]&lt;&gt;"Yes",1,0)</f>
        <v>0</v>
      </c>
      <c r="N593" s="3" t="s">
        <v>52</v>
      </c>
      <c r="P593" s="3">
        <v>4</v>
      </c>
      <c r="Q593" s="3">
        <v>1</v>
      </c>
      <c r="R593" s="3">
        <v>7</v>
      </c>
      <c r="T59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93" t="str">
        <f>IF(Table1[[#This Row],[Customer Rating]]&gt;=9,"Promoter",IF(Table1[[#This Row],[Customer Rating]]&gt;=7,"Passive","Detractor"))</f>
        <v>Detractor</v>
      </c>
    </row>
    <row r="594" spans="1:21" ht="14.25" customHeight="1" x14ac:dyDescent="0.3">
      <c r="A594" s="3" t="s">
        <v>629</v>
      </c>
      <c r="B594" s="3" t="s">
        <v>26</v>
      </c>
      <c r="C594" s="3" t="s">
        <v>27</v>
      </c>
      <c r="D594" s="14">
        <v>45944</v>
      </c>
      <c r="E594" s="11">
        <f>1</f>
        <v>1</v>
      </c>
      <c r="F594" s="14">
        <v>45947</v>
      </c>
      <c r="G594" s="11">
        <f>IF(Table1[[#This Row],[Pre-Booking Date]]&lt;&gt;"",1,0)</f>
        <v>1</v>
      </c>
      <c r="H594" s="4">
        <v>45949</v>
      </c>
      <c r="I594" s="11">
        <f>IF(Table1[[#This Row],[Booking Date]]&lt;&gt;"",1,0)</f>
        <v>1</v>
      </c>
      <c r="J594" s="30">
        <v>45951</v>
      </c>
      <c r="K594" s="11">
        <f>IF(Table1[[#This Row],[Delivery Date]]&lt;&gt;"",1,0)</f>
        <v>1</v>
      </c>
      <c r="L594" s="3" t="s">
        <v>2</v>
      </c>
      <c r="M594" s="3">
        <f>IF(Table1[[#This Row],[Cancellation Status]]&lt;&gt;"Yes",1,0)</f>
        <v>1</v>
      </c>
      <c r="O594" s="30">
        <v>45966</v>
      </c>
      <c r="P594" s="3">
        <v>3</v>
      </c>
      <c r="Q594" s="3">
        <v>2</v>
      </c>
      <c r="R594" s="3">
        <v>2</v>
      </c>
      <c r="S594" s="3">
        <v>5</v>
      </c>
      <c r="T59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94" t="str">
        <f>IF(Table1[[#This Row],[Customer Rating]]&gt;=9,"Promoter",IF(Table1[[#This Row],[Customer Rating]]&gt;=7,"Passive","Detractor"))</f>
        <v>Detractor</v>
      </c>
    </row>
    <row r="595" spans="1:21" ht="14.25" customHeight="1" x14ac:dyDescent="0.3">
      <c r="A595" s="3" t="s">
        <v>630</v>
      </c>
      <c r="B595" s="3" t="s">
        <v>26</v>
      </c>
      <c r="C595" s="3" t="s">
        <v>27</v>
      </c>
      <c r="D595" s="14">
        <v>45944</v>
      </c>
      <c r="E595" s="11">
        <f>1</f>
        <v>1</v>
      </c>
      <c r="F595" s="14">
        <v>45946</v>
      </c>
      <c r="G595" s="11">
        <f>IF(Table1[[#This Row],[Pre-Booking Date]]&lt;&gt;"",1,0)</f>
        <v>1</v>
      </c>
      <c r="H595" s="4">
        <v>45947</v>
      </c>
      <c r="I595" s="11">
        <f>IF(Table1[[#This Row],[Booking Date]]&lt;&gt;"",1,0)</f>
        <v>1</v>
      </c>
      <c r="J595" s="30">
        <v>45953</v>
      </c>
      <c r="K595" s="11">
        <f>IF(Table1[[#This Row],[Delivery Date]]&lt;&gt;"",1,0)</f>
        <v>1</v>
      </c>
      <c r="L595" s="3" t="s">
        <v>2</v>
      </c>
      <c r="M595" s="3">
        <f>IF(Table1[[#This Row],[Cancellation Status]]&lt;&gt;"Yes",1,0)</f>
        <v>1</v>
      </c>
      <c r="O595" s="30">
        <v>45973</v>
      </c>
      <c r="P595" s="3">
        <v>2</v>
      </c>
      <c r="Q595" s="3">
        <v>1</v>
      </c>
      <c r="R595" s="3">
        <v>6</v>
      </c>
      <c r="S595" s="3">
        <v>2</v>
      </c>
      <c r="T59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95" t="str">
        <f>IF(Table1[[#This Row],[Customer Rating]]&gt;=9,"Promoter",IF(Table1[[#This Row],[Customer Rating]]&gt;=7,"Passive","Detractor"))</f>
        <v>Detractor</v>
      </c>
    </row>
    <row r="596" spans="1:21" ht="14.25" customHeight="1" x14ac:dyDescent="0.3">
      <c r="A596" s="3" t="s">
        <v>631</v>
      </c>
      <c r="B596" s="3" t="s">
        <v>29</v>
      </c>
      <c r="C596" s="3" t="s">
        <v>27</v>
      </c>
      <c r="D596" s="14">
        <v>45944</v>
      </c>
      <c r="E596" s="11">
        <f>1</f>
        <v>1</v>
      </c>
      <c r="F596" s="14">
        <v>45945</v>
      </c>
      <c r="G596" s="11">
        <f>IF(Table1[[#This Row],[Pre-Booking Date]]&lt;&gt;"",1,0)</f>
        <v>1</v>
      </c>
      <c r="H596" s="4">
        <v>45946</v>
      </c>
      <c r="I596" s="11">
        <f>IF(Table1[[#This Row],[Booking Date]]&lt;&gt;"",1,0)</f>
        <v>1</v>
      </c>
      <c r="J596" s="30">
        <v>45952</v>
      </c>
      <c r="K596" s="11">
        <f>IF(Table1[[#This Row],[Delivery Date]]&lt;&gt;"",1,0)</f>
        <v>1</v>
      </c>
      <c r="L596" s="3" t="s">
        <v>2</v>
      </c>
      <c r="M596" s="3">
        <f>IF(Table1[[#This Row],[Cancellation Status]]&lt;&gt;"Yes",1,0)</f>
        <v>1</v>
      </c>
      <c r="O596" s="30">
        <v>45968</v>
      </c>
      <c r="P596" s="3">
        <v>1</v>
      </c>
      <c r="Q596" s="3">
        <v>1</v>
      </c>
      <c r="R596" s="3">
        <v>6</v>
      </c>
      <c r="S596" s="3">
        <v>8</v>
      </c>
      <c r="T59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96" t="str">
        <f>IF(Table1[[#This Row],[Customer Rating]]&gt;=9,"Promoter",IF(Table1[[#This Row],[Customer Rating]]&gt;=7,"Passive","Detractor"))</f>
        <v>Passive</v>
      </c>
    </row>
    <row r="597" spans="1:21" ht="14.25" customHeight="1" x14ac:dyDescent="0.3">
      <c r="A597" s="3" t="s">
        <v>632</v>
      </c>
      <c r="B597" s="3" t="s">
        <v>32</v>
      </c>
      <c r="C597" s="3" t="s">
        <v>33</v>
      </c>
      <c r="D597" s="14">
        <v>45944</v>
      </c>
      <c r="E597" s="11">
        <f>1</f>
        <v>1</v>
      </c>
      <c r="G597" s="12">
        <f>IF(Table1[[#This Row],[Pre-Booking Date]]&lt;&gt;"",1,0)</f>
        <v>0</v>
      </c>
      <c r="I597" s="12">
        <f>IF(Table1[[#This Row],[Booking Date]]&lt;&gt;"",1,0)</f>
        <v>0</v>
      </c>
      <c r="K597" s="12">
        <f>IF(Table1[[#This Row],[Delivery Date]]&lt;&gt;"",1,0)</f>
        <v>0</v>
      </c>
      <c r="L597" s="3" t="s">
        <v>3</v>
      </c>
      <c r="M597" s="3">
        <f>IF(Table1[[#This Row],[Cancellation Status]]&lt;&gt;"Yes",1,0)</f>
        <v>0</v>
      </c>
      <c r="N597" s="3" t="s">
        <v>37</v>
      </c>
      <c r="T59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597" t="str">
        <f>IF(Table1[[#This Row],[Customer Rating]]&gt;=9,"Promoter",IF(Table1[[#This Row],[Customer Rating]]&gt;=7,"Passive","Detractor"))</f>
        <v>Detractor</v>
      </c>
    </row>
    <row r="598" spans="1:21" ht="14.25" customHeight="1" x14ac:dyDescent="0.3">
      <c r="A598" s="3" t="s">
        <v>633</v>
      </c>
      <c r="B598" s="3" t="s">
        <v>32</v>
      </c>
      <c r="C598" s="3" t="s">
        <v>30</v>
      </c>
      <c r="D598" s="14">
        <v>45944</v>
      </c>
      <c r="E598" s="11">
        <f>1</f>
        <v>1</v>
      </c>
      <c r="F598" s="14">
        <v>45945</v>
      </c>
      <c r="G598" s="11">
        <f>IF(Table1[[#This Row],[Pre-Booking Date]]&lt;&gt;"",1,0)</f>
        <v>1</v>
      </c>
      <c r="H598" s="4">
        <v>45946</v>
      </c>
      <c r="I598" s="11">
        <f>IF(Table1[[#This Row],[Booking Date]]&lt;&gt;"",1,0)</f>
        <v>1</v>
      </c>
      <c r="J598" s="30">
        <v>45949</v>
      </c>
      <c r="K598" s="11">
        <f>IF(Table1[[#This Row],[Delivery Date]]&lt;&gt;"",1,0)</f>
        <v>1</v>
      </c>
      <c r="L598" s="3" t="s">
        <v>2</v>
      </c>
      <c r="M598" s="3">
        <f>IF(Table1[[#This Row],[Cancellation Status]]&lt;&gt;"Yes",1,0)</f>
        <v>1</v>
      </c>
      <c r="O598" s="30">
        <v>45979</v>
      </c>
      <c r="P598" s="3">
        <v>1</v>
      </c>
      <c r="Q598" s="3">
        <v>1</v>
      </c>
      <c r="R598" s="3">
        <v>3</v>
      </c>
      <c r="S598" s="3">
        <v>3</v>
      </c>
      <c r="T59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98" t="str">
        <f>IF(Table1[[#This Row],[Customer Rating]]&gt;=9,"Promoter",IF(Table1[[#This Row],[Customer Rating]]&gt;=7,"Passive","Detractor"))</f>
        <v>Detractor</v>
      </c>
    </row>
    <row r="599" spans="1:21" ht="14.25" customHeight="1" x14ac:dyDescent="0.3">
      <c r="A599" s="3" t="s">
        <v>634</v>
      </c>
      <c r="B599" s="3" t="s">
        <v>39</v>
      </c>
      <c r="C599" s="3" t="s">
        <v>30</v>
      </c>
      <c r="D599" s="14">
        <v>45944</v>
      </c>
      <c r="E599" s="11">
        <f>1</f>
        <v>1</v>
      </c>
      <c r="F599" s="14">
        <v>45946</v>
      </c>
      <c r="G599" s="11">
        <f>IF(Table1[[#This Row],[Pre-Booking Date]]&lt;&gt;"",1,0)</f>
        <v>1</v>
      </c>
      <c r="H599" s="4">
        <v>45951</v>
      </c>
      <c r="I599" s="11">
        <f>IF(Table1[[#This Row],[Booking Date]]&lt;&gt;"",1,0)</f>
        <v>1</v>
      </c>
      <c r="J599" s="30">
        <v>45958</v>
      </c>
      <c r="K599" s="11">
        <f>IF(Table1[[#This Row],[Delivery Date]]&lt;&gt;"",1,0)</f>
        <v>1</v>
      </c>
      <c r="L599" s="3" t="s">
        <v>2</v>
      </c>
      <c r="M599" s="3">
        <f>IF(Table1[[#This Row],[Cancellation Status]]&lt;&gt;"Yes",1,0)</f>
        <v>1</v>
      </c>
      <c r="O599" s="30">
        <v>45971</v>
      </c>
      <c r="P599" s="3">
        <v>2</v>
      </c>
      <c r="Q599" s="3">
        <v>5</v>
      </c>
      <c r="R599" s="3">
        <v>7</v>
      </c>
      <c r="S599" s="3">
        <v>9</v>
      </c>
      <c r="T59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599" t="str">
        <f>IF(Table1[[#This Row],[Customer Rating]]&gt;=9,"Promoter",IF(Table1[[#This Row],[Customer Rating]]&gt;=7,"Passive","Detractor"))</f>
        <v>Promoter</v>
      </c>
    </row>
    <row r="600" spans="1:21" ht="14.25" customHeight="1" x14ac:dyDescent="0.3">
      <c r="A600" s="3" t="s">
        <v>635</v>
      </c>
      <c r="B600" s="3" t="s">
        <v>39</v>
      </c>
      <c r="C600" s="3" t="s">
        <v>27</v>
      </c>
      <c r="D600" s="14">
        <v>45944</v>
      </c>
      <c r="E600" s="11">
        <f>1</f>
        <v>1</v>
      </c>
      <c r="F600" s="14">
        <v>45948</v>
      </c>
      <c r="G600" s="11">
        <f>IF(Table1[[#This Row],[Pre-Booking Date]]&lt;&gt;"",1,0)</f>
        <v>1</v>
      </c>
      <c r="H600" s="4">
        <v>45951</v>
      </c>
      <c r="I600" s="11">
        <f>IF(Table1[[#This Row],[Booking Date]]&lt;&gt;"",1,0)</f>
        <v>1</v>
      </c>
      <c r="J600" s="30">
        <v>45956</v>
      </c>
      <c r="K600" s="11">
        <f>IF(Table1[[#This Row],[Delivery Date]]&lt;&gt;"",1,0)</f>
        <v>1</v>
      </c>
      <c r="L600" s="3" t="s">
        <v>2</v>
      </c>
      <c r="M600" s="3">
        <f>IF(Table1[[#This Row],[Cancellation Status]]&lt;&gt;"Yes",1,0)</f>
        <v>1</v>
      </c>
      <c r="O600" s="30">
        <v>45976</v>
      </c>
      <c r="P600" s="3">
        <v>4</v>
      </c>
      <c r="Q600" s="3">
        <v>3</v>
      </c>
      <c r="R600" s="3">
        <v>5</v>
      </c>
      <c r="S600" s="3">
        <v>0</v>
      </c>
      <c r="T60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00" t="str">
        <f>IF(Table1[[#This Row],[Customer Rating]]&gt;=9,"Promoter",IF(Table1[[#This Row],[Customer Rating]]&gt;=7,"Passive","Detractor"))</f>
        <v>Detractor</v>
      </c>
    </row>
    <row r="601" spans="1:21" ht="14.25" customHeight="1" x14ac:dyDescent="0.3">
      <c r="A601" s="3" t="s">
        <v>636</v>
      </c>
      <c r="B601" s="3" t="s">
        <v>29</v>
      </c>
      <c r="C601" s="3" t="s">
        <v>27</v>
      </c>
      <c r="D601" s="14">
        <v>45944</v>
      </c>
      <c r="E601" s="11">
        <f>1</f>
        <v>1</v>
      </c>
      <c r="F601" s="14">
        <v>45946</v>
      </c>
      <c r="G601" s="11">
        <f>IF(Table1[[#This Row],[Pre-Booking Date]]&lt;&gt;"",1,0)</f>
        <v>1</v>
      </c>
      <c r="H601" s="4">
        <v>45947</v>
      </c>
      <c r="I601" s="11">
        <f>IF(Table1[[#This Row],[Booking Date]]&lt;&gt;"",1,0)</f>
        <v>1</v>
      </c>
      <c r="J601" s="30">
        <v>45949</v>
      </c>
      <c r="K601" s="11">
        <f>IF(Table1[[#This Row],[Delivery Date]]&lt;&gt;"",1,0)</f>
        <v>1</v>
      </c>
      <c r="L601" s="3" t="s">
        <v>2</v>
      </c>
      <c r="M601" s="3">
        <f>IF(Table1[[#This Row],[Cancellation Status]]&lt;&gt;"Yes",1,0)</f>
        <v>1</v>
      </c>
      <c r="O601" s="30">
        <v>45964</v>
      </c>
      <c r="P601" s="3">
        <v>2</v>
      </c>
      <c r="Q601" s="3">
        <v>1</v>
      </c>
      <c r="R601" s="3">
        <v>2</v>
      </c>
      <c r="S601" s="3">
        <v>6</v>
      </c>
      <c r="T60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01" t="str">
        <f>IF(Table1[[#This Row],[Customer Rating]]&gt;=9,"Promoter",IF(Table1[[#This Row],[Customer Rating]]&gt;=7,"Passive","Detractor"))</f>
        <v>Detractor</v>
      </c>
    </row>
    <row r="602" spans="1:21" ht="14.25" customHeight="1" x14ac:dyDescent="0.3">
      <c r="A602" s="3" t="s">
        <v>637</v>
      </c>
      <c r="B602" s="3" t="s">
        <v>29</v>
      </c>
      <c r="C602" s="3" t="s">
        <v>33</v>
      </c>
      <c r="D602" s="14">
        <v>45944</v>
      </c>
      <c r="E602" s="11">
        <f>1</f>
        <v>1</v>
      </c>
      <c r="G602" s="12">
        <f>IF(Table1[[#This Row],[Pre-Booking Date]]&lt;&gt;"",1,0)</f>
        <v>0</v>
      </c>
      <c r="I602" s="12">
        <f>IF(Table1[[#This Row],[Booking Date]]&lt;&gt;"",1,0)</f>
        <v>0</v>
      </c>
      <c r="K602" s="12">
        <f>IF(Table1[[#This Row],[Delivery Date]]&lt;&gt;"",1,0)</f>
        <v>0</v>
      </c>
      <c r="L602" s="3" t="s">
        <v>3</v>
      </c>
      <c r="M602" s="3">
        <f>IF(Table1[[#This Row],[Cancellation Status]]&lt;&gt;"Yes",1,0)</f>
        <v>0</v>
      </c>
      <c r="N602" s="3" t="s">
        <v>37</v>
      </c>
      <c r="T60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02" t="str">
        <f>IF(Table1[[#This Row],[Customer Rating]]&gt;=9,"Promoter",IF(Table1[[#This Row],[Customer Rating]]&gt;=7,"Passive","Detractor"))</f>
        <v>Detractor</v>
      </c>
    </row>
    <row r="603" spans="1:21" ht="14.25" customHeight="1" x14ac:dyDescent="0.3">
      <c r="A603" s="3" t="s">
        <v>638</v>
      </c>
      <c r="B603" s="3" t="s">
        <v>26</v>
      </c>
      <c r="C603" s="3" t="s">
        <v>30</v>
      </c>
      <c r="D603" s="14">
        <v>45944</v>
      </c>
      <c r="E603" s="11">
        <f>1</f>
        <v>1</v>
      </c>
      <c r="F603" s="14">
        <v>45949</v>
      </c>
      <c r="G603" s="11">
        <f>IF(Table1[[#This Row],[Pre-Booking Date]]&lt;&gt;"",1,0)</f>
        <v>1</v>
      </c>
      <c r="H603" s="4">
        <v>45953</v>
      </c>
      <c r="I603" s="11">
        <f>IF(Table1[[#This Row],[Booking Date]]&lt;&gt;"",1,0)</f>
        <v>1</v>
      </c>
      <c r="J603" s="30">
        <v>45956</v>
      </c>
      <c r="K603" s="11">
        <f>IF(Table1[[#This Row],[Delivery Date]]&lt;&gt;"",1,0)</f>
        <v>1</v>
      </c>
      <c r="L603" s="3" t="s">
        <v>2</v>
      </c>
      <c r="M603" s="3">
        <f>IF(Table1[[#This Row],[Cancellation Status]]&lt;&gt;"Yes",1,0)</f>
        <v>1</v>
      </c>
      <c r="O603" s="30">
        <v>45973</v>
      </c>
      <c r="P603" s="3">
        <v>5</v>
      </c>
      <c r="Q603" s="3">
        <v>4</v>
      </c>
      <c r="R603" s="3">
        <v>3</v>
      </c>
      <c r="S603" s="3">
        <v>7</v>
      </c>
      <c r="T60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03" t="str">
        <f>IF(Table1[[#This Row],[Customer Rating]]&gt;=9,"Promoter",IF(Table1[[#This Row],[Customer Rating]]&gt;=7,"Passive","Detractor"))</f>
        <v>Passive</v>
      </c>
    </row>
    <row r="604" spans="1:21" ht="14.25" customHeight="1" x14ac:dyDescent="0.3">
      <c r="A604" s="3" t="s">
        <v>639</v>
      </c>
      <c r="B604" s="3" t="s">
        <v>26</v>
      </c>
      <c r="C604" s="3" t="s">
        <v>30</v>
      </c>
      <c r="D604" s="14">
        <v>45943</v>
      </c>
      <c r="E604" s="11">
        <f>1</f>
        <v>1</v>
      </c>
      <c r="F604" s="14">
        <v>45944</v>
      </c>
      <c r="G604" s="11">
        <f>IF(Table1[[#This Row],[Pre-Booking Date]]&lt;&gt;"",1,0)</f>
        <v>1</v>
      </c>
      <c r="H604" s="4">
        <v>45946</v>
      </c>
      <c r="I604" s="11">
        <f>IF(Table1[[#This Row],[Booking Date]]&lt;&gt;"",1,0)</f>
        <v>1</v>
      </c>
      <c r="J604" s="30">
        <v>45948</v>
      </c>
      <c r="K604" s="11">
        <f>IF(Table1[[#This Row],[Delivery Date]]&lt;&gt;"",1,0)</f>
        <v>1</v>
      </c>
      <c r="L604" s="3" t="s">
        <v>2</v>
      </c>
      <c r="M604" s="3">
        <f>IF(Table1[[#This Row],[Cancellation Status]]&lt;&gt;"Yes",1,0)</f>
        <v>1</v>
      </c>
      <c r="O604" s="30">
        <v>45963</v>
      </c>
      <c r="P604" s="3">
        <v>1</v>
      </c>
      <c r="Q604" s="3">
        <v>2</v>
      </c>
      <c r="R604" s="3">
        <v>2</v>
      </c>
      <c r="S604" s="3">
        <v>6</v>
      </c>
      <c r="T60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04" t="str">
        <f>IF(Table1[[#This Row],[Customer Rating]]&gt;=9,"Promoter",IF(Table1[[#This Row],[Customer Rating]]&gt;=7,"Passive","Detractor"))</f>
        <v>Detractor</v>
      </c>
    </row>
    <row r="605" spans="1:21" ht="14.25" customHeight="1" x14ac:dyDescent="0.3">
      <c r="A605" s="3" t="s">
        <v>640</v>
      </c>
      <c r="B605" s="3" t="s">
        <v>39</v>
      </c>
      <c r="C605" s="3" t="s">
        <v>33</v>
      </c>
      <c r="D605" s="14">
        <v>45943</v>
      </c>
      <c r="E605" s="11">
        <f>1</f>
        <v>1</v>
      </c>
      <c r="G605" s="12">
        <f>IF(Table1[[#This Row],[Pre-Booking Date]]&lt;&gt;"",1,0)</f>
        <v>0</v>
      </c>
      <c r="I605" s="12">
        <f>IF(Table1[[#This Row],[Booking Date]]&lt;&gt;"",1,0)</f>
        <v>0</v>
      </c>
      <c r="K605" s="12">
        <f>IF(Table1[[#This Row],[Delivery Date]]&lt;&gt;"",1,0)</f>
        <v>0</v>
      </c>
      <c r="L605" s="3" t="s">
        <v>3</v>
      </c>
      <c r="M605" s="3">
        <f>IF(Table1[[#This Row],[Cancellation Status]]&lt;&gt;"Yes",1,0)</f>
        <v>0</v>
      </c>
      <c r="N605" s="3" t="s">
        <v>55</v>
      </c>
      <c r="T60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05" t="str">
        <f>IF(Table1[[#This Row],[Customer Rating]]&gt;=9,"Promoter",IF(Table1[[#This Row],[Customer Rating]]&gt;=7,"Passive","Detractor"))</f>
        <v>Detractor</v>
      </c>
    </row>
    <row r="606" spans="1:21" ht="14.25" customHeight="1" x14ac:dyDescent="0.3">
      <c r="A606" s="3" t="s">
        <v>641</v>
      </c>
      <c r="B606" s="3" t="s">
        <v>29</v>
      </c>
      <c r="C606" s="3" t="s">
        <v>27</v>
      </c>
      <c r="D606" s="14">
        <v>45943</v>
      </c>
      <c r="E606" s="11">
        <f>1</f>
        <v>1</v>
      </c>
      <c r="F606" s="14">
        <v>45947</v>
      </c>
      <c r="G606" s="11">
        <f>IF(Table1[[#This Row],[Pre-Booking Date]]&lt;&gt;"",1,0)</f>
        <v>1</v>
      </c>
      <c r="H606" s="4">
        <v>45948</v>
      </c>
      <c r="I606" s="11">
        <f>IF(Table1[[#This Row],[Booking Date]]&lt;&gt;"",1,0)</f>
        <v>1</v>
      </c>
      <c r="J606" s="30">
        <v>45955</v>
      </c>
      <c r="K606" s="11">
        <f>IF(Table1[[#This Row],[Delivery Date]]&lt;&gt;"",1,0)</f>
        <v>1</v>
      </c>
      <c r="L606" s="3" t="s">
        <v>2</v>
      </c>
      <c r="M606" s="3">
        <f>IF(Table1[[#This Row],[Cancellation Status]]&lt;&gt;"Yes",1,0)</f>
        <v>1</v>
      </c>
      <c r="O606" s="30">
        <v>45980</v>
      </c>
      <c r="P606" s="3">
        <v>4</v>
      </c>
      <c r="Q606" s="3">
        <v>1</v>
      </c>
      <c r="R606" s="3">
        <v>7</v>
      </c>
      <c r="S606" s="3">
        <v>4</v>
      </c>
      <c r="T60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06" t="str">
        <f>IF(Table1[[#This Row],[Customer Rating]]&gt;=9,"Promoter",IF(Table1[[#This Row],[Customer Rating]]&gt;=7,"Passive","Detractor"))</f>
        <v>Detractor</v>
      </c>
    </row>
    <row r="607" spans="1:21" ht="14.25" customHeight="1" x14ac:dyDescent="0.3">
      <c r="A607" s="3" t="s">
        <v>642</v>
      </c>
      <c r="B607" s="3" t="s">
        <v>29</v>
      </c>
      <c r="C607" s="3" t="s">
        <v>27</v>
      </c>
      <c r="D607" s="14">
        <v>45943</v>
      </c>
      <c r="E607" s="11">
        <f>1</f>
        <v>1</v>
      </c>
      <c r="F607" s="14">
        <v>45944</v>
      </c>
      <c r="G607" s="11">
        <f>IF(Table1[[#This Row],[Pre-Booking Date]]&lt;&gt;"",1,0)</f>
        <v>1</v>
      </c>
      <c r="H607" s="4">
        <v>45948</v>
      </c>
      <c r="I607" s="11">
        <f>IF(Table1[[#This Row],[Booking Date]]&lt;&gt;"",1,0)</f>
        <v>1</v>
      </c>
      <c r="J607" s="30">
        <v>45955</v>
      </c>
      <c r="K607" s="11">
        <f>IF(Table1[[#This Row],[Delivery Date]]&lt;&gt;"",1,0)</f>
        <v>1</v>
      </c>
      <c r="L607" s="3" t="s">
        <v>2</v>
      </c>
      <c r="M607" s="3">
        <f>IF(Table1[[#This Row],[Cancellation Status]]&lt;&gt;"Yes",1,0)</f>
        <v>1</v>
      </c>
      <c r="O607" s="30">
        <v>45974</v>
      </c>
      <c r="P607" s="3">
        <v>1</v>
      </c>
      <c r="Q607" s="3">
        <v>4</v>
      </c>
      <c r="R607" s="3">
        <v>7</v>
      </c>
      <c r="S607" s="3">
        <v>7</v>
      </c>
      <c r="T60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07" t="str">
        <f>IF(Table1[[#This Row],[Customer Rating]]&gt;=9,"Promoter",IF(Table1[[#This Row],[Customer Rating]]&gt;=7,"Passive","Detractor"))</f>
        <v>Passive</v>
      </c>
    </row>
    <row r="608" spans="1:21" ht="14.25" customHeight="1" x14ac:dyDescent="0.3">
      <c r="A608" s="3" t="s">
        <v>643</v>
      </c>
      <c r="B608" s="3" t="s">
        <v>32</v>
      </c>
      <c r="C608" s="3" t="s">
        <v>33</v>
      </c>
      <c r="D608" s="14">
        <v>45943</v>
      </c>
      <c r="E608" s="11">
        <f>1</f>
        <v>1</v>
      </c>
      <c r="G608" s="12">
        <f>IF(Table1[[#This Row],[Pre-Booking Date]]&lt;&gt;"",1,0)</f>
        <v>0</v>
      </c>
      <c r="I608" s="12">
        <f>IF(Table1[[#This Row],[Booking Date]]&lt;&gt;"",1,0)</f>
        <v>0</v>
      </c>
      <c r="K608" s="12">
        <f>IF(Table1[[#This Row],[Delivery Date]]&lt;&gt;"",1,0)</f>
        <v>0</v>
      </c>
      <c r="L608" s="3" t="s">
        <v>3</v>
      </c>
      <c r="M608" s="3">
        <f>IF(Table1[[#This Row],[Cancellation Status]]&lt;&gt;"Yes",1,0)</f>
        <v>0</v>
      </c>
      <c r="N608" s="3" t="s">
        <v>52</v>
      </c>
      <c r="T60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08" t="str">
        <f>IF(Table1[[#This Row],[Customer Rating]]&gt;=9,"Promoter",IF(Table1[[#This Row],[Customer Rating]]&gt;=7,"Passive","Detractor"))</f>
        <v>Detractor</v>
      </c>
    </row>
    <row r="609" spans="1:21" ht="14.25" customHeight="1" x14ac:dyDescent="0.3">
      <c r="A609" s="3" t="s">
        <v>644</v>
      </c>
      <c r="B609" s="3" t="s">
        <v>29</v>
      </c>
      <c r="C609" s="3" t="s">
        <v>27</v>
      </c>
      <c r="D609" s="14">
        <v>45943</v>
      </c>
      <c r="E609" s="11">
        <f>1</f>
        <v>1</v>
      </c>
      <c r="F609" s="14">
        <v>45944</v>
      </c>
      <c r="G609" s="11">
        <f>IF(Table1[[#This Row],[Pre-Booking Date]]&lt;&gt;"",1,0)</f>
        <v>1</v>
      </c>
      <c r="H609" s="4">
        <v>45948</v>
      </c>
      <c r="I609" s="11">
        <f>IF(Table1[[#This Row],[Booking Date]]&lt;&gt;"",1,0)</f>
        <v>1</v>
      </c>
      <c r="J609" s="30">
        <v>45951</v>
      </c>
      <c r="K609" s="11">
        <f>IF(Table1[[#This Row],[Delivery Date]]&lt;&gt;"",1,0)</f>
        <v>1</v>
      </c>
      <c r="L609" s="3" t="s">
        <v>2</v>
      </c>
      <c r="M609" s="3">
        <f>IF(Table1[[#This Row],[Cancellation Status]]&lt;&gt;"Yes",1,0)</f>
        <v>1</v>
      </c>
      <c r="O609" s="30">
        <v>45971</v>
      </c>
      <c r="P609" s="3">
        <v>1</v>
      </c>
      <c r="Q609" s="3">
        <v>4</v>
      </c>
      <c r="R609" s="3">
        <v>3</v>
      </c>
      <c r="S609" s="3">
        <v>3</v>
      </c>
      <c r="T60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09" t="str">
        <f>IF(Table1[[#This Row],[Customer Rating]]&gt;=9,"Promoter",IF(Table1[[#This Row],[Customer Rating]]&gt;=7,"Passive","Detractor"))</f>
        <v>Detractor</v>
      </c>
    </row>
    <row r="610" spans="1:21" ht="14.25" customHeight="1" x14ac:dyDescent="0.3">
      <c r="A610" s="3" t="s">
        <v>645</v>
      </c>
      <c r="B610" s="3" t="s">
        <v>32</v>
      </c>
      <c r="C610" s="3" t="s">
        <v>30</v>
      </c>
      <c r="D610" s="14">
        <v>45943</v>
      </c>
      <c r="E610" s="11">
        <f>1</f>
        <v>1</v>
      </c>
      <c r="F610" s="14">
        <v>45944</v>
      </c>
      <c r="G610" s="11">
        <f>IF(Table1[[#This Row],[Pre-Booking Date]]&lt;&gt;"",1,0)</f>
        <v>1</v>
      </c>
      <c r="H610" s="4">
        <v>45948</v>
      </c>
      <c r="I610" s="11">
        <f>IF(Table1[[#This Row],[Booking Date]]&lt;&gt;"",1,0)</f>
        <v>1</v>
      </c>
      <c r="J610" s="30">
        <v>45954</v>
      </c>
      <c r="K610" s="11">
        <f>IF(Table1[[#This Row],[Delivery Date]]&lt;&gt;"",1,0)</f>
        <v>1</v>
      </c>
      <c r="L610" s="3" t="s">
        <v>2</v>
      </c>
      <c r="M610" s="3">
        <f>IF(Table1[[#This Row],[Cancellation Status]]&lt;&gt;"Yes",1,0)</f>
        <v>1</v>
      </c>
      <c r="O610" s="30">
        <v>45977</v>
      </c>
      <c r="P610" s="3">
        <v>1</v>
      </c>
      <c r="Q610" s="3">
        <v>4</v>
      </c>
      <c r="R610" s="3">
        <v>6</v>
      </c>
      <c r="S610" s="3">
        <v>4</v>
      </c>
      <c r="T61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10" t="str">
        <f>IF(Table1[[#This Row],[Customer Rating]]&gt;=9,"Promoter",IF(Table1[[#This Row],[Customer Rating]]&gt;=7,"Passive","Detractor"))</f>
        <v>Detractor</v>
      </c>
    </row>
    <row r="611" spans="1:21" ht="14.25" customHeight="1" x14ac:dyDescent="0.3">
      <c r="A611" s="3" t="s">
        <v>646</v>
      </c>
      <c r="B611" s="3" t="s">
        <v>39</v>
      </c>
      <c r="C611" s="3" t="s">
        <v>33</v>
      </c>
      <c r="D611" s="14">
        <v>45943</v>
      </c>
      <c r="E611" s="11">
        <f>1</f>
        <v>1</v>
      </c>
      <c r="G611" s="12">
        <f>IF(Table1[[#This Row],[Pre-Booking Date]]&lt;&gt;"",1,0)</f>
        <v>0</v>
      </c>
      <c r="I611" s="12">
        <f>IF(Table1[[#This Row],[Booking Date]]&lt;&gt;"",1,0)</f>
        <v>0</v>
      </c>
      <c r="K611" s="12">
        <f>IF(Table1[[#This Row],[Delivery Date]]&lt;&gt;"",1,0)</f>
        <v>0</v>
      </c>
      <c r="L611" s="3" t="s">
        <v>3</v>
      </c>
      <c r="M611" s="3">
        <f>IF(Table1[[#This Row],[Cancellation Status]]&lt;&gt;"Yes",1,0)</f>
        <v>0</v>
      </c>
      <c r="N611" s="3" t="s">
        <v>34</v>
      </c>
      <c r="T61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11" t="str">
        <f>IF(Table1[[#This Row],[Customer Rating]]&gt;=9,"Promoter",IF(Table1[[#This Row],[Customer Rating]]&gt;=7,"Passive","Detractor"))</f>
        <v>Detractor</v>
      </c>
    </row>
    <row r="612" spans="1:21" ht="14.25" customHeight="1" x14ac:dyDescent="0.3">
      <c r="A612" s="3" t="s">
        <v>647</v>
      </c>
      <c r="B612" s="3" t="s">
        <v>29</v>
      </c>
      <c r="C612" s="3" t="s">
        <v>27</v>
      </c>
      <c r="D612" s="14">
        <v>45943</v>
      </c>
      <c r="E612" s="11">
        <f>1</f>
        <v>1</v>
      </c>
      <c r="F612" s="14">
        <v>45946</v>
      </c>
      <c r="G612" s="11">
        <f>IF(Table1[[#This Row],[Pre-Booking Date]]&lt;&gt;"",1,0)</f>
        <v>1</v>
      </c>
      <c r="H612" s="4">
        <v>45950</v>
      </c>
      <c r="I612" s="11">
        <f>IF(Table1[[#This Row],[Booking Date]]&lt;&gt;"",1,0)</f>
        <v>1</v>
      </c>
      <c r="J612" s="30">
        <v>45955</v>
      </c>
      <c r="K612" s="11">
        <f>IF(Table1[[#This Row],[Delivery Date]]&lt;&gt;"",1,0)</f>
        <v>1</v>
      </c>
      <c r="L612" s="3" t="s">
        <v>3</v>
      </c>
      <c r="M612" s="3">
        <f>IF(Table1[[#This Row],[Cancellation Status]]&lt;&gt;"Yes",1,0)</f>
        <v>0</v>
      </c>
      <c r="N612" s="3" t="s">
        <v>55</v>
      </c>
      <c r="P612" s="3">
        <v>3</v>
      </c>
      <c r="Q612" s="3">
        <v>4</v>
      </c>
      <c r="R612" s="3">
        <v>5</v>
      </c>
      <c r="T61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12" t="str">
        <f>IF(Table1[[#This Row],[Customer Rating]]&gt;=9,"Promoter",IF(Table1[[#This Row],[Customer Rating]]&gt;=7,"Passive","Detractor"))</f>
        <v>Detractor</v>
      </c>
    </row>
    <row r="613" spans="1:21" ht="14.25" customHeight="1" x14ac:dyDescent="0.3">
      <c r="A613" s="3" t="s">
        <v>648</v>
      </c>
      <c r="B613" s="3" t="s">
        <v>26</v>
      </c>
      <c r="C613" s="3" t="s">
        <v>27</v>
      </c>
      <c r="D613" s="14">
        <v>45943</v>
      </c>
      <c r="E613" s="11">
        <f>1</f>
        <v>1</v>
      </c>
      <c r="F613" s="14">
        <v>45948</v>
      </c>
      <c r="G613" s="11">
        <f>IF(Table1[[#This Row],[Pre-Booking Date]]&lt;&gt;"",1,0)</f>
        <v>1</v>
      </c>
      <c r="H613" s="4">
        <v>45953</v>
      </c>
      <c r="I613" s="11">
        <f>IF(Table1[[#This Row],[Booking Date]]&lt;&gt;"",1,0)</f>
        <v>1</v>
      </c>
      <c r="J613" s="30">
        <v>45958</v>
      </c>
      <c r="K613" s="11">
        <f>IF(Table1[[#This Row],[Delivery Date]]&lt;&gt;"",1,0)</f>
        <v>1</v>
      </c>
      <c r="L613" s="3" t="s">
        <v>2</v>
      </c>
      <c r="M613" s="3">
        <f>IF(Table1[[#This Row],[Cancellation Status]]&lt;&gt;"Yes",1,0)</f>
        <v>1</v>
      </c>
      <c r="O613" s="30">
        <v>45980</v>
      </c>
      <c r="P613" s="3">
        <v>5</v>
      </c>
      <c r="Q613" s="3">
        <v>5</v>
      </c>
      <c r="R613" s="3">
        <v>5</v>
      </c>
      <c r="S613" s="3">
        <v>5</v>
      </c>
      <c r="T61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13" t="str">
        <f>IF(Table1[[#This Row],[Customer Rating]]&gt;=9,"Promoter",IF(Table1[[#This Row],[Customer Rating]]&gt;=7,"Passive","Detractor"))</f>
        <v>Detractor</v>
      </c>
    </row>
    <row r="614" spans="1:21" ht="14.25" customHeight="1" x14ac:dyDescent="0.3">
      <c r="A614" s="3" t="s">
        <v>649</v>
      </c>
      <c r="B614" s="3" t="s">
        <v>26</v>
      </c>
      <c r="C614" s="3" t="s">
        <v>27</v>
      </c>
      <c r="D614" s="14">
        <v>45943</v>
      </c>
      <c r="E614" s="11">
        <f>1</f>
        <v>1</v>
      </c>
      <c r="F614" s="14">
        <v>45948</v>
      </c>
      <c r="G614" s="11">
        <f>IF(Table1[[#This Row],[Pre-Booking Date]]&lt;&gt;"",1,0)</f>
        <v>1</v>
      </c>
      <c r="H614" s="4">
        <v>45949</v>
      </c>
      <c r="I614" s="11">
        <f>IF(Table1[[#This Row],[Booking Date]]&lt;&gt;"",1,0)</f>
        <v>1</v>
      </c>
      <c r="J614" s="30">
        <v>45951</v>
      </c>
      <c r="K614" s="11">
        <f>IF(Table1[[#This Row],[Delivery Date]]&lt;&gt;"",1,0)</f>
        <v>1</v>
      </c>
      <c r="L614" s="3" t="s">
        <v>2</v>
      </c>
      <c r="M614" s="3">
        <f>IF(Table1[[#This Row],[Cancellation Status]]&lt;&gt;"Yes",1,0)</f>
        <v>1</v>
      </c>
      <c r="O614" s="30">
        <v>45980</v>
      </c>
      <c r="P614" s="3">
        <v>5</v>
      </c>
      <c r="Q614" s="3">
        <v>1</v>
      </c>
      <c r="R614" s="3">
        <v>2</v>
      </c>
      <c r="S614" s="3">
        <v>9</v>
      </c>
      <c r="T61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14" t="str">
        <f>IF(Table1[[#This Row],[Customer Rating]]&gt;=9,"Promoter",IF(Table1[[#This Row],[Customer Rating]]&gt;=7,"Passive","Detractor"))</f>
        <v>Promoter</v>
      </c>
    </row>
    <row r="615" spans="1:21" ht="14.25" customHeight="1" x14ac:dyDescent="0.3">
      <c r="A615" s="3" t="s">
        <v>650</v>
      </c>
      <c r="B615" s="3" t="s">
        <v>29</v>
      </c>
      <c r="C615" s="3" t="s">
        <v>30</v>
      </c>
      <c r="D615" s="14">
        <v>45943</v>
      </c>
      <c r="E615" s="11">
        <f>1</f>
        <v>1</v>
      </c>
      <c r="F615" s="14">
        <v>45948</v>
      </c>
      <c r="G615" s="11">
        <f>IF(Table1[[#This Row],[Pre-Booking Date]]&lt;&gt;"",1,0)</f>
        <v>1</v>
      </c>
      <c r="H615" s="4">
        <v>45950</v>
      </c>
      <c r="I615" s="11">
        <f>IF(Table1[[#This Row],[Booking Date]]&lt;&gt;"",1,0)</f>
        <v>1</v>
      </c>
      <c r="J615" s="30">
        <v>45952</v>
      </c>
      <c r="K615" s="11">
        <f>IF(Table1[[#This Row],[Delivery Date]]&lt;&gt;"",1,0)</f>
        <v>1</v>
      </c>
      <c r="L615" s="3" t="s">
        <v>2</v>
      </c>
      <c r="M615" s="3">
        <f>IF(Table1[[#This Row],[Cancellation Status]]&lt;&gt;"Yes",1,0)</f>
        <v>1</v>
      </c>
      <c r="O615" s="30">
        <v>45976</v>
      </c>
      <c r="P615" s="3">
        <v>5</v>
      </c>
      <c r="Q615" s="3">
        <v>2</v>
      </c>
      <c r="R615" s="3">
        <v>2</v>
      </c>
      <c r="S615" s="3">
        <v>4</v>
      </c>
      <c r="T61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15" t="str">
        <f>IF(Table1[[#This Row],[Customer Rating]]&gt;=9,"Promoter",IF(Table1[[#This Row],[Customer Rating]]&gt;=7,"Passive","Detractor"))</f>
        <v>Detractor</v>
      </c>
    </row>
    <row r="616" spans="1:21" ht="14.25" customHeight="1" x14ac:dyDescent="0.3">
      <c r="A616" s="3" t="s">
        <v>651</v>
      </c>
      <c r="B616" s="3" t="s">
        <v>39</v>
      </c>
      <c r="C616" s="3" t="s">
        <v>33</v>
      </c>
      <c r="D616" s="14">
        <v>45943</v>
      </c>
      <c r="E616" s="11">
        <f>1</f>
        <v>1</v>
      </c>
      <c r="G616" s="12">
        <f>IF(Table1[[#This Row],[Pre-Booking Date]]&lt;&gt;"",1,0)</f>
        <v>0</v>
      </c>
      <c r="I616" s="12">
        <f>IF(Table1[[#This Row],[Booking Date]]&lt;&gt;"",1,0)</f>
        <v>0</v>
      </c>
      <c r="K616" s="12">
        <f>IF(Table1[[#This Row],[Delivery Date]]&lt;&gt;"",1,0)</f>
        <v>0</v>
      </c>
      <c r="L616" s="3" t="s">
        <v>3</v>
      </c>
      <c r="M616" s="3">
        <f>IF(Table1[[#This Row],[Cancellation Status]]&lt;&gt;"Yes",1,0)</f>
        <v>0</v>
      </c>
      <c r="N616" s="3" t="s">
        <v>55</v>
      </c>
      <c r="T61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16" t="str">
        <f>IF(Table1[[#This Row],[Customer Rating]]&gt;=9,"Promoter",IF(Table1[[#This Row],[Customer Rating]]&gt;=7,"Passive","Detractor"))</f>
        <v>Detractor</v>
      </c>
    </row>
    <row r="617" spans="1:21" ht="14.25" customHeight="1" x14ac:dyDescent="0.3">
      <c r="A617" s="3" t="s">
        <v>652</v>
      </c>
      <c r="B617" s="3" t="s">
        <v>26</v>
      </c>
      <c r="C617" s="3" t="s">
        <v>27</v>
      </c>
      <c r="D617" s="14">
        <v>45943</v>
      </c>
      <c r="E617" s="11">
        <f>1</f>
        <v>1</v>
      </c>
      <c r="F617" s="14">
        <v>45948</v>
      </c>
      <c r="G617" s="11">
        <f>IF(Table1[[#This Row],[Pre-Booking Date]]&lt;&gt;"",1,0)</f>
        <v>1</v>
      </c>
      <c r="H617" s="4">
        <v>45952</v>
      </c>
      <c r="I617" s="11">
        <f>IF(Table1[[#This Row],[Booking Date]]&lt;&gt;"",1,0)</f>
        <v>1</v>
      </c>
      <c r="J617" s="30">
        <v>45959</v>
      </c>
      <c r="K617" s="11">
        <f>IF(Table1[[#This Row],[Delivery Date]]&lt;&gt;"",1,0)</f>
        <v>1</v>
      </c>
      <c r="L617" s="3" t="s">
        <v>2</v>
      </c>
      <c r="M617" s="3">
        <f>IF(Table1[[#This Row],[Cancellation Status]]&lt;&gt;"Yes",1,0)</f>
        <v>1</v>
      </c>
      <c r="O617" s="30">
        <v>45977</v>
      </c>
      <c r="P617" s="3">
        <v>5</v>
      </c>
      <c r="Q617" s="3">
        <v>4</v>
      </c>
      <c r="R617" s="3">
        <v>7</v>
      </c>
      <c r="S617" s="3">
        <v>4</v>
      </c>
      <c r="T61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17" t="str">
        <f>IF(Table1[[#This Row],[Customer Rating]]&gt;=9,"Promoter",IF(Table1[[#This Row],[Customer Rating]]&gt;=7,"Passive","Detractor"))</f>
        <v>Detractor</v>
      </c>
    </row>
    <row r="618" spans="1:21" ht="14.25" customHeight="1" x14ac:dyDescent="0.3">
      <c r="A618" s="3" t="s">
        <v>653</v>
      </c>
      <c r="B618" s="3" t="s">
        <v>29</v>
      </c>
      <c r="C618" s="3" t="s">
        <v>30</v>
      </c>
      <c r="D618" s="14">
        <v>45943</v>
      </c>
      <c r="E618" s="11">
        <f>1</f>
        <v>1</v>
      </c>
      <c r="F618" s="14">
        <v>45946</v>
      </c>
      <c r="G618" s="11">
        <f>IF(Table1[[#This Row],[Pre-Booking Date]]&lt;&gt;"",1,0)</f>
        <v>1</v>
      </c>
      <c r="H618" s="4">
        <v>45950</v>
      </c>
      <c r="I618" s="11">
        <f>IF(Table1[[#This Row],[Booking Date]]&lt;&gt;"",1,0)</f>
        <v>1</v>
      </c>
      <c r="J618" s="30">
        <v>45952</v>
      </c>
      <c r="K618" s="11">
        <f>IF(Table1[[#This Row],[Delivery Date]]&lt;&gt;"",1,0)</f>
        <v>1</v>
      </c>
      <c r="L618" s="3" t="s">
        <v>2</v>
      </c>
      <c r="M618" s="3">
        <f>IF(Table1[[#This Row],[Cancellation Status]]&lt;&gt;"Yes",1,0)</f>
        <v>1</v>
      </c>
      <c r="O618" s="30">
        <v>45981</v>
      </c>
      <c r="P618" s="3">
        <v>3</v>
      </c>
      <c r="Q618" s="3">
        <v>4</v>
      </c>
      <c r="R618" s="3">
        <v>2</v>
      </c>
      <c r="S618" s="3">
        <v>8</v>
      </c>
      <c r="T61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18" t="str">
        <f>IF(Table1[[#This Row],[Customer Rating]]&gt;=9,"Promoter",IF(Table1[[#This Row],[Customer Rating]]&gt;=7,"Passive","Detractor"))</f>
        <v>Passive</v>
      </c>
    </row>
    <row r="619" spans="1:21" ht="14.25" customHeight="1" x14ac:dyDescent="0.3">
      <c r="A619" s="3" t="s">
        <v>654</v>
      </c>
      <c r="B619" s="3" t="s">
        <v>32</v>
      </c>
      <c r="C619" s="3" t="s">
        <v>27</v>
      </c>
      <c r="D619" s="14">
        <v>45943</v>
      </c>
      <c r="E619" s="11">
        <f>1</f>
        <v>1</v>
      </c>
      <c r="F619" s="14">
        <v>45947</v>
      </c>
      <c r="G619" s="11">
        <f>IF(Table1[[#This Row],[Pre-Booking Date]]&lt;&gt;"",1,0)</f>
        <v>1</v>
      </c>
      <c r="H619" s="4">
        <v>45951</v>
      </c>
      <c r="I619" s="11">
        <f>IF(Table1[[#This Row],[Booking Date]]&lt;&gt;"",1,0)</f>
        <v>1</v>
      </c>
      <c r="J619" s="30">
        <v>45954</v>
      </c>
      <c r="K619" s="11">
        <f>IF(Table1[[#This Row],[Delivery Date]]&lt;&gt;"",1,0)</f>
        <v>1</v>
      </c>
      <c r="L619" s="3" t="s">
        <v>2</v>
      </c>
      <c r="M619" s="3">
        <f>IF(Table1[[#This Row],[Cancellation Status]]&lt;&gt;"Yes",1,0)</f>
        <v>1</v>
      </c>
      <c r="O619" s="30">
        <v>45979</v>
      </c>
      <c r="P619" s="3">
        <v>4</v>
      </c>
      <c r="Q619" s="3">
        <v>4</v>
      </c>
      <c r="R619" s="3">
        <v>3</v>
      </c>
      <c r="S619" s="3">
        <v>9</v>
      </c>
      <c r="T61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19" t="str">
        <f>IF(Table1[[#This Row],[Customer Rating]]&gt;=9,"Promoter",IF(Table1[[#This Row],[Customer Rating]]&gt;=7,"Passive","Detractor"))</f>
        <v>Promoter</v>
      </c>
    </row>
    <row r="620" spans="1:21" ht="14.25" customHeight="1" x14ac:dyDescent="0.3">
      <c r="A620" s="3" t="s">
        <v>655</v>
      </c>
      <c r="B620" s="3" t="s">
        <v>26</v>
      </c>
      <c r="C620" s="3" t="s">
        <v>30</v>
      </c>
      <c r="D620" s="14">
        <v>45943</v>
      </c>
      <c r="E620" s="11">
        <f>1</f>
        <v>1</v>
      </c>
      <c r="F620" s="14">
        <v>45948</v>
      </c>
      <c r="G620" s="11">
        <f>IF(Table1[[#This Row],[Pre-Booking Date]]&lt;&gt;"",1,0)</f>
        <v>1</v>
      </c>
      <c r="H620" s="4">
        <v>45953</v>
      </c>
      <c r="I620" s="11">
        <f>IF(Table1[[#This Row],[Booking Date]]&lt;&gt;"",1,0)</f>
        <v>1</v>
      </c>
      <c r="J620" s="30">
        <v>45960</v>
      </c>
      <c r="K620" s="11">
        <f>IF(Table1[[#This Row],[Delivery Date]]&lt;&gt;"",1,0)</f>
        <v>1</v>
      </c>
      <c r="L620" s="3" t="s">
        <v>2</v>
      </c>
      <c r="M620" s="3">
        <f>IF(Table1[[#This Row],[Cancellation Status]]&lt;&gt;"Yes",1,0)</f>
        <v>1</v>
      </c>
      <c r="O620" s="30">
        <v>45980</v>
      </c>
      <c r="P620" s="3">
        <v>5</v>
      </c>
      <c r="Q620" s="3">
        <v>5</v>
      </c>
      <c r="R620" s="3">
        <v>7</v>
      </c>
      <c r="S620" s="3">
        <v>6</v>
      </c>
      <c r="T62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20" t="str">
        <f>IF(Table1[[#This Row],[Customer Rating]]&gt;=9,"Promoter",IF(Table1[[#This Row],[Customer Rating]]&gt;=7,"Passive","Detractor"))</f>
        <v>Detractor</v>
      </c>
    </row>
    <row r="621" spans="1:21" ht="14.25" customHeight="1" x14ac:dyDescent="0.3">
      <c r="A621" s="3" t="s">
        <v>656</v>
      </c>
      <c r="B621" s="3" t="s">
        <v>29</v>
      </c>
      <c r="C621" s="3" t="s">
        <v>30</v>
      </c>
      <c r="D621" s="14">
        <v>45943</v>
      </c>
      <c r="E621" s="11">
        <f>1</f>
        <v>1</v>
      </c>
      <c r="F621" s="14">
        <v>45948</v>
      </c>
      <c r="G621" s="11">
        <f>IF(Table1[[#This Row],[Pre-Booking Date]]&lt;&gt;"",1,0)</f>
        <v>1</v>
      </c>
      <c r="H621" s="4">
        <v>45952</v>
      </c>
      <c r="I621" s="11">
        <f>IF(Table1[[#This Row],[Booking Date]]&lt;&gt;"",1,0)</f>
        <v>1</v>
      </c>
      <c r="J621" s="30">
        <v>45959</v>
      </c>
      <c r="K621" s="11">
        <f>IF(Table1[[#This Row],[Delivery Date]]&lt;&gt;"",1,0)</f>
        <v>1</v>
      </c>
      <c r="L621" s="3" t="s">
        <v>2</v>
      </c>
      <c r="M621" s="3">
        <f>IF(Table1[[#This Row],[Cancellation Status]]&lt;&gt;"Yes",1,0)</f>
        <v>1</v>
      </c>
      <c r="O621" s="30">
        <v>45980</v>
      </c>
      <c r="P621" s="3">
        <v>5</v>
      </c>
      <c r="Q621" s="3">
        <v>4</v>
      </c>
      <c r="R621" s="3">
        <v>7</v>
      </c>
      <c r="S621" s="3">
        <v>2</v>
      </c>
      <c r="T62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21" t="str">
        <f>IF(Table1[[#This Row],[Customer Rating]]&gt;=9,"Promoter",IF(Table1[[#This Row],[Customer Rating]]&gt;=7,"Passive","Detractor"))</f>
        <v>Detractor</v>
      </c>
    </row>
    <row r="622" spans="1:21" ht="14.25" customHeight="1" x14ac:dyDescent="0.3">
      <c r="A622" s="3" t="s">
        <v>657</v>
      </c>
      <c r="B622" s="3" t="s">
        <v>39</v>
      </c>
      <c r="C622" s="3" t="s">
        <v>30</v>
      </c>
      <c r="D622" s="14">
        <v>45943</v>
      </c>
      <c r="E622" s="11">
        <f>1</f>
        <v>1</v>
      </c>
      <c r="F622" s="14">
        <v>45944</v>
      </c>
      <c r="G622" s="11">
        <f>IF(Table1[[#This Row],[Pre-Booking Date]]&lt;&gt;"",1,0)</f>
        <v>1</v>
      </c>
      <c r="H622" s="4">
        <v>45946</v>
      </c>
      <c r="I622" s="11">
        <f>IF(Table1[[#This Row],[Booking Date]]&lt;&gt;"",1,0)</f>
        <v>1</v>
      </c>
      <c r="J622" s="30">
        <v>45949</v>
      </c>
      <c r="K622" s="11">
        <f>IF(Table1[[#This Row],[Delivery Date]]&lt;&gt;"",1,0)</f>
        <v>1</v>
      </c>
      <c r="L622" s="3" t="s">
        <v>2</v>
      </c>
      <c r="M622" s="3">
        <f>IF(Table1[[#This Row],[Cancellation Status]]&lt;&gt;"Yes",1,0)</f>
        <v>1</v>
      </c>
      <c r="O622" s="30">
        <v>45959</v>
      </c>
      <c r="P622" s="3">
        <v>1</v>
      </c>
      <c r="Q622" s="3">
        <v>2</v>
      </c>
      <c r="R622" s="3">
        <v>3</v>
      </c>
      <c r="S622" s="3">
        <v>0</v>
      </c>
      <c r="T62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22" t="str">
        <f>IF(Table1[[#This Row],[Customer Rating]]&gt;=9,"Promoter",IF(Table1[[#This Row],[Customer Rating]]&gt;=7,"Passive","Detractor"))</f>
        <v>Detractor</v>
      </c>
    </row>
    <row r="623" spans="1:21" ht="14.25" customHeight="1" x14ac:dyDescent="0.3">
      <c r="A623" s="3" t="s">
        <v>658</v>
      </c>
      <c r="B623" s="3" t="s">
        <v>26</v>
      </c>
      <c r="C623" s="3" t="s">
        <v>30</v>
      </c>
      <c r="D623" s="14">
        <v>45943</v>
      </c>
      <c r="E623" s="11">
        <f>1</f>
        <v>1</v>
      </c>
      <c r="F623" s="14">
        <v>45944</v>
      </c>
      <c r="G623" s="11">
        <f>IF(Table1[[#This Row],[Pre-Booking Date]]&lt;&gt;"",1,0)</f>
        <v>1</v>
      </c>
      <c r="H623" s="4">
        <v>45948</v>
      </c>
      <c r="I623" s="11">
        <f>IF(Table1[[#This Row],[Booking Date]]&lt;&gt;"",1,0)</f>
        <v>1</v>
      </c>
      <c r="J623" s="30">
        <v>45955</v>
      </c>
      <c r="K623" s="11">
        <f>IF(Table1[[#This Row],[Delivery Date]]&lt;&gt;"",1,0)</f>
        <v>1</v>
      </c>
      <c r="L623" s="3" t="s">
        <v>2</v>
      </c>
      <c r="M623" s="3">
        <f>IF(Table1[[#This Row],[Cancellation Status]]&lt;&gt;"Yes",1,0)</f>
        <v>1</v>
      </c>
      <c r="O623" s="30">
        <v>45977</v>
      </c>
      <c r="P623" s="3">
        <v>1</v>
      </c>
      <c r="Q623" s="3">
        <v>4</v>
      </c>
      <c r="R623" s="3">
        <v>7</v>
      </c>
      <c r="S623" s="3">
        <v>6</v>
      </c>
      <c r="T62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23" t="str">
        <f>IF(Table1[[#This Row],[Customer Rating]]&gt;=9,"Promoter",IF(Table1[[#This Row],[Customer Rating]]&gt;=7,"Passive","Detractor"))</f>
        <v>Detractor</v>
      </c>
    </row>
    <row r="624" spans="1:21" ht="14.25" customHeight="1" x14ac:dyDescent="0.3">
      <c r="A624" s="3" t="s">
        <v>659</v>
      </c>
      <c r="B624" s="3" t="s">
        <v>32</v>
      </c>
      <c r="C624" s="3" t="s">
        <v>27</v>
      </c>
      <c r="D624" s="14">
        <v>45943</v>
      </c>
      <c r="E624" s="11">
        <f>1</f>
        <v>1</v>
      </c>
      <c r="F624" s="14">
        <v>45945</v>
      </c>
      <c r="G624" s="11">
        <f>IF(Table1[[#This Row],[Pre-Booking Date]]&lt;&gt;"",1,0)</f>
        <v>1</v>
      </c>
      <c r="H624" s="4">
        <v>45949</v>
      </c>
      <c r="I624" s="11">
        <f>IF(Table1[[#This Row],[Booking Date]]&lt;&gt;"",1,0)</f>
        <v>1</v>
      </c>
      <c r="J624" s="30">
        <v>45956</v>
      </c>
      <c r="K624" s="11">
        <f>IF(Table1[[#This Row],[Delivery Date]]&lt;&gt;"",1,0)</f>
        <v>1</v>
      </c>
      <c r="L624" s="3" t="s">
        <v>2</v>
      </c>
      <c r="M624" s="3">
        <f>IF(Table1[[#This Row],[Cancellation Status]]&lt;&gt;"Yes",1,0)</f>
        <v>1</v>
      </c>
      <c r="O624" s="30">
        <v>45975</v>
      </c>
      <c r="P624" s="3">
        <v>2</v>
      </c>
      <c r="Q624" s="3">
        <v>4</v>
      </c>
      <c r="R624" s="3">
        <v>7</v>
      </c>
      <c r="S624" s="3">
        <v>0</v>
      </c>
      <c r="T62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24" t="str">
        <f>IF(Table1[[#This Row],[Customer Rating]]&gt;=9,"Promoter",IF(Table1[[#This Row],[Customer Rating]]&gt;=7,"Passive","Detractor"))</f>
        <v>Detractor</v>
      </c>
    </row>
    <row r="625" spans="1:21" ht="14.25" customHeight="1" x14ac:dyDescent="0.3">
      <c r="A625" s="3" t="s">
        <v>660</v>
      </c>
      <c r="B625" s="3" t="s">
        <v>26</v>
      </c>
      <c r="C625" s="3" t="s">
        <v>33</v>
      </c>
      <c r="D625" s="14">
        <v>45943</v>
      </c>
      <c r="E625" s="11">
        <f>1</f>
        <v>1</v>
      </c>
      <c r="G625" s="12">
        <f>IF(Table1[[#This Row],[Pre-Booking Date]]&lt;&gt;"",1,0)</f>
        <v>0</v>
      </c>
      <c r="I625" s="12">
        <f>IF(Table1[[#This Row],[Booking Date]]&lt;&gt;"",1,0)</f>
        <v>0</v>
      </c>
      <c r="K625" s="12">
        <f>IF(Table1[[#This Row],[Delivery Date]]&lt;&gt;"",1,0)</f>
        <v>0</v>
      </c>
      <c r="L625" s="3" t="s">
        <v>3</v>
      </c>
      <c r="M625" s="3">
        <f>IF(Table1[[#This Row],[Cancellation Status]]&lt;&gt;"Yes",1,0)</f>
        <v>0</v>
      </c>
      <c r="N625" s="3" t="s">
        <v>37</v>
      </c>
      <c r="T62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25" t="str">
        <f>IF(Table1[[#This Row],[Customer Rating]]&gt;=9,"Promoter",IF(Table1[[#This Row],[Customer Rating]]&gt;=7,"Passive","Detractor"))</f>
        <v>Detractor</v>
      </c>
    </row>
    <row r="626" spans="1:21" ht="14.25" customHeight="1" x14ac:dyDescent="0.3">
      <c r="A626" s="3" t="s">
        <v>661</v>
      </c>
      <c r="B626" s="3" t="s">
        <v>39</v>
      </c>
      <c r="C626" s="3" t="s">
        <v>27</v>
      </c>
      <c r="D626" s="14">
        <v>45943</v>
      </c>
      <c r="E626" s="11">
        <f>1</f>
        <v>1</v>
      </c>
      <c r="F626" s="14">
        <v>45947</v>
      </c>
      <c r="G626" s="11">
        <f>IF(Table1[[#This Row],[Pre-Booking Date]]&lt;&gt;"",1,0)</f>
        <v>1</v>
      </c>
      <c r="H626" s="4">
        <v>45950</v>
      </c>
      <c r="I626" s="11">
        <f>IF(Table1[[#This Row],[Booking Date]]&lt;&gt;"",1,0)</f>
        <v>1</v>
      </c>
      <c r="J626" s="30">
        <v>45953</v>
      </c>
      <c r="K626" s="11">
        <f>IF(Table1[[#This Row],[Delivery Date]]&lt;&gt;"",1,0)</f>
        <v>1</v>
      </c>
      <c r="L626" s="3" t="s">
        <v>3</v>
      </c>
      <c r="M626" s="3">
        <f>IF(Table1[[#This Row],[Cancellation Status]]&lt;&gt;"Yes",1,0)</f>
        <v>0</v>
      </c>
      <c r="N626" s="3" t="s">
        <v>52</v>
      </c>
      <c r="P626" s="3">
        <v>4</v>
      </c>
      <c r="Q626" s="3">
        <v>3</v>
      </c>
      <c r="R626" s="3">
        <v>3</v>
      </c>
      <c r="T62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26" t="str">
        <f>IF(Table1[[#This Row],[Customer Rating]]&gt;=9,"Promoter",IF(Table1[[#This Row],[Customer Rating]]&gt;=7,"Passive","Detractor"))</f>
        <v>Detractor</v>
      </c>
    </row>
    <row r="627" spans="1:21" ht="14.25" customHeight="1" x14ac:dyDescent="0.3">
      <c r="A627" s="3" t="s">
        <v>662</v>
      </c>
      <c r="B627" s="3" t="s">
        <v>32</v>
      </c>
      <c r="C627" s="3" t="s">
        <v>27</v>
      </c>
      <c r="D627" s="14">
        <v>45943</v>
      </c>
      <c r="E627" s="11">
        <f>1</f>
        <v>1</v>
      </c>
      <c r="F627" s="14">
        <v>45944</v>
      </c>
      <c r="G627" s="11">
        <f>IF(Table1[[#This Row],[Pre-Booking Date]]&lt;&gt;"",1,0)</f>
        <v>1</v>
      </c>
      <c r="H627" s="4">
        <v>45948</v>
      </c>
      <c r="I627" s="11">
        <f>IF(Table1[[#This Row],[Booking Date]]&lt;&gt;"",1,0)</f>
        <v>1</v>
      </c>
      <c r="J627" s="30">
        <v>45952</v>
      </c>
      <c r="K627" s="11">
        <f>IF(Table1[[#This Row],[Delivery Date]]&lt;&gt;"",1,0)</f>
        <v>1</v>
      </c>
      <c r="L627" s="3" t="s">
        <v>2</v>
      </c>
      <c r="M627" s="3">
        <f>IF(Table1[[#This Row],[Cancellation Status]]&lt;&gt;"Yes",1,0)</f>
        <v>1</v>
      </c>
      <c r="O627" s="30">
        <v>45982</v>
      </c>
      <c r="P627" s="3">
        <v>1</v>
      </c>
      <c r="Q627" s="3">
        <v>4</v>
      </c>
      <c r="R627" s="3">
        <v>4</v>
      </c>
      <c r="S627" s="3">
        <v>1</v>
      </c>
      <c r="T62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27" t="str">
        <f>IF(Table1[[#This Row],[Customer Rating]]&gt;=9,"Promoter",IF(Table1[[#This Row],[Customer Rating]]&gt;=7,"Passive","Detractor"))</f>
        <v>Detractor</v>
      </c>
    </row>
    <row r="628" spans="1:21" ht="14.25" customHeight="1" x14ac:dyDescent="0.3">
      <c r="A628" s="3" t="s">
        <v>663</v>
      </c>
      <c r="B628" s="3" t="s">
        <v>32</v>
      </c>
      <c r="C628" s="3" t="s">
        <v>27</v>
      </c>
      <c r="D628" s="14">
        <v>45943</v>
      </c>
      <c r="E628" s="11">
        <f>1</f>
        <v>1</v>
      </c>
      <c r="F628" s="14">
        <v>45946</v>
      </c>
      <c r="G628" s="11">
        <f>IF(Table1[[#This Row],[Pre-Booking Date]]&lt;&gt;"",1,0)</f>
        <v>1</v>
      </c>
      <c r="H628" s="4">
        <v>45950</v>
      </c>
      <c r="I628" s="11">
        <f>IF(Table1[[#This Row],[Booking Date]]&lt;&gt;"",1,0)</f>
        <v>1</v>
      </c>
      <c r="J628" s="30">
        <v>45955</v>
      </c>
      <c r="K628" s="11">
        <f>IF(Table1[[#This Row],[Delivery Date]]&lt;&gt;"",1,0)</f>
        <v>1</v>
      </c>
      <c r="L628" s="3" t="s">
        <v>3</v>
      </c>
      <c r="M628" s="3">
        <f>IF(Table1[[#This Row],[Cancellation Status]]&lt;&gt;"Yes",1,0)</f>
        <v>0</v>
      </c>
      <c r="N628" s="3" t="s">
        <v>55</v>
      </c>
      <c r="P628" s="3">
        <v>3</v>
      </c>
      <c r="Q628" s="3">
        <v>4</v>
      </c>
      <c r="R628" s="3">
        <v>5</v>
      </c>
      <c r="T62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28" t="str">
        <f>IF(Table1[[#This Row],[Customer Rating]]&gt;=9,"Promoter",IF(Table1[[#This Row],[Customer Rating]]&gt;=7,"Passive","Detractor"))</f>
        <v>Detractor</v>
      </c>
    </row>
    <row r="629" spans="1:21" ht="14.25" customHeight="1" x14ac:dyDescent="0.3">
      <c r="A629" s="3" t="s">
        <v>664</v>
      </c>
      <c r="B629" s="3" t="s">
        <v>29</v>
      </c>
      <c r="C629" s="3" t="s">
        <v>33</v>
      </c>
      <c r="D629" s="14">
        <v>45942</v>
      </c>
      <c r="E629" s="11">
        <f>1</f>
        <v>1</v>
      </c>
      <c r="G629" s="12">
        <f>IF(Table1[[#This Row],[Pre-Booking Date]]&lt;&gt;"",1,0)</f>
        <v>0</v>
      </c>
      <c r="I629" s="12">
        <f>IF(Table1[[#This Row],[Booking Date]]&lt;&gt;"",1,0)</f>
        <v>0</v>
      </c>
      <c r="K629" s="12">
        <f>IF(Table1[[#This Row],[Delivery Date]]&lt;&gt;"",1,0)</f>
        <v>0</v>
      </c>
      <c r="L629" s="3" t="s">
        <v>3</v>
      </c>
      <c r="M629" s="3">
        <f>IF(Table1[[#This Row],[Cancellation Status]]&lt;&gt;"Yes",1,0)</f>
        <v>0</v>
      </c>
      <c r="N629" s="3" t="s">
        <v>52</v>
      </c>
      <c r="T62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29" t="str">
        <f>IF(Table1[[#This Row],[Customer Rating]]&gt;=9,"Promoter",IF(Table1[[#This Row],[Customer Rating]]&gt;=7,"Passive","Detractor"))</f>
        <v>Detractor</v>
      </c>
    </row>
    <row r="630" spans="1:21" ht="14.25" customHeight="1" x14ac:dyDescent="0.3">
      <c r="A630" s="3" t="s">
        <v>665</v>
      </c>
      <c r="B630" s="3" t="s">
        <v>32</v>
      </c>
      <c r="C630" s="3" t="s">
        <v>27</v>
      </c>
      <c r="D630" s="14">
        <v>45942</v>
      </c>
      <c r="E630" s="11">
        <f>1</f>
        <v>1</v>
      </c>
      <c r="F630" s="14">
        <v>45947</v>
      </c>
      <c r="G630" s="11">
        <f>IF(Table1[[#This Row],[Pre-Booking Date]]&lt;&gt;"",1,0)</f>
        <v>1</v>
      </c>
      <c r="H630" s="4">
        <v>45949</v>
      </c>
      <c r="I630" s="11">
        <f>IF(Table1[[#This Row],[Booking Date]]&lt;&gt;"",1,0)</f>
        <v>1</v>
      </c>
      <c r="J630" s="30">
        <v>45955</v>
      </c>
      <c r="K630" s="11">
        <f>IF(Table1[[#This Row],[Delivery Date]]&lt;&gt;"",1,0)</f>
        <v>1</v>
      </c>
      <c r="L630" s="3" t="s">
        <v>2</v>
      </c>
      <c r="M630" s="3">
        <f>IF(Table1[[#This Row],[Cancellation Status]]&lt;&gt;"Yes",1,0)</f>
        <v>1</v>
      </c>
      <c r="O630" s="30">
        <v>45984</v>
      </c>
      <c r="P630" s="3">
        <v>5</v>
      </c>
      <c r="Q630" s="3">
        <v>2</v>
      </c>
      <c r="R630" s="3">
        <v>6</v>
      </c>
      <c r="S630" s="3">
        <v>7</v>
      </c>
      <c r="T63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30" t="str">
        <f>IF(Table1[[#This Row],[Customer Rating]]&gt;=9,"Promoter",IF(Table1[[#This Row],[Customer Rating]]&gt;=7,"Passive","Detractor"))</f>
        <v>Passive</v>
      </c>
    </row>
    <row r="631" spans="1:21" ht="14.25" customHeight="1" x14ac:dyDescent="0.3">
      <c r="A631" s="3" t="s">
        <v>666</v>
      </c>
      <c r="B631" s="3" t="s">
        <v>29</v>
      </c>
      <c r="C631" s="3" t="s">
        <v>30</v>
      </c>
      <c r="D631" s="14">
        <v>45942</v>
      </c>
      <c r="E631" s="11">
        <f>1</f>
        <v>1</v>
      </c>
      <c r="F631" s="14">
        <v>45944</v>
      </c>
      <c r="G631" s="11">
        <f>IF(Table1[[#This Row],[Pre-Booking Date]]&lt;&gt;"",1,0)</f>
        <v>1</v>
      </c>
      <c r="H631" s="4">
        <v>45948</v>
      </c>
      <c r="I631" s="11">
        <f>IF(Table1[[#This Row],[Booking Date]]&lt;&gt;"",1,0)</f>
        <v>1</v>
      </c>
      <c r="J631" s="30">
        <v>45951</v>
      </c>
      <c r="K631" s="11">
        <f>IF(Table1[[#This Row],[Delivery Date]]&lt;&gt;"",1,0)</f>
        <v>1</v>
      </c>
      <c r="L631" s="3" t="s">
        <v>2</v>
      </c>
      <c r="M631" s="3">
        <f>IF(Table1[[#This Row],[Cancellation Status]]&lt;&gt;"Yes",1,0)</f>
        <v>1</v>
      </c>
      <c r="O631" s="30">
        <v>45963</v>
      </c>
      <c r="P631" s="3">
        <v>2</v>
      </c>
      <c r="Q631" s="3">
        <v>4</v>
      </c>
      <c r="R631" s="3">
        <v>3</v>
      </c>
      <c r="S631" s="3">
        <v>1</v>
      </c>
      <c r="T63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31" t="str">
        <f>IF(Table1[[#This Row],[Customer Rating]]&gt;=9,"Promoter",IF(Table1[[#This Row],[Customer Rating]]&gt;=7,"Passive","Detractor"))</f>
        <v>Detractor</v>
      </c>
    </row>
    <row r="632" spans="1:21" ht="14.25" customHeight="1" x14ac:dyDescent="0.3">
      <c r="A632" s="3" t="s">
        <v>667</v>
      </c>
      <c r="B632" s="3" t="s">
        <v>26</v>
      </c>
      <c r="C632" s="3" t="s">
        <v>33</v>
      </c>
      <c r="D632" s="14">
        <v>45942</v>
      </c>
      <c r="E632" s="11">
        <f>1</f>
        <v>1</v>
      </c>
      <c r="G632" s="12">
        <f>IF(Table1[[#This Row],[Pre-Booking Date]]&lt;&gt;"",1,0)</f>
        <v>0</v>
      </c>
      <c r="I632" s="12">
        <f>IF(Table1[[#This Row],[Booking Date]]&lt;&gt;"",1,0)</f>
        <v>0</v>
      </c>
      <c r="K632" s="12">
        <f>IF(Table1[[#This Row],[Delivery Date]]&lt;&gt;"",1,0)</f>
        <v>0</v>
      </c>
      <c r="L632" s="3" t="s">
        <v>3</v>
      </c>
      <c r="M632" s="3">
        <f>IF(Table1[[#This Row],[Cancellation Status]]&lt;&gt;"Yes",1,0)</f>
        <v>0</v>
      </c>
      <c r="N632" s="3" t="s">
        <v>34</v>
      </c>
      <c r="T63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32" t="str">
        <f>IF(Table1[[#This Row],[Customer Rating]]&gt;=9,"Promoter",IF(Table1[[#This Row],[Customer Rating]]&gt;=7,"Passive","Detractor"))</f>
        <v>Detractor</v>
      </c>
    </row>
    <row r="633" spans="1:21" ht="14.25" customHeight="1" x14ac:dyDescent="0.3">
      <c r="A633" s="3" t="s">
        <v>668</v>
      </c>
      <c r="B633" s="3" t="s">
        <v>32</v>
      </c>
      <c r="C633" s="3" t="s">
        <v>33</v>
      </c>
      <c r="D633" s="14">
        <v>45942</v>
      </c>
      <c r="E633" s="11">
        <f>1</f>
        <v>1</v>
      </c>
      <c r="G633" s="12">
        <f>IF(Table1[[#This Row],[Pre-Booking Date]]&lt;&gt;"",1,0)</f>
        <v>0</v>
      </c>
      <c r="I633" s="12">
        <f>IF(Table1[[#This Row],[Booking Date]]&lt;&gt;"",1,0)</f>
        <v>0</v>
      </c>
      <c r="K633" s="12">
        <f>IF(Table1[[#This Row],[Delivery Date]]&lt;&gt;"",1,0)</f>
        <v>0</v>
      </c>
      <c r="L633" s="3" t="s">
        <v>3</v>
      </c>
      <c r="M633" s="3">
        <f>IF(Table1[[#This Row],[Cancellation Status]]&lt;&gt;"Yes",1,0)</f>
        <v>0</v>
      </c>
      <c r="N633" s="3" t="s">
        <v>34</v>
      </c>
      <c r="T63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33" t="str">
        <f>IF(Table1[[#This Row],[Customer Rating]]&gt;=9,"Promoter",IF(Table1[[#This Row],[Customer Rating]]&gt;=7,"Passive","Detractor"))</f>
        <v>Detractor</v>
      </c>
    </row>
    <row r="634" spans="1:21" ht="14.25" customHeight="1" x14ac:dyDescent="0.3">
      <c r="A634" s="3" t="s">
        <v>669</v>
      </c>
      <c r="B634" s="3" t="s">
        <v>39</v>
      </c>
      <c r="C634" s="3" t="s">
        <v>30</v>
      </c>
      <c r="D634" s="14">
        <v>45942</v>
      </c>
      <c r="E634" s="11">
        <f>1</f>
        <v>1</v>
      </c>
      <c r="F634" s="14">
        <v>45947</v>
      </c>
      <c r="G634" s="11">
        <f>IF(Table1[[#This Row],[Pre-Booking Date]]&lt;&gt;"",1,0)</f>
        <v>1</v>
      </c>
      <c r="H634" s="4">
        <v>45951</v>
      </c>
      <c r="I634" s="11">
        <f>IF(Table1[[#This Row],[Booking Date]]&lt;&gt;"",1,0)</f>
        <v>1</v>
      </c>
      <c r="J634" s="30">
        <v>45957</v>
      </c>
      <c r="K634" s="11">
        <f>IF(Table1[[#This Row],[Delivery Date]]&lt;&gt;"",1,0)</f>
        <v>1</v>
      </c>
      <c r="L634" s="3" t="s">
        <v>2</v>
      </c>
      <c r="M634" s="3">
        <f>IF(Table1[[#This Row],[Cancellation Status]]&lt;&gt;"Yes",1,0)</f>
        <v>1</v>
      </c>
      <c r="O634" s="30">
        <v>45978</v>
      </c>
      <c r="P634" s="3">
        <v>5</v>
      </c>
      <c r="Q634" s="3">
        <v>4</v>
      </c>
      <c r="R634" s="3">
        <v>6</v>
      </c>
      <c r="S634" s="3">
        <v>1</v>
      </c>
      <c r="T63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34" t="str">
        <f>IF(Table1[[#This Row],[Customer Rating]]&gt;=9,"Promoter",IF(Table1[[#This Row],[Customer Rating]]&gt;=7,"Passive","Detractor"))</f>
        <v>Detractor</v>
      </c>
    </row>
    <row r="635" spans="1:21" ht="14.25" customHeight="1" x14ac:dyDescent="0.3">
      <c r="A635" s="3" t="s">
        <v>670</v>
      </c>
      <c r="B635" s="3" t="s">
        <v>32</v>
      </c>
      <c r="C635" s="3" t="s">
        <v>27</v>
      </c>
      <c r="D635" s="14">
        <v>45942</v>
      </c>
      <c r="E635" s="11">
        <f>1</f>
        <v>1</v>
      </c>
      <c r="F635" s="14">
        <v>45946</v>
      </c>
      <c r="G635" s="11">
        <f>IF(Table1[[#This Row],[Pre-Booking Date]]&lt;&gt;"",1,0)</f>
        <v>1</v>
      </c>
      <c r="H635" s="4">
        <v>45950</v>
      </c>
      <c r="I635" s="11">
        <f>IF(Table1[[#This Row],[Booking Date]]&lt;&gt;"",1,0)</f>
        <v>1</v>
      </c>
      <c r="J635" s="30">
        <v>45957</v>
      </c>
      <c r="K635" s="11">
        <f>IF(Table1[[#This Row],[Delivery Date]]&lt;&gt;"",1,0)</f>
        <v>1</v>
      </c>
      <c r="L635" s="3" t="s">
        <v>2</v>
      </c>
      <c r="M635" s="3">
        <f>IF(Table1[[#This Row],[Cancellation Status]]&lt;&gt;"Yes",1,0)</f>
        <v>1</v>
      </c>
      <c r="O635" s="30">
        <v>45973</v>
      </c>
      <c r="P635" s="3">
        <v>4</v>
      </c>
      <c r="Q635" s="3">
        <v>4</v>
      </c>
      <c r="R635" s="3">
        <v>7</v>
      </c>
      <c r="S635" s="3">
        <v>4</v>
      </c>
      <c r="T63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35" t="str">
        <f>IF(Table1[[#This Row],[Customer Rating]]&gt;=9,"Promoter",IF(Table1[[#This Row],[Customer Rating]]&gt;=7,"Passive","Detractor"))</f>
        <v>Detractor</v>
      </c>
    </row>
    <row r="636" spans="1:21" ht="14.25" customHeight="1" x14ac:dyDescent="0.3">
      <c r="A636" s="3" t="s">
        <v>671</v>
      </c>
      <c r="B636" s="3" t="s">
        <v>32</v>
      </c>
      <c r="C636" s="3" t="s">
        <v>27</v>
      </c>
      <c r="D636" s="14">
        <v>45942</v>
      </c>
      <c r="E636" s="11">
        <f>1</f>
        <v>1</v>
      </c>
      <c r="F636" s="14">
        <v>45945</v>
      </c>
      <c r="G636" s="11">
        <f>IF(Table1[[#This Row],[Pre-Booking Date]]&lt;&gt;"",1,0)</f>
        <v>1</v>
      </c>
      <c r="H636" s="4">
        <v>45947</v>
      </c>
      <c r="I636" s="11">
        <f>IF(Table1[[#This Row],[Booking Date]]&lt;&gt;"",1,0)</f>
        <v>1</v>
      </c>
      <c r="J636" s="30">
        <v>45950</v>
      </c>
      <c r="K636" s="11">
        <f>IF(Table1[[#This Row],[Delivery Date]]&lt;&gt;"",1,0)</f>
        <v>1</v>
      </c>
      <c r="L636" s="3" t="s">
        <v>2</v>
      </c>
      <c r="M636" s="3">
        <f>IF(Table1[[#This Row],[Cancellation Status]]&lt;&gt;"Yes",1,0)</f>
        <v>1</v>
      </c>
      <c r="O636" s="30">
        <v>45977</v>
      </c>
      <c r="P636" s="3">
        <v>3</v>
      </c>
      <c r="Q636" s="3">
        <v>2</v>
      </c>
      <c r="R636" s="3">
        <v>3</v>
      </c>
      <c r="S636" s="3">
        <v>4</v>
      </c>
      <c r="T63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36" t="str">
        <f>IF(Table1[[#This Row],[Customer Rating]]&gt;=9,"Promoter",IF(Table1[[#This Row],[Customer Rating]]&gt;=7,"Passive","Detractor"))</f>
        <v>Detractor</v>
      </c>
    </row>
    <row r="637" spans="1:21" ht="14.25" customHeight="1" x14ac:dyDescent="0.3">
      <c r="A637" s="3" t="s">
        <v>672</v>
      </c>
      <c r="B637" s="3" t="s">
        <v>26</v>
      </c>
      <c r="C637" s="3" t="s">
        <v>33</v>
      </c>
      <c r="D637" s="14">
        <v>45942</v>
      </c>
      <c r="E637" s="11">
        <f>1</f>
        <v>1</v>
      </c>
      <c r="G637" s="12">
        <f>IF(Table1[[#This Row],[Pre-Booking Date]]&lt;&gt;"",1,0)</f>
        <v>0</v>
      </c>
      <c r="I637" s="12">
        <f>IF(Table1[[#This Row],[Booking Date]]&lt;&gt;"",1,0)</f>
        <v>0</v>
      </c>
      <c r="K637" s="12">
        <f>IF(Table1[[#This Row],[Delivery Date]]&lt;&gt;"",1,0)</f>
        <v>0</v>
      </c>
      <c r="L637" s="3" t="s">
        <v>3</v>
      </c>
      <c r="M637" s="3">
        <f>IF(Table1[[#This Row],[Cancellation Status]]&lt;&gt;"Yes",1,0)</f>
        <v>0</v>
      </c>
      <c r="N637" s="3" t="s">
        <v>34</v>
      </c>
      <c r="T63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37" t="str">
        <f>IF(Table1[[#This Row],[Customer Rating]]&gt;=9,"Promoter",IF(Table1[[#This Row],[Customer Rating]]&gt;=7,"Passive","Detractor"))</f>
        <v>Detractor</v>
      </c>
    </row>
    <row r="638" spans="1:21" ht="14.25" customHeight="1" x14ac:dyDescent="0.3">
      <c r="A638" s="3" t="s">
        <v>673</v>
      </c>
      <c r="B638" s="3" t="s">
        <v>29</v>
      </c>
      <c r="C638" s="3" t="s">
        <v>27</v>
      </c>
      <c r="D638" s="14">
        <v>45942</v>
      </c>
      <c r="E638" s="11">
        <f>1</f>
        <v>1</v>
      </c>
      <c r="F638" s="14">
        <v>45943</v>
      </c>
      <c r="G638" s="11">
        <f>IF(Table1[[#This Row],[Pre-Booking Date]]&lt;&gt;"",1,0)</f>
        <v>1</v>
      </c>
      <c r="H638" s="4">
        <v>45948</v>
      </c>
      <c r="I638" s="11">
        <f>IF(Table1[[#This Row],[Booking Date]]&lt;&gt;"",1,0)</f>
        <v>1</v>
      </c>
      <c r="J638" s="30">
        <v>45952</v>
      </c>
      <c r="K638" s="11">
        <f>IF(Table1[[#This Row],[Delivery Date]]&lt;&gt;"",1,0)</f>
        <v>1</v>
      </c>
      <c r="L638" s="3" t="s">
        <v>2</v>
      </c>
      <c r="M638" s="3">
        <f>IF(Table1[[#This Row],[Cancellation Status]]&lt;&gt;"Yes",1,0)</f>
        <v>1</v>
      </c>
      <c r="O638" s="30">
        <v>45970</v>
      </c>
      <c r="P638" s="3">
        <v>1</v>
      </c>
      <c r="Q638" s="3">
        <v>5</v>
      </c>
      <c r="R638" s="3">
        <v>4</v>
      </c>
      <c r="S638" s="3">
        <v>8</v>
      </c>
      <c r="T63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38" t="str">
        <f>IF(Table1[[#This Row],[Customer Rating]]&gt;=9,"Promoter",IF(Table1[[#This Row],[Customer Rating]]&gt;=7,"Passive","Detractor"))</f>
        <v>Passive</v>
      </c>
    </row>
    <row r="639" spans="1:21" ht="14.25" customHeight="1" x14ac:dyDescent="0.3">
      <c r="A639" s="3" t="s">
        <v>674</v>
      </c>
      <c r="B639" s="3" t="s">
        <v>39</v>
      </c>
      <c r="C639" s="3" t="s">
        <v>33</v>
      </c>
      <c r="D639" s="14">
        <v>45942</v>
      </c>
      <c r="E639" s="11">
        <f>1</f>
        <v>1</v>
      </c>
      <c r="G639" s="12">
        <f>IF(Table1[[#This Row],[Pre-Booking Date]]&lt;&gt;"",1,0)</f>
        <v>0</v>
      </c>
      <c r="I639" s="12">
        <f>IF(Table1[[#This Row],[Booking Date]]&lt;&gt;"",1,0)</f>
        <v>0</v>
      </c>
      <c r="K639" s="12">
        <f>IF(Table1[[#This Row],[Delivery Date]]&lt;&gt;"",1,0)</f>
        <v>0</v>
      </c>
      <c r="L639" s="3" t="s">
        <v>3</v>
      </c>
      <c r="M639" s="3">
        <f>IF(Table1[[#This Row],[Cancellation Status]]&lt;&gt;"Yes",1,0)</f>
        <v>0</v>
      </c>
      <c r="N639" s="3" t="s">
        <v>42</v>
      </c>
      <c r="T63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39" t="str">
        <f>IF(Table1[[#This Row],[Customer Rating]]&gt;=9,"Promoter",IF(Table1[[#This Row],[Customer Rating]]&gt;=7,"Passive","Detractor"))</f>
        <v>Detractor</v>
      </c>
    </row>
    <row r="640" spans="1:21" ht="14.25" customHeight="1" x14ac:dyDescent="0.3">
      <c r="A640" s="3" t="s">
        <v>675</v>
      </c>
      <c r="B640" s="3" t="s">
        <v>39</v>
      </c>
      <c r="C640" s="3" t="s">
        <v>27</v>
      </c>
      <c r="D640" s="14">
        <v>45942</v>
      </c>
      <c r="E640" s="11">
        <f>1</f>
        <v>1</v>
      </c>
      <c r="F640" s="14">
        <v>45945</v>
      </c>
      <c r="G640" s="11">
        <f>IF(Table1[[#This Row],[Pre-Booking Date]]&lt;&gt;"",1,0)</f>
        <v>1</v>
      </c>
      <c r="H640" s="4">
        <v>45946</v>
      </c>
      <c r="I640" s="11">
        <f>IF(Table1[[#This Row],[Booking Date]]&lt;&gt;"",1,0)</f>
        <v>1</v>
      </c>
      <c r="J640" s="30">
        <v>45953</v>
      </c>
      <c r="K640" s="11">
        <f>IF(Table1[[#This Row],[Delivery Date]]&lt;&gt;"",1,0)</f>
        <v>1</v>
      </c>
      <c r="L640" s="3" t="s">
        <v>2</v>
      </c>
      <c r="M640" s="3">
        <f>IF(Table1[[#This Row],[Cancellation Status]]&lt;&gt;"Yes",1,0)</f>
        <v>1</v>
      </c>
      <c r="O640" s="30">
        <v>45978</v>
      </c>
      <c r="P640" s="3">
        <v>3</v>
      </c>
      <c r="Q640" s="3">
        <v>1</v>
      </c>
      <c r="R640" s="3">
        <v>7</v>
      </c>
      <c r="S640" s="3">
        <v>3</v>
      </c>
      <c r="T64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40" t="str">
        <f>IF(Table1[[#This Row],[Customer Rating]]&gt;=9,"Promoter",IF(Table1[[#This Row],[Customer Rating]]&gt;=7,"Passive","Detractor"))</f>
        <v>Detractor</v>
      </c>
    </row>
    <row r="641" spans="1:21" ht="14.25" customHeight="1" x14ac:dyDescent="0.3">
      <c r="A641" s="3" t="s">
        <v>676</v>
      </c>
      <c r="B641" s="3" t="s">
        <v>39</v>
      </c>
      <c r="C641" s="3" t="s">
        <v>27</v>
      </c>
      <c r="D641" s="14">
        <v>45942</v>
      </c>
      <c r="E641" s="11">
        <f>1</f>
        <v>1</v>
      </c>
      <c r="F641" s="14">
        <v>45945</v>
      </c>
      <c r="G641" s="11">
        <f>IF(Table1[[#This Row],[Pre-Booking Date]]&lt;&gt;"",1,0)</f>
        <v>1</v>
      </c>
      <c r="H641" s="4">
        <v>45947</v>
      </c>
      <c r="I641" s="11">
        <f>IF(Table1[[#This Row],[Booking Date]]&lt;&gt;"",1,0)</f>
        <v>1</v>
      </c>
      <c r="J641" s="30">
        <v>45952</v>
      </c>
      <c r="K641" s="11">
        <f>IF(Table1[[#This Row],[Delivery Date]]&lt;&gt;"",1,0)</f>
        <v>1</v>
      </c>
      <c r="L641" s="3" t="s">
        <v>2</v>
      </c>
      <c r="M641" s="3">
        <f>IF(Table1[[#This Row],[Cancellation Status]]&lt;&gt;"Yes",1,0)</f>
        <v>1</v>
      </c>
      <c r="O641" s="30">
        <v>45964</v>
      </c>
      <c r="P641" s="3">
        <v>3</v>
      </c>
      <c r="Q641" s="3">
        <v>2</v>
      </c>
      <c r="R641" s="3">
        <v>5</v>
      </c>
      <c r="S641" s="3">
        <v>0</v>
      </c>
      <c r="T64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41" t="str">
        <f>IF(Table1[[#This Row],[Customer Rating]]&gt;=9,"Promoter",IF(Table1[[#This Row],[Customer Rating]]&gt;=7,"Passive","Detractor"))</f>
        <v>Detractor</v>
      </c>
    </row>
    <row r="642" spans="1:21" ht="14.25" customHeight="1" x14ac:dyDescent="0.3">
      <c r="A642" s="3" t="s">
        <v>677</v>
      </c>
      <c r="B642" s="3" t="s">
        <v>39</v>
      </c>
      <c r="C642" s="3" t="s">
        <v>27</v>
      </c>
      <c r="D642" s="14">
        <v>45942</v>
      </c>
      <c r="E642" s="11">
        <f>1</f>
        <v>1</v>
      </c>
      <c r="F642" s="14">
        <v>45945</v>
      </c>
      <c r="G642" s="11">
        <f>IF(Table1[[#This Row],[Pre-Booking Date]]&lt;&gt;"",1,0)</f>
        <v>1</v>
      </c>
      <c r="H642" s="4">
        <v>45949</v>
      </c>
      <c r="I642" s="11">
        <f>IF(Table1[[#This Row],[Booking Date]]&lt;&gt;"",1,0)</f>
        <v>1</v>
      </c>
      <c r="J642" s="30">
        <v>45953</v>
      </c>
      <c r="K642" s="11">
        <f>IF(Table1[[#This Row],[Delivery Date]]&lt;&gt;"",1,0)</f>
        <v>1</v>
      </c>
      <c r="L642" s="3" t="s">
        <v>3</v>
      </c>
      <c r="M642" s="3">
        <f>IF(Table1[[#This Row],[Cancellation Status]]&lt;&gt;"Yes",1,0)</f>
        <v>0</v>
      </c>
      <c r="N642" s="3" t="s">
        <v>37</v>
      </c>
      <c r="P642" s="3">
        <v>3</v>
      </c>
      <c r="Q642" s="3">
        <v>4</v>
      </c>
      <c r="R642" s="3">
        <v>4</v>
      </c>
      <c r="T64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42" t="str">
        <f>IF(Table1[[#This Row],[Customer Rating]]&gt;=9,"Promoter",IF(Table1[[#This Row],[Customer Rating]]&gt;=7,"Passive","Detractor"))</f>
        <v>Detractor</v>
      </c>
    </row>
    <row r="643" spans="1:21" ht="14.25" customHeight="1" x14ac:dyDescent="0.3">
      <c r="A643" s="3" t="s">
        <v>678</v>
      </c>
      <c r="B643" s="3" t="s">
        <v>32</v>
      </c>
      <c r="C643" s="3" t="s">
        <v>27</v>
      </c>
      <c r="D643" s="14">
        <v>45942</v>
      </c>
      <c r="E643" s="11">
        <f>1</f>
        <v>1</v>
      </c>
      <c r="F643" s="14">
        <v>45943</v>
      </c>
      <c r="G643" s="11">
        <f>IF(Table1[[#This Row],[Pre-Booking Date]]&lt;&gt;"",1,0)</f>
        <v>1</v>
      </c>
      <c r="H643" s="4">
        <v>45948</v>
      </c>
      <c r="I643" s="11">
        <f>IF(Table1[[#This Row],[Booking Date]]&lt;&gt;"",1,0)</f>
        <v>1</v>
      </c>
      <c r="J643" s="30">
        <v>45955</v>
      </c>
      <c r="K643" s="11">
        <f>IF(Table1[[#This Row],[Delivery Date]]&lt;&gt;"",1,0)</f>
        <v>1</v>
      </c>
      <c r="L643" s="3" t="s">
        <v>2</v>
      </c>
      <c r="M643" s="3">
        <f>IF(Table1[[#This Row],[Cancellation Status]]&lt;&gt;"Yes",1,0)</f>
        <v>1</v>
      </c>
      <c r="O643" s="30">
        <v>45983</v>
      </c>
      <c r="P643" s="3">
        <v>1</v>
      </c>
      <c r="Q643" s="3">
        <v>5</v>
      </c>
      <c r="R643" s="3">
        <v>7</v>
      </c>
      <c r="S643" s="3">
        <v>2</v>
      </c>
      <c r="T64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43" t="str">
        <f>IF(Table1[[#This Row],[Customer Rating]]&gt;=9,"Promoter",IF(Table1[[#This Row],[Customer Rating]]&gt;=7,"Passive","Detractor"))</f>
        <v>Detractor</v>
      </c>
    </row>
    <row r="644" spans="1:21" ht="14.25" customHeight="1" x14ac:dyDescent="0.3">
      <c r="A644" s="3" t="s">
        <v>679</v>
      </c>
      <c r="B644" s="3" t="s">
        <v>32</v>
      </c>
      <c r="C644" s="3" t="s">
        <v>30</v>
      </c>
      <c r="D644" s="14">
        <v>45942</v>
      </c>
      <c r="E644" s="11">
        <f>1</f>
        <v>1</v>
      </c>
      <c r="F644" s="14">
        <v>45943</v>
      </c>
      <c r="G644" s="11">
        <f>IF(Table1[[#This Row],[Pre-Booking Date]]&lt;&gt;"",1,0)</f>
        <v>1</v>
      </c>
      <c r="H644" s="4">
        <v>45944</v>
      </c>
      <c r="I644" s="11">
        <f>IF(Table1[[#This Row],[Booking Date]]&lt;&gt;"",1,0)</f>
        <v>1</v>
      </c>
      <c r="J644" s="30">
        <v>45951</v>
      </c>
      <c r="K644" s="11">
        <f>IF(Table1[[#This Row],[Delivery Date]]&lt;&gt;"",1,0)</f>
        <v>1</v>
      </c>
      <c r="L644" s="3" t="s">
        <v>2</v>
      </c>
      <c r="M644" s="3">
        <f>IF(Table1[[#This Row],[Cancellation Status]]&lt;&gt;"Yes",1,0)</f>
        <v>1</v>
      </c>
      <c r="O644" s="30">
        <v>45975</v>
      </c>
      <c r="P644" s="3">
        <v>1</v>
      </c>
      <c r="Q644" s="3">
        <v>1</v>
      </c>
      <c r="R644" s="3">
        <v>7</v>
      </c>
      <c r="S644" s="3">
        <v>2</v>
      </c>
      <c r="T64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44" t="str">
        <f>IF(Table1[[#This Row],[Customer Rating]]&gt;=9,"Promoter",IF(Table1[[#This Row],[Customer Rating]]&gt;=7,"Passive","Detractor"))</f>
        <v>Detractor</v>
      </c>
    </row>
    <row r="645" spans="1:21" ht="14.25" customHeight="1" x14ac:dyDescent="0.3">
      <c r="A645" s="3" t="s">
        <v>680</v>
      </c>
      <c r="B645" s="3" t="s">
        <v>39</v>
      </c>
      <c r="C645" s="3" t="s">
        <v>27</v>
      </c>
      <c r="D645" s="14">
        <v>45942</v>
      </c>
      <c r="E645" s="11">
        <f>1</f>
        <v>1</v>
      </c>
      <c r="F645" s="14">
        <v>45946</v>
      </c>
      <c r="G645" s="11">
        <f>IF(Table1[[#This Row],[Pre-Booking Date]]&lt;&gt;"",1,0)</f>
        <v>1</v>
      </c>
      <c r="H645" s="4">
        <v>45947</v>
      </c>
      <c r="I645" s="11">
        <f>IF(Table1[[#This Row],[Booking Date]]&lt;&gt;"",1,0)</f>
        <v>1</v>
      </c>
      <c r="J645" s="30">
        <v>45953</v>
      </c>
      <c r="K645" s="11">
        <f>IF(Table1[[#This Row],[Delivery Date]]&lt;&gt;"",1,0)</f>
        <v>1</v>
      </c>
      <c r="L645" s="3" t="s">
        <v>2</v>
      </c>
      <c r="M645" s="3">
        <f>IF(Table1[[#This Row],[Cancellation Status]]&lt;&gt;"Yes",1,0)</f>
        <v>1</v>
      </c>
      <c r="O645" s="30">
        <v>45972</v>
      </c>
      <c r="P645" s="3">
        <v>4</v>
      </c>
      <c r="Q645" s="3">
        <v>1</v>
      </c>
      <c r="R645" s="3">
        <v>6</v>
      </c>
      <c r="S645" s="3">
        <v>6</v>
      </c>
      <c r="T64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45" t="str">
        <f>IF(Table1[[#This Row],[Customer Rating]]&gt;=9,"Promoter",IF(Table1[[#This Row],[Customer Rating]]&gt;=7,"Passive","Detractor"))</f>
        <v>Detractor</v>
      </c>
    </row>
    <row r="646" spans="1:21" ht="14.25" customHeight="1" x14ac:dyDescent="0.3">
      <c r="A646" s="3" t="s">
        <v>681</v>
      </c>
      <c r="B646" s="3" t="s">
        <v>26</v>
      </c>
      <c r="C646" s="3" t="s">
        <v>27</v>
      </c>
      <c r="D646" s="14">
        <v>45942</v>
      </c>
      <c r="E646" s="11">
        <f>1</f>
        <v>1</v>
      </c>
      <c r="F646" s="14">
        <v>45946</v>
      </c>
      <c r="G646" s="11">
        <f>IF(Table1[[#This Row],[Pre-Booking Date]]&lt;&gt;"",1,0)</f>
        <v>1</v>
      </c>
      <c r="H646" s="4">
        <v>45948</v>
      </c>
      <c r="I646" s="11">
        <f>IF(Table1[[#This Row],[Booking Date]]&lt;&gt;"",1,0)</f>
        <v>1</v>
      </c>
      <c r="J646" s="30">
        <v>45952</v>
      </c>
      <c r="K646" s="11">
        <f>IF(Table1[[#This Row],[Delivery Date]]&lt;&gt;"",1,0)</f>
        <v>1</v>
      </c>
      <c r="L646" s="3" t="s">
        <v>3</v>
      </c>
      <c r="M646" s="3">
        <f>IF(Table1[[#This Row],[Cancellation Status]]&lt;&gt;"Yes",1,0)</f>
        <v>0</v>
      </c>
      <c r="N646" s="3" t="s">
        <v>37</v>
      </c>
      <c r="P646" s="3">
        <v>4</v>
      </c>
      <c r="Q646" s="3">
        <v>2</v>
      </c>
      <c r="R646" s="3">
        <v>4</v>
      </c>
      <c r="T64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46" t="str">
        <f>IF(Table1[[#This Row],[Customer Rating]]&gt;=9,"Promoter",IF(Table1[[#This Row],[Customer Rating]]&gt;=7,"Passive","Detractor"))</f>
        <v>Detractor</v>
      </c>
    </row>
    <row r="647" spans="1:21" ht="14.25" customHeight="1" x14ac:dyDescent="0.3">
      <c r="A647" s="3" t="s">
        <v>682</v>
      </c>
      <c r="B647" s="3" t="s">
        <v>26</v>
      </c>
      <c r="C647" s="3" t="s">
        <v>30</v>
      </c>
      <c r="D647" s="14">
        <v>45942</v>
      </c>
      <c r="E647" s="11">
        <f>1</f>
        <v>1</v>
      </c>
      <c r="F647" s="14">
        <v>45947</v>
      </c>
      <c r="G647" s="11">
        <f>IF(Table1[[#This Row],[Pre-Booking Date]]&lt;&gt;"",1,0)</f>
        <v>1</v>
      </c>
      <c r="H647" s="4">
        <v>45952</v>
      </c>
      <c r="I647" s="11">
        <f>IF(Table1[[#This Row],[Booking Date]]&lt;&gt;"",1,0)</f>
        <v>1</v>
      </c>
      <c r="J647" s="30">
        <v>45956</v>
      </c>
      <c r="K647" s="11">
        <f>IF(Table1[[#This Row],[Delivery Date]]&lt;&gt;"",1,0)</f>
        <v>1</v>
      </c>
      <c r="L647" s="3" t="s">
        <v>2</v>
      </c>
      <c r="M647" s="3">
        <f>IF(Table1[[#This Row],[Cancellation Status]]&lt;&gt;"Yes",1,0)</f>
        <v>1</v>
      </c>
      <c r="O647" s="30">
        <v>45980</v>
      </c>
      <c r="P647" s="3">
        <v>5</v>
      </c>
      <c r="Q647" s="3">
        <v>5</v>
      </c>
      <c r="R647" s="3">
        <v>4</v>
      </c>
      <c r="S647" s="3">
        <v>1</v>
      </c>
      <c r="T64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47" t="str">
        <f>IF(Table1[[#This Row],[Customer Rating]]&gt;=9,"Promoter",IF(Table1[[#This Row],[Customer Rating]]&gt;=7,"Passive","Detractor"))</f>
        <v>Detractor</v>
      </c>
    </row>
    <row r="648" spans="1:21" ht="14.25" customHeight="1" x14ac:dyDescent="0.3">
      <c r="A648" s="3" t="s">
        <v>683</v>
      </c>
      <c r="B648" s="3" t="s">
        <v>39</v>
      </c>
      <c r="C648" s="3" t="s">
        <v>30</v>
      </c>
      <c r="D648" s="14">
        <v>45942</v>
      </c>
      <c r="E648" s="11">
        <f>1</f>
        <v>1</v>
      </c>
      <c r="F648" s="14">
        <v>45944</v>
      </c>
      <c r="G648" s="11">
        <f>IF(Table1[[#This Row],[Pre-Booking Date]]&lt;&gt;"",1,0)</f>
        <v>1</v>
      </c>
      <c r="H648" s="4">
        <v>45947</v>
      </c>
      <c r="I648" s="11">
        <f>IF(Table1[[#This Row],[Booking Date]]&lt;&gt;"",1,0)</f>
        <v>1</v>
      </c>
      <c r="J648" s="30">
        <v>45951</v>
      </c>
      <c r="K648" s="11">
        <f>IF(Table1[[#This Row],[Delivery Date]]&lt;&gt;"",1,0)</f>
        <v>1</v>
      </c>
      <c r="L648" s="3" t="s">
        <v>2</v>
      </c>
      <c r="M648" s="3">
        <f>IF(Table1[[#This Row],[Cancellation Status]]&lt;&gt;"Yes",1,0)</f>
        <v>1</v>
      </c>
      <c r="O648" s="30">
        <v>45981</v>
      </c>
      <c r="P648" s="3">
        <v>2</v>
      </c>
      <c r="Q648" s="3">
        <v>3</v>
      </c>
      <c r="R648" s="3">
        <v>4</v>
      </c>
      <c r="S648" s="3">
        <v>3</v>
      </c>
      <c r="T64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48" t="str">
        <f>IF(Table1[[#This Row],[Customer Rating]]&gt;=9,"Promoter",IF(Table1[[#This Row],[Customer Rating]]&gt;=7,"Passive","Detractor"))</f>
        <v>Detractor</v>
      </c>
    </row>
    <row r="649" spans="1:21" ht="14.25" customHeight="1" x14ac:dyDescent="0.3">
      <c r="A649" s="3" t="s">
        <v>684</v>
      </c>
      <c r="B649" s="3" t="s">
        <v>29</v>
      </c>
      <c r="C649" s="3" t="s">
        <v>27</v>
      </c>
      <c r="D649" s="14">
        <v>45942</v>
      </c>
      <c r="E649" s="11">
        <f>1</f>
        <v>1</v>
      </c>
      <c r="F649" s="14">
        <v>45947</v>
      </c>
      <c r="G649" s="11">
        <f>IF(Table1[[#This Row],[Pre-Booking Date]]&lt;&gt;"",1,0)</f>
        <v>1</v>
      </c>
      <c r="H649" s="4">
        <v>45950</v>
      </c>
      <c r="I649" s="11">
        <f>IF(Table1[[#This Row],[Booking Date]]&lt;&gt;"",1,0)</f>
        <v>1</v>
      </c>
      <c r="J649" s="30">
        <v>45955</v>
      </c>
      <c r="K649" s="11">
        <f>IF(Table1[[#This Row],[Delivery Date]]&lt;&gt;"",1,0)</f>
        <v>1</v>
      </c>
      <c r="L649" s="3" t="s">
        <v>2</v>
      </c>
      <c r="M649" s="3">
        <f>IF(Table1[[#This Row],[Cancellation Status]]&lt;&gt;"Yes",1,0)</f>
        <v>1</v>
      </c>
      <c r="O649" s="30">
        <v>45982</v>
      </c>
      <c r="P649" s="3">
        <v>5</v>
      </c>
      <c r="Q649" s="3">
        <v>3</v>
      </c>
      <c r="R649" s="3">
        <v>5</v>
      </c>
      <c r="S649" s="3">
        <v>6</v>
      </c>
      <c r="T64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49" t="str">
        <f>IF(Table1[[#This Row],[Customer Rating]]&gt;=9,"Promoter",IF(Table1[[#This Row],[Customer Rating]]&gt;=7,"Passive","Detractor"))</f>
        <v>Detractor</v>
      </c>
    </row>
    <row r="650" spans="1:21" ht="14.25" customHeight="1" x14ac:dyDescent="0.3">
      <c r="A650" s="3" t="s">
        <v>685</v>
      </c>
      <c r="B650" s="3" t="s">
        <v>32</v>
      </c>
      <c r="C650" s="3" t="s">
        <v>33</v>
      </c>
      <c r="D650" s="14">
        <v>45942</v>
      </c>
      <c r="E650" s="11">
        <f>1</f>
        <v>1</v>
      </c>
      <c r="G650" s="12">
        <f>IF(Table1[[#This Row],[Pre-Booking Date]]&lt;&gt;"",1,0)</f>
        <v>0</v>
      </c>
      <c r="I650" s="12">
        <f>IF(Table1[[#This Row],[Booking Date]]&lt;&gt;"",1,0)</f>
        <v>0</v>
      </c>
      <c r="K650" s="12">
        <f>IF(Table1[[#This Row],[Delivery Date]]&lt;&gt;"",1,0)</f>
        <v>0</v>
      </c>
      <c r="L650" s="3" t="s">
        <v>3</v>
      </c>
      <c r="M650" s="3">
        <f>IF(Table1[[#This Row],[Cancellation Status]]&lt;&gt;"Yes",1,0)</f>
        <v>0</v>
      </c>
      <c r="N650" s="3" t="s">
        <v>55</v>
      </c>
      <c r="T65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50" t="str">
        <f>IF(Table1[[#This Row],[Customer Rating]]&gt;=9,"Promoter",IF(Table1[[#This Row],[Customer Rating]]&gt;=7,"Passive","Detractor"))</f>
        <v>Detractor</v>
      </c>
    </row>
    <row r="651" spans="1:21" ht="14.25" customHeight="1" x14ac:dyDescent="0.3">
      <c r="A651" s="3" t="s">
        <v>686</v>
      </c>
      <c r="B651" s="3" t="s">
        <v>26</v>
      </c>
      <c r="C651" s="3" t="s">
        <v>33</v>
      </c>
      <c r="D651" s="14">
        <v>45942</v>
      </c>
      <c r="E651" s="11">
        <f>1</f>
        <v>1</v>
      </c>
      <c r="G651" s="12">
        <f>IF(Table1[[#This Row],[Pre-Booking Date]]&lt;&gt;"",1,0)</f>
        <v>0</v>
      </c>
      <c r="I651" s="12">
        <f>IF(Table1[[#This Row],[Booking Date]]&lt;&gt;"",1,0)</f>
        <v>0</v>
      </c>
      <c r="K651" s="12">
        <f>IF(Table1[[#This Row],[Delivery Date]]&lt;&gt;"",1,0)</f>
        <v>0</v>
      </c>
      <c r="L651" s="3" t="s">
        <v>3</v>
      </c>
      <c r="M651" s="3">
        <f>IF(Table1[[#This Row],[Cancellation Status]]&lt;&gt;"Yes",1,0)</f>
        <v>0</v>
      </c>
      <c r="N651" s="3" t="s">
        <v>37</v>
      </c>
      <c r="T65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51" t="str">
        <f>IF(Table1[[#This Row],[Customer Rating]]&gt;=9,"Promoter",IF(Table1[[#This Row],[Customer Rating]]&gt;=7,"Passive","Detractor"))</f>
        <v>Detractor</v>
      </c>
    </row>
    <row r="652" spans="1:21" ht="14.25" customHeight="1" x14ac:dyDescent="0.3">
      <c r="A652" s="3" t="s">
        <v>687</v>
      </c>
      <c r="B652" s="3" t="s">
        <v>26</v>
      </c>
      <c r="C652" s="3" t="s">
        <v>30</v>
      </c>
      <c r="D652" s="14">
        <v>45942</v>
      </c>
      <c r="E652" s="11">
        <f>1</f>
        <v>1</v>
      </c>
      <c r="F652" s="14">
        <v>45946</v>
      </c>
      <c r="G652" s="11">
        <f>IF(Table1[[#This Row],[Pre-Booking Date]]&lt;&gt;"",1,0)</f>
        <v>1</v>
      </c>
      <c r="H652" s="4">
        <v>45948</v>
      </c>
      <c r="I652" s="11">
        <f>IF(Table1[[#This Row],[Booking Date]]&lt;&gt;"",1,0)</f>
        <v>1</v>
      </c>
      <c r="J652" s="30">
        <v>45950</v>
      </c>
      <c r="K652" s="11">
        <f>IF(Table1[[#This Row],[Delivery Date]]&lt;&gt;"",1,0)</f>
        <v>1</v>
      </c>
      <c r="L652" s="3" t="s">
        <v>2</v>
      </c>
      <c r="M652" s="3">
        <f>IF(Table1[[#This Row],[Cancellation Status]]&lt;&gt;"Yes",1,0)</f>
        <v>1</v>
      </c>
      <c r="O652" s="30">
        <v>45976</v>
      </c>
      <c r="P652" s="3">
        <v>4</v>
      </c>
      <c r="Q652" s="3">
        <v>2</v>
      </c>
      <c r="R652" s="3">
        <v>2</v>
      </c>
      <c r="S652" s="3">
        <v>9</v>
      </c>
      <c r="T65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52" t="str">
        <f>IF(Table1[[#This Row],[Customer Rating]]&gt;=9,"Promoter",IF(Table1[[#This Row],[Customer Rating]]&gt;=7,"Passive","Detractor"))</f>
        <v>Promoter</v>
      </c>
    </row>
    <row r="653" spans="1:21" ht="14.25" customHeight="1" x14ac:dyDescent="0.3">
      <c r="A653" s="3" t="s">
        <v>688</v>
      </c>
      <c r="B653" s="3" t="s">
        <v>29</v>
      </c>
      <c r="C653" s="3" t="s">
        <v>27</v>
      </c>
      <c r="D653" s="14">
        <v>45942</v>
      </c>
      <c r="E653" s="11">
        <f>1</f>
        <v>1</v>
      </c>
      <c r="F653" s="14">
        <v>45946</v>
      </c>
      <c r="G653" s="11">
        <f>IF(Table1[[#This Row],[Pre-Booking Date]]&lt;&gt;"",1,0)</f>
        <v>1</v>
      </c>
      <c r="H653" s="4">
        <v>45950</v>
      </c>
      <c r="I653" s="11">
        <f>IF(Table1[[#This Row],[Booking Date]]&lt;&gt;"",1,0)</f>
        <v>1</v>
      </c>
      <c r="J653" s="30">
        <v>45956</v>
      </c>
      <c r="K653" s="11">
        <f>IF(Table1[[#This Row],[Delivery Date]]&lt;&gt;"",1,0)</f>
        <v>1</v>
      </c>
      <c r="L653" s="3" t="s">
        <v>2</v>
      </c>
      <c r="M653" s="3">
        <f>IF(Table1[[#This Row],[Cancellation Status]]&lt;&gt;"Yes",1,0)</f>
        <v>1</v>
      </c>
      <c r="O653" s="30">
        <v>45986</v>
      </c>
      <c r="P653" s="3">
        <v>4</v>
      </c>
      <c r="Q653" s="3">
        <v>4</v>
      </c>
      <c r="R653" s="3">
        <v>6</v>
      </c>
      <c r="S653" s="3">
        <v>8</v>
      </c>
      <c r="T65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53" t="str">
        <f>IF(Table1[[#This Row],[Customer Rating]]&gt;=9,"Promoter",IF(Table1[[#This Row],[Customer Rating]]&gt;=7,"Passive","Detractor"))</f>
        <v>Passive</v>
      </c>
    </row>
    <row r="654" spans="1:21" ht="14.25" customHeight="1" x14ac:dyDescent="0.3">
      <c r="A654" s="3" t="s">
        <v>689</v>
      </c>
      <c r="B654" s="3" t="s">
        <v>26</v>
      </c>
      <c r="C654" s="3" t="s">
        <v>27</v>
      </c>
      <c r="D654" s="14">
        <v>45942</v>
      </c>
      <c r="E654" s="11">
        <f>1</f>
        <v>1</v>
      </c>
      <c r="F654" s="14">
        <v>45945</v>
      </c>
      <c r="G654" s="11">
        <f>IF(Table1[[#This Row],[Pre-Booking Date]]&lt;&gt;"",1,0)</f>
        <v>1</v>
      </c>
      <c r="H654" s="4">
        <v>45949</v>
      </c>
      <c r="I654" s="11">
        <f>IF(Table1[[#This Row],[Booking Date]]&lt;&gt;"",1,0)</f>
        <v>1</v>
      </c>
      <c r="J654" s="30">
        <v>45956</v>
      </c>
      <c r="K654" s="11">
        <f>IF(Table1[[#This Row],[Delivery Date]]&lt;&gt;"",1,0)</f>
        <v>1</v>
      </c>
      <c r="L654" s="3" t="s">
        <v>2</v>
      </c>
      <c r="M654" s="3">
        <f>IF(Table1[[#This Row],[Cancellation Status]]&lt;&gt;"Yes",1,0)</f>
        <v>1</v>
      </c>
      <c r="O654" s="30">
        <v>45970</v>
      </c>
      <c r="P654" s="3">
        <v>3</v>
      </c>
      <c r="Q654" s="3">
        <v>4</v>
      </c>
      <c r="R654" s="3">
        <v>7</v>
      </c>
      <c r="S654" s="3">
        <v>8</v>
      </c>
      <c r="T65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54" t="str">
        <f>IF(Table1[[#This Row],[Customer Rating]]&gt;=9,"Promoter",IF(Table1[[#This Row],[Customer Rating]]&gt;=7,"Passive","Detractor"))</f>
        <v>Passive</v>
      </c>
    </row>
    <row r="655" spans="1:21" ht="14.25" customHeight="1" x14ac:dyDescent="0.3">
      <c r="A655" s="3" t="s">
        <v>690</v>
      </c>
      <c r="B655" s="3" t="s">
        <v>32</v>
      </c>
      <c r="C655" s="3" t="s">
        <v>27</v>
      </c>
      <c r="D655" s="14">
        <v>45941</v>
      </c>
      <c r="E655" s="11">
        <f>1</f>
        <v>1</v>
      </c>
      <c r="F655" s="14">
        <v>45944</v>
      </c>
      <c r="G655" s="11">
        <f>IF(Table1[[#This Row],[Pre-Booking Date]]&lt;&gt;"",1,0)</f>
        <v>1</v>
      </c>
      <c r="H655" s="4">
        <v>45949</v>
      </c>
      <c r="I655" s="11">
        <f>IF(Table1[[#This Row],[Booking Date]]&lt;&gt;"",1,0)</f>
        <v>1</v>
      </c>
      <c r="J655" s="30">
        <v>45956</v>
      </c>
      <c r="K655" s="11">
        <f>IF(Table1[[#This Row],[Delivery Date]]&lt;&gt;"",1,0)</f>
        <v>1</v>
      </c>
      <c r="L655" s="3" t="s">
        <v>2</v>
      </c>
      <c r="M655" s="3">
        <f>IF(Table1[[#This Row],[Cancellation Status]]&lt;&gt;"Yes",1,0)</f>
        <v>1</v>
      </c>
      <c r="O655" s="30">
        <v>45983</v>
      </c>
      <c r="P655" s="3">
        <v>3</v>
      </c>
      <c r="Q655" s="3">
        <v>5</v>
      </c>
      <c r="R655" s="3">
        <v>7</v>
      </c>
      <c r="S655" s="3">
        <v>8</v>
      </c>
      <c r="T65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55" t="str">
        <f>IF(Table1[[#This Row],[Customer Rating]]&gt;=9,"Promoter",IF(Table1[[#This Row],[Customer Rating]]&gt;=7,"Passive","Detractor"))</f>
        <v>Passive</v>
      </c>
    </row>
    <row r="656" spans="1:21" ht="14.25" customHeight="1" x14ac:dyDescent="0.3">
      <c r="A656" s="3" t="s">
        <v>691</v>
      </c>
      <c r="B656" s="3" t="s">
        <v>29</v>
      </c>
      <c r="C656" s="3" t="s">
        <v>27</v>
      </c>
      <c r="D656" s="14">
        <v>45941</v>
      </c>
      <c r="E656" s="11">
        <f>1</f>
        <v>1</v>
      </c>
      <c r="F656" s="14">
        <v>45942</v>
      </c>
      <c r="G656" s="11">
        <f>IF(Table1[[#This Row],[Pre-Booking Date]]&lt;&gt;"",1,0)</f>
        <v>1</v>
      </c>
      <c r="H656" s="4">
        <v>45943</v>
      </c>
      <c r="I656" s="11">
        <f>IF(Table1[[#This Row],[Booking Date]]&lt;&gt;"",1,0)</f>
        <v>1</v>
      </c>
      <c r="J656" s="30">
        <v>45945</v>
      </c>
      <c r="K656" s="11">
        <f>IF(Table1[[#This Row],[Delivery Date]]&lt;&gt;"",1,0)</f>
        <v>1</v>
      </c>
      <c r="L656" s="3" t="s">
        <v>3</v>
      </c>
      <c r="M656" s="3">
        <f>IF(Table1[[#This Row],[Cancellation Status]]&lt;&gt;"Yes",1,0)</f>
        <v>0</v>
      </c>
      <c r="N656" s="3" t="s">
        <v>37</v>
      </c>
      <c r="P656" s="3">
        <v>1</v>
      </c>
      <c r="Q656" s="3">
        <v>1</v>
      </c>
      <c r="R656" s="3">
        <v>2</v>
      </c>
      <c r="T65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56" t="str">
        <f>IF(Table1[[#This Row],[Customer Rating]]&gt;=9,"Promoter",IF(Table1[[#This Row],[Customer Rating]]&gt;=7,"Passive","Detractor"))</f>
        <v>Detractor</v>
      </c>
    </row>
    <row r="657" spans="1:21" ht="14.25" customHeight="1" x14ac:dyDescent="0.3">
      <c r="A657" s="3" t="s">
        <v>692</v>
      </c>
      <c r="B657" s="3" t="s">
        <v>29</v>
      </c>
      <c r="C657" s="3" t="s">
        <v>30</v>
      </c>
      <c r="D657" s="14">
        <v>45941</v>
      </c>
      <c r="E657" s="11">
        <f>1</f>
        <v>1</v>
      </c>
      <c r="F657" s="14">
        <v>45944</v>
      </c>
      <c r="G657" s="11">
        <f>IF(Table1[[#This Row],[Pre-Booking Date]]&lt;&gt;"",1,0)</f>
        <v>1</v>
      </c>
      <c r="H657" s="4">
        <v>45949</v>
      </c>
      <c r="I657" s="11">
        <f>IF(Table1[[#This Row],[Booking Date]]&lt;&gt;"",1,0)</f>
        <v>1</v>
      </c>
      <c r="J657" s="30">
        <v>45953</v>
      </c>
      <c r="K657" s="11">
        <f>IF(Table1[[#This Row],[Delivery Date]]&lt;&gt;"",1,0)</f>
        <v>1</v>
      </c>
      <c r="L657" s="3" t="s">
        <v>2</v>
      </c>
      <c r="M657" s="3">
        <f>IF(Table1[[#This Row],[Cancellation Status]]&lt;&gt;"Yes",1,0)</f>
        <v>1</v>
      </c>
      <c r="O657" s="30">
        <v>45976</v>
      </c>
      <c r="P657" s="3">
        <v>3</v>
      </c>
      <c r="Q657" s="3">
        <v>5</v>
      </c>
      <c r="R657" s="3">
        <v>4</v>
      </c>
      <c r="S657" s="3">
        <v>4</v>
      </c>
      <c r="T65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57" t="str">
        <f>IF(Table1[[#This Row],[Customer Rating]]&gt;=9,"Promoter",IF(Table1[[#This Row],[Customer Rating]]&gt;=7,"Passive","Detractor"))</f>
        <v>Detractor</v>
      </c>
    </row>
    <row r="658" spans="1:21" ht="14.25" customHeight="1" x14ac:dyDescent="0.3">
      <c r="A658" s="3" t="s">
        <v>693</v>
      </c>
      <c r="B658" s="3" t="s">
        <v>26</v>
      </c>
      <c r="C658" s="3" t="s">
        <v>27</v>
      </c>
      <c r="D658" s="14">
        <v>45941</v>
      </c>
      <c r="E658" s="11">
        <f>1</f>
        <v>1</v>
      </c>
      <c r="F658" s="14">
        <v>45944</v>
      </c>
      <c r="G658" s="11">
        <f>IF(Table1[[#This Row],[Pre-Booking Date]]&lt;&gt;"",1,0)</f>
        <v>1</v>
      </c>
      <c r="H658" s="4">
        <v>45948</v>
      </c>
      <c r="I658" s="11">
        <f>IF(Table1[[#This Row],[Booking Date]]&lt;&gt;"",1,0)</f>
        <v>1</v>
      </c>
      <c r="J658" s="30">
        <v>45951</v>
      </c>
      <c r="K658" s="11">
        <f>IF(Table1[[#This Row],[Delivery Date]]&lt;&gt;"",1,0)</f>
        <v>1</v>
      </c>
      <c r="L658" s="3" t="s">
        <v>2</v>
      </c>
      <c r="M658" s="3">
        <f>IF(Table1[[#This Row],[Cancellation Status]]&lt;&gt;"Yes",1,0)</f>
        <v>1</v>
      </c>
      <c r="O658" s="30">
        <v>45971</v>
      </c>
      <c r="P658" s="3">
        <v>3</v>
      </c>
      <c r="Q658" s="3">
        <v>4</v>
      </c>
      <c r="R658" s="3">
        <v>3</v>
      </c>
      <c r="S658" s="3">
        <v>6</v>
      </c>
      <c r="T65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58" t="str">
        <f>IF(Table1[[#This Row],[Customer Rating]]&gt;=9,"Promoter",IF(Table1[[#This Row],[Customer Rating]]&gt;=7,"Passive","Detractor"))</f>
        <v>Detractor</v>
      </c>
    </row>
    <row r="659" spans="1:21" ht="14.25" customHeight="1" x14ac:dyDescent="0.3">
      <c r="A659" s="3" t="s">
        <v>694</v>
      </c>
      <c r="B659" s="3" t="s">
        <v>29</v>
      </c>
      <c r="C659" s="3" t="s">
        <v>30</v>
      </c>
      <c r="D659" s="14">
        <v>45941</v>
      </c>
      <c r="E659" s="11">
        <f>1</f>
        <v>1</v>
      </c>
      <c r="F659" s="14">
        <v>45946</v>
      </c>
      <c r="G659" s="11">
        <f>IF(Table1[[#This Row],[Pre-Booking Date]]&lt;&gt;"",1,0)</f>
        <v>1</v>
      </c>
      <c r="H659" s="4">
        <v>45949</v>
      </c>
      <c r="I659" s="11">
        <f>IF(Table1[[#This Row],[Booking Date]]&lt;&gt;"",1,0)</f>
        <v>1</v>
      </c>
      <c r="J659" s="30">
        <v>45956</v>
      </c>
      <c r="K659" s="11">
        <f>IF(Table1[[#This Row],[Delivery Date]]&lt;&gt;"",1,0)</f>
        <v>1</v>
      </c>
      <c r="L659" s="3" t="s">
        <v>2</v>
      </c>
      <c r="M659" s="3">
        <f>IF(Table1[[#This Row],[Cancellation Status]]&lt;&gt;"Yes",1,0)</f>
        <v>1</v>
      </c>
      <c r="O659" s="30">
        <v>45984</v>
      </c>
      <c r="P659" s="3">
        <v>5</v>
      </c>
      <c r="Q659" s="3">
        <v>3</v>
      </c>
      <c r="R659" s="3">
        <v>7</v>
      </c>
      <c r="S659" s="3">
        <v>3</v>
      </c>
      <c r="T65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59" t="str">
        <f>IF(Table1[[#This Row],[Customer Rating]]&gt;=9,"Promoter",IF(Table1[[#This Row],[Customer Rating]]&gt;=7,"Passive","Detractor"))</f>
        <v>Detractor</v>
      </c>
    </row>
    <row r="660" spans="1:21" ht="14.25" customHeight="1" x14ac:dyDescent="0.3">
      <c r="A660" s="3" t="s">
        <v>695</v>
      </c>
      <c r="B660" s="3" t="s">
        <v>32</v>
      </c>
      <c r="C660" s="3" t="s">
        <v>30</v>
      </c>
      <c r="D660" s="14">
        <v>45941</v>
      </c>
      <c r="E660" s="11">
        <f>1</f>
        <v>1</v>
      </c>
      <c r="F660" s="14">
        <v>45942</v>
      </c>
      <c r="G660" s="11">
        <f>IF(Table1[[#This Row],[Pre-Booking Date]]&lt;&gt;"",1,0)</f>
        <v>1</v>
      </c>
      <c r="H660" s="4">
        <v>45945</v>
      </c>
      <c r="I660" s="11">
        <f>IF(Table1[[#This Row],[Booking Date]]&lt;&gt;"",1,0)</f>
        <v>1</v>
      </c>
      <c r="J660" s="30">
        <v>45948</v>
      </c>
      <c r="K660" s="11">
        <f>IF(Table1[[#This Row],[Delivery Date]]&lt;&gt;"",1,0)</f>
        <v>1</v>
      </c>
      <c r="L660" s="3" t="s">
        <v>2</v>
      </c>
      <c r="M660" s="3">
        <f>IF(Table1[[#This Row],[Cancellation Status]]&lt;&gt;"Yes",1,0)</f>
        <v>1</v>
      </c>
      <c r="O660" s="30">
        <v>45978</v>
      </c>
      <c r="P660" s="3">
        <v>1</v>
      </c>
      <c r="Q660" s="3">
        <v>3</v>
      </c>
      <c r="R660" s="3">
        <v>3</v>
      </c>
      <c r="S660" s="3">
        <v>4</v>
      </c>
      <c r="T66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60" t="str">
        <f>IF(Table1[[#This Row],[Customer Rating]]&gt;=9,"Promoter",IF(Table1[[#This Row],[Customer Rating]]&gt;=7,"Passive","Detractor"))</f>
        <v>Detractor</v>
      </c>
    </row>
    <row r="661" spans="1:21" ht="14.25" customHeight="1" x14ac:dyDescent="0.3">
      <c r="A661" s="3" t="s">
        <v>696</v>
      </c>
      <c r="B661" s="3" t="s">
        <v>32</v>
      </c>
      <c r="C661" s="3" t="s">
        <v>33</v>
      </c>
      <c r="D661" s="14">
        <v>45941</v>
      </c>
      <c r="E661" s="11">
        <f>1</f>
        <v>1</v>
      </c>
      <c r="G661" s="12">
        <f>IF(Table1[[#This Row],[Pre-Booking Date]]&lt;&gt;"",1,0)</f>
        <v>0</v>
      </c>
      <c r="I661" s="12">
        <f>IF(Table1[[#This Row],[Booking Date]]&lt;&gt;"",1,0)</f>
        <v>0</v>
      </c>
      <c r="K661" s="12">
        <f>IF(Table1[[#This Row],[Delivery Date]]&lt;&gt;"",1,0)</f>
        <v>0</v>
      </c>
      <c r="L661" s="3" t="s">
        <v>3</v>
      </c>
      <c r="M661" s="3">
        <f>IF(Table1[[#This Row],[Cancellation Status]]&lt;&gt;"Yes",1,0)</f>
        <v>0</v>
      </c>
      <c r="N661" s="3" t="s">
        <v>52</v>
      </c>
      <c r="T66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61" t="str">
        <f>IF(Table1[[#This Row],[Customer Rating]]&gt;=9,"Promoter",IF(Table1[[#This Row],[Customer Rating]]&gt;=7,"Passive","Detractor"))</f>
        <v>Detractor</v>
      </c>
    </row>
    <row r="662" spans="1:21" ht="14.25" customHeight="1" x14ac:dyDescent="0.3">
      <c r="A662" s="3" t="s">
        <v>697</v>
      </c>
      <c r="B662" s="3" t="s">
        <v>39</v>
      </c>
      <c r="C662" s="3" t="s">
        <v>33</v>
      </c>
      <c r="D662" s="14">
        <v>45941</v>
      </c>
      <c r="E662" s="11">
        <f>1</f>
        <v>1</v>
      </c>
      <c r="G662" s="12">
        <f>IF(Table1[[#This Row],[Pre-Booking Date]]&lt;&gt;"",1,0)</f>
        <v>0</v>
      </c>
      <c r="I662" s="12">
        <f>IF(Table1[[#This Row],[Booking Date]]&lt;&gt;"",1,0)</f>
        <v>0</v>
      </c>
      <c r="K662" s="12">
        <f>IF(Table1[[#This Row],[Delivery Date]]&lt;&gt;"",1,0)</f>
        <v>0</v>
      </c>
      <c r="L662" s="3" t="s">
        <v>3</v>
      </c>
      <c r="M662" s="3">
        <f>IF(Table1[[#This Row],[Cancellation Status]]&lt;&gt;"Yes",1,0)</f>
        <v>0</v>
      </c>
      <c r="N662" s="3" t="s">
        <v>55</v>
      </c>
      <c r="T66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62" t="str">
        <f>IF(Table1[[#This Row],[Customer Rating]]&gt;=9,"Promoter",IF(Table1[[#This Row],[Customer Rating]]&gt;=7,"Passive","Detractor"))</f>
        <v>Detractor</v>
      </c>
    </row>
    <row r="663" spans="1:21" ht="14.25" customHeight="1" x14ac:dyDescent="0.3">
      <c r="A663" s="3" t="s">
        <v>698</v>
      </c>
      <c r="B663" s="3" t="s">
        <v>32</v>
      </c>
      <c r="C663" s="3" t="s">
        <v>27</v>
      </c>
      <c r="D663" s="14">
        <v>45941</v>
      </c>
      <c r="E663" s="11">
        <f>1</f>
        <v>1</v>
      </c>
      <c r="F663" s="14">
        <v>45944</v>
      </c>
      <c r="G663" s="11">
        <f>IF(Table1[[#This Row],[Pre-Booking Date]]&lt;&gt;"",1,0)</f>
        <v>1</v>
      </c>
      <c r="H663" s="4">
        <v>45949</v>
      </c>
      <c r="I663" s="11">
        <f>IF(Table1[[#This Row],[Booking Date]]&lt;&gt;"",1,0)</f>
        <v>1</v>
      </c>
      <c r="J663" s="30">
        <v>45952</v>
      </c>
      <c r="K663" s="11">
        <f>IF(Table1[[#This Row],[Delivery Date]]&lt;&gt;"",1,0)</f>
        <v>1</v>
      </c>
      <c r="L663" s="3" t="s">
        <v>2</v>
      </c>
      <c r="M663" s="3">
        <f>IF(Table1[[#This Row],[Cancellation Status]]&lt;&gt;"Yes",1,0)</f>
        <v>1</v>
      </c>
      <c r="O663" s="30">
        <v>45974</v>
      </c>
      <c r="P663" s="3">
        <v>3</v>
      </c>
      <c r="Q663" s="3">
        <v>5</v>
      </c>
      <c r="R663" s="3">
        <v>3</v>
      </c>
      <c r="S663" s="3">
        <v>1</v>
      </c>
      <c r="T66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63" t="str">
        <f>IF(Table1[[#This Row],[Customer Rating]]&gt;=9,"Promoter",IF(Table1[[#This Row],[Customer Rating]]&gt;=7,"Passive","Detractor"))</f>
        <v>Detractor</v>
      </c>
    </row>
    <row r="664" spans="1:21" ht="14.25" customHeight="1" x14ac:dyDescent="0.3">
      <c r="A664" s="3" t="s">
        <v>699</v>
      </c>
      <c r="B664" s="3" t="s">
        <v>39</v>
      </c>
      <c r="C664" s="3" t="s">
        <v>27</v>
      </c>
      <c r="D664" s="14">
        <v>45941</v>
      </c>
      <c r="E664" s="11">
        <f>1</f>
        <v>1</v>
      </c>
      <c r="F664" s="14">
        <v>45944</v>
      </c>
      <c r="G664" s="11">
        <f>IF(Table1[[#This Row],[Pre-Booking Date]]&lt;&gt;"",1,0)</f>
        <v>1</v>
      </c>
      <c r="H664" s="4">
        <v>45945</v>
      </c>
      <c r="I664" s="11">
        <f>IF(Table1[[#This Row],[Booking Date]]&lt;&gt;"",1,0)</f>
        <v>1</v>
      </c>
      <c r="J664" s="30">
        <v>45949</v>
      </c>
      <c r="K664" s="11">
        <f>IF(Table1[[#This Row],[Delivery Date]]&lt;&gt;"",1,0)</f>
        <v>1</v>
      </c>
      <c r="L664" s="3" t="s">
        <v>2</v>
      </c>
      <c r="M664" s="3">
        <f>IF(Table1[[#This Row],[Cancellation Status]]&lt;&gt;"Yes",1,0)</f>
        <v>1</v>
      </c>
      <c r="O664" s="30">
        <v>45963</v>
      </c>
      <c r="P664" s="3">
        <v>3</v>
      </c>
      <c r="Q664" s="3">
        <v>1</v>
      </c>
      <c r="R664" s="3">
        <v>4</v>
      </c>
      <c r="S664" s="3">
        <v>3</v>
      </c>
      <c r="T66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64" t="str">
        <f>IF(Table1[[#This Row],[Customer Rating]]&gt;=9,"Promoter",IF(Table1[[#This Row],[Customer Rating]]&gt;=7,"Passive","Detractor"))</f>
        <v>Detractor</v>
      </c>
    </row>
    <row r="665" spans="1:21" ht="14.25" customHeight="1" x14ac:dyDescent="0.3">
      <c r="A665" s="3" t="s">
        <v>700</v>
      </c>
      <c r="B665" s="3" t="s">
        <v>39</v>
      </c>
      <c r="C665" s="3" t="s">
        <v>27</v>
      </c>
      <c r="D665" s="14">
        <v>45941</v>
      </c>
      <c r="E665" s="11">
        <f>1</f>
        <v>1</v>
      </c>
      <c r="F665" s="14">
        <v>45946</v>
      </c>
      <c r="G665" s="11">
        <f>IF(Table1[[#This Row],[Pre-Booking Date]]&lt;&gt;"",1,0)</f>
        <v>1</v>
      </c>
      <c r="H665" s="4">
        <v>45951</v>
      </c>
      <c r="I665" s="11">
        <f>IF(Table1[[#This Row],[Booking Date]]&lt;&gt;"",1,0)</f>
        <v>1</v>
      </c>
      <c r="J665" s="30">
        <v>45953</v>
      </c>
      <c r="K665" s="11">
        <f>IF(Table1[[#This Row],[Delivery Date]]&lt;&gt;"",1,0)</f>
        <v>1</v>
      </c>
      <c r="L665" s="3" t="s">
        <v>2</v>
      </c>
      <c r="M665" s="3">
        <f>IF(Table1[[#This Row],[Cancellation Status]]&lt;&gt;"Yes",1,0)</f>
        <v>1</v>
      </c>
      <c r="O665" s="30">
        <v>45982</v>
      </c>
      <c r="P665" s="3">
        <v>5</v>
      </c>
      <c r="Q665" s="3">
        <v>5</v>
      </c>
      <c r="R665" s="3">
        <v>2</v>
      </c>
      <c r="S665" s="3">
        <v>6</v>
      </c>
      <c r="T66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65" t="str">
        <f>IF(Table1[[#This Row],[Customer Rating]]&gt;=9,"Promoter",IF(Table1[[#This Row],[Customer Rating]]&gt;=7,"Passive","Detractor"))</f>
        <v>Detractor</v>
      </c>
    </row>
    <row r="666" spans="1:21" ht="14.25" customHeight="1" x14ac:dyDescent="0.3">
      <c r="A666" s="3" t="s">
        <v>701</v>
      </c>
      <c r="B666" s="3" t="s">
        <v>32</v>
      </c>
      <c r="C666" s="3" t="s">
        <v>27</v>
      </c>
      <c r="D666" s="14">
        <v>45941</v>
      </c>
      <c r="E666" s="11">
        <f>1</f>
        <v>1</v>
      </c>
      <c r="F666" s="14">
        <v>45943</v>
      </c>
      <c r="G666" s="11">
        <f>IF(Table1[[#This Row],[Pre-Booking Date]]&lt;&gt;"",1,0)</f>
        <v>1</v>
      </c>
      <c r="H666" s="4">
        <v>45946</v>
      </c>
      <c r="I666" s="11">
        <f>IF(Table1[[#This Row],[Booking Date]]&lt;&gt;"",1,0)</f>
        <v>1</v>
      </c>
      <c r="J666" s="30">
        <v>45948</v>
      </c>
      <c r="K666" s="11">
        <f>IF(Table1[[#This Row],[Delivery Date]]&lt;&gt;"",1,0)</f>
        <v>1</v>
      </c>
      <c r="L666" s="3" t="s">
        <v>3</v>
      </c>
      <c r="M666" s="3">
        <f>IF(Table1[[#This Row],[Cancellation Status]]&lt;&gt;"Yes",1,0)</f>
        <v>0</v>
      </c>
      <c r="N666" s="3" t="s">
        <v>52</v>
      </c>
      <c r="P666" s="3">
        <v>2</v>
      </c>
      <c r="Q666" s="3">
        <v>3</v>
      </c>
      <c r="R666" s="3">
        <v>2</v>
      </c>
      <c r="T66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66" t="str">
        <f>IF(Table1[[#This Row],[Customer Rating]]&gt;=9,"Promoter",IF(Table1[[#This Row],[Customer Rating]]&gt;=7,"Passive","Detractor"))</f>
        <v>Detractor</v>
      </c>
    </row>
    <row r="667" spans="1:21" ht="14.25" customHeight="1" x14ac:dyDescent="0.3">
      <c r="A667" s="3" t="s">
        <v>702</v>
      </c>
      <c r="B667" s="3" t="s">
        <v>29</v>
      </c>
      <c r="C667" s="3" t="s">
        <v>27</v>
      </c>
      <c r="D667" s="14">
        <v>45941</v>
      </c>
      <c r="E667" s="11">
        <f>1</f>
        <v>1</v>
      </c>
      <c r="F667" s="14">
        <v>45946</v>
      </c>
      <c r="G667" s="11">
        <f>IF(Table1[[#This Row],[Pre-Booking Date]]&lt;&gt;"",1,0)</f>
        <v>1</v>
      </c>
      <c r="H667" s="4">
        <v>45948</v>
      </c>
      <c r="I667" s="11">
        <f>IF(Table1[[#This Row],[Booking Date]]&lt;&gt;"",1,0)</f>
        <v>1</v>
      </c>
      <c r="J667" s="30">
        <v>45950</v>
      </c>
      <c r="K667" s="11">
        <f>IF(Table1[[#This Row],[Delivery Date]]&lt;&gt;"",1,0)</f>
        <v>1</v>
      </c>
      <c r="L667" s="3" t="s">
        <v>2</v>
      </c>
      <c r="M667" s="3">
        <f>IF(Table1[[#This Row],[Cancellation Status]]&lt;&gt;"Yes",1,0)</f>
        <v>1</v>
      </c>
      <c r="O667" s="30">
        <v>45978</v>
      </c>
      <c r="P667" s="3">
        <v>5</v>
      </c>
      <c r="Q667" s="3">
        <v>2</v>
      </c>
      <c r="R667" s="3">
        <v>2</v>
      </c>
      <c r="S667" s="3">
        <v>5</v>
      </c>
      <c r="T66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67" t="str">
        <f>IF(Table1[[#This Row],[Customer Rating]]&gt;=9,"Promoter",IF(Table1[[#This Row],[Customer Rating]]&gt;=7,"Passive","Detractor"))</f>
        <v>Detractor</v>
      </c>
    </row>
    <row r="668" spans="1:21" ht="14.25" customHeight="1" x14ac:dyDescent="0.3">
      <c r="A668" s="3" t="s">
        <v>703</v>
      </c>
      <c r="B668" s="3" t="s">
        <v>29</v>
      </c>
      <c r="C668" s="3" t="s">
        <v>27</v>
      </c>
      <c r="D668" s="14">
        <v>45941</v>
      </c>
      <c r="E668" s="11">
        <f>1</f>
        <v>1</v>
      </c>
      <c r="F668" s="14">
        <v>45945</v>
      </c>
      <c r="G668" s="11">
        <f>IF(Table1[[#This Row],[Pre-Booking Date]]&lt;&gt;"",1,0)</f>
        <v>1</v>
      </c>
      <c r="H668" s="4">
        <v>45946</v>
      </c>
      <c r="I668" s="11">
        <f>IF(Table1[[#This Row],[Booking Date]]&lt;&gt;"",1,0)</f>
        <v>1</v>
      </c>
      <c r="J668" s="30">
        <v>45951</v>
      </c>
      <c r="K668" s="11">
        <f>IF(Table1[[#This Row],[Delivery Date]]&lt;&gt;"",1,0)</f>
        <v>1</v>
      </c>
      <c r="L668" s="3" t="s">
        <v>2</v>
      </c>
      <c r="M668" s="3">
        <f>IF(Table1[[#This Row],[Cancellation Status]]&lt;&gt;"Yes",1,0)</f>
        <v>1</v>
      </c>
      <c r="O668" s="30">
        <v>45974</v>
      </c>
      <c r="P668" s="3">
        <v>4</v>
      </c>
      <c r="Q668" s="3">
        <v>1</v>
      </c>
      <c r="R668" s="3">
        <v>5</v>
      </c>
      <c r="S668" s="3">
        <v>3</v>
      </c>
      <c r="T66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68" t="str">
        <f>IF(Table1[[#This Row],[Customer Rating]]&gt;=9,"Promoter",IF(Table1[[#This Row],[Customer Rating]]&gt;=7,"Passive","Detractor"))</f>
        <v>Detractor</v>
      </c>
    </row>
    <row r="669" spans="1:21" ht="14.25" customHeight="1" x14ac:dyDescent="0.3">
      <c r="A669" s="3" t="s">
        <v>704</v>
      </c>
      <c r="B669" s="3" t="s">
        <v>32</v>
      </c>
      <c r="C669" s="3" t="s">
        <v>33</v>
      </c>
      <c r="D669" s="14">
        <v>45941</v>
      </c>
      <c r="E669" s="11">
        <f>1</f>
        <v>1</v>
      </c>
      <c r="G669" s="12">
        <f>IF(Table1[[#This Row],[Pre-Booking Date]]&lt;&gt;"",1,0)</f>
        <v>0</v>
      </c>
      <c r="I669" s="12">
        <f>IF(Table1[[#This Row],[Booking Date]]&lt;&gt;"",1,0)</f>
        <v>0</v>
      </c>
      <c r="K669" s="12">
        <f>IF(Table1[[#This Row],[Delivery Date]]&lt;&gt;"",1,0)</f>
        <v>0</v>
      </c>
      <c r="L669" s="3" t="s">
        <v>3</v>
      </c>
      <c r="M669" s="3">
        <f>IF(Table1[[#This Row],[Cancellation Status]]&lt;&gt;"Yes",1,0)</f>
        <v>0</v>
      </c>
      <c r="N669" s="3" t="s">
        <v>42</v>
      </c>
      <c r="T66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69" t="str">
        <f>IF(Table1[[#This Row],[Customer Rating]]&gt;=9,"Promoter",IF(Table1[[#This Row],[Customer Rating]]&gt;=7,"Passive","Detractor"))</f>
        <v>Detractor</v>
      </c>
    </row>
    <row r="670" spans="1:21" ht="14.25" customHeight="1" x14ac:dyDescent="0.3">
      <c r="A670" s="3" t="s">
        <v>705</v>
      </c>
      <c r="B670" s="3" t="s">
        <v>26</v>
      </c>
      <c r="C670" s="3" t="s">
        <v>27</v>
      </c>
      <c r="D670" s="14">
        <v>45941</v>
      </c>
      <c r="E670" s="11">
        <f>1</f>
        <v>1</v>
      </c>
      <c r="F670" s="14">
        <v>45943</v>
      </c>
      <c r="G670" s="11">
        <f>IF(Table1[[#This Row],[Pre-Booking Date]]&lt;&gt;"",1,0)</f>
        <v>1</v>
      </c>
      <c r="H670" s="4">
        <v>45947</v>
      </c>
      <c r="I670" s="11">
        <f>IF(Table1[[#This Row],[Booking Date]]&lt;&gt;"",1,0)</f>
        <v>1</v>
      </c>
      <c r="J670" s="30">
        <v>45952</v>
      </c>
      <c r="K670" s="11">
        <f>IF(Table1[[#This Row],[Delivery Date]]&lt;&gt;"",1,0)</f>
        <v>1</v>
      </c>
      <c r="L670" s="3" t="s">
        <v>3</v>
      </c>
      <c r="M670" s="3">
        <f>IF(Table1[[#This Row],[Cancellation Status]]&lt;&gt;"Yes",1,0)</f>
        <v>0</v>
      </c>
      <c r="N670" s="3" t="s">
        <v>52</v>
      </c>
      <c r="P670" s="3">
        <v>2</v>
      </c>
      <c r="Q670" s="3">
        <v>4</v>
      </c>
      <c r="R670" s="3">
        <v>5</v>
      </c>
      <c r="T67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70" t="str">
        <f>IF(Table1[[#This Row],[Customer Rating]]&gt;=9,"Promoter",IF(Table1[[#This Row],[Customer Rating]]&gt;=7,"Passive","Detractor"))</f>
        <v>Detractor</v>
      </c>
    </row>
    <row r="671" spans="1:21" ht="14.25" customHeight="1" x14ac:dyDescent="0.3">
      <c r="A671" s="3" t="s">
        <v>706</v>
      </c>
      <c r="B671" s="3" t="s">
        <v>32</v>
      </c>
      <c r="C671" s="3" t="s">
        <v>27</v>
      </c>
      <c r="D671" s="14">
        <v>45941</v>
      </c>
      <c r="E671" s="11">
        <f>1</f>
        <v>1</v>
      </c>
      <c r="F671" s="14">
        <v>45942</v>
      </c>
      <c r="G671" s="11">
        <f>IF(Table1[[#This Row],[Pre-Booking Date]]&lt;&gt;"",1,0)</f>
        <v>1</v>
      </c>
      <c r="H671" s="4">
        <v>45944</v>
      </c>
      <c r="I671" s="11">
        <f>IF(Table1[[#This Row],[Booking Date]]&lt;&gt;"",1,0)</f>
        <v>1</v>
      </c>
      <c r="J671" s="30">
        <v>45946</v>
      </c>
      <c r="K671" s="11">
        <f>IF(Table1[[#This Row],[Delivery Date]]&lt;&gt;"",1,0)</f>
        <v>1</v>
      </c>
      <c r="L671" s="3" t="s">
        <v>2</v>
      </c>
      <c r="M671" s="3">
        <f>IF(Table1[[#This Row],[Cancellation Status]]&lt;&gt;"Yes",1,0)</f>
        <v>1</v>
      </c>
      <c r="O671" s="30">
        <v>45962</v>
      </c>
      <c r="P671" s="3">
        <v>1</v>
      </c>
      <c r="Q671" s="3">
        <v>2</v>
      </c>
      <c r="R671" s="3">
        <v>2</v>
      </c>
      <c r="S671" s="3">
        <v>5</v>
      </c>
      <c r="T67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71" t="str">
        <f>IF(Table1[[#This Row],[Customer Rating]]&gt;=9,"Promoter",IF(Table1[[#This Row],[Customer Rating]]&gt;=7,"Passive","Detractor"))</f>
        <v>Detractor</v>
      </c>
    </row>
    <row r="672" spans="1:21" ht="14.25" customHeight="1" x14ac:dyDescent="0.3">
      <c r="A672" s="3" t="s">
        <v>707</v>
      </c>
      <c r="B672" s="3" t="s">
        <v>26</v>
      </c>
      <c r="C672" s="3" t="s">
        <v>33</v>
      </c>
      <c r="D672" s="14">
        <v>45941</v>
      </c>
      <c r="E672" s="11">
        <f>1</f>
        <v>1</v>
      </c>
      <c r="G672" s="12">
        <f>IF(Table1[[#This Row],[Pre-Booking Date]]&lt;&gt;"",1,0)</f>
        <v>0</v>
      </c>
      <c r="I672" s="12">
        <f>IF(Table1[[#This Row],[Booking Date]]&lt;&gt;"",1,0)</f>
        <v>0</v>
      </c>
      <c r="K672" s="12">
        <f>IF(Table1[[#This Row],[Delivery Date]]&lt;&gt;"",1,0)</f>
        <v>0</v>
      </c>
      <c r="L672" s="3" t="s">
        <v>3</v>
      </c>
      <c r="M672" s="3">
        <f>IF(Table1[[#This Row],[Cancellation Status]]&lt;&gt;"Yes",1,0)</f>
        <v>0</v>
      </c>
      <c r="N672" s="3" t="s">
        <v>34</v>
      </c>
      <c r="T67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72" t="str">
        <f>IF(Table1[[#This Row],[Customer Rating]]&gt;=9,"Promoter",IF(Table1[[#This Row],[Customer Rating]]&gt;=7,"Passive","Detractor"))</f>
        <v>Detractor</v>
      </c>
    </row>
    <row r="673" spans="1:21" ht="14.25" customHeight="1" x14ac:dyDescent="0.3">
      <c r="A673" s="3" t="s">
        <v>708</v>
      </c>
      <c r="B673" s="3" t="s">
        <v>26</v>
      </c>
      <c r="C673" s="3" t="s">
        <v>27</v>
      </c>
      <c r="D673" s="14">
        <v>45941</v>
      </c>
      <c r="E673" s="11">
        <f>1</f>
        <v>1</v>
      </c>
      <c r="F673" s="14">
        <v>45946</v>
      </c>
      <c r="G673" s="11">
        <f>IF(Table1[[#This Row],[Pre-Booking Date]]&lt;&gt;"",1,0)</f>
        <v>1</v>
      </c>
      <c r="H673" s="4">
        <v>45948</v>
      </c>
      <c r="I673" s="11">
        <f>IF(Table1[[#This Row],[Booking Date]]&lt;&gt;"",1,0)</f>
        <v>1</v>
      </c>
      <c r="J673" s="30">
        <v>45952</v>
      </c>
      <c r="K673" s="11">
        <f>IF(Table1[[#This Row],[Delivery Date]]&lt;&gt;"",1,0)</f>
        <v>1</v>
      </c>
      <c r="L673" s="3" t="s">
        <v>2</v>
      </c>
      <c r="M673" s="3">
        <f>IF(Table1[[#This Row],[Cancellation Status]]&lt;&gt;"Yes",1,0)</f>
        <v>1</v>
      </c>
      <c r="O673" s="30">
        <v>45971</v>
      </c>
      <c r="P673" s="3">
        <v>5</v>
      </c>
      <c r="Q673" s="3">
        <v>2</v>
      </c>
      <c r="R673" s="3">
        <v>4</v>
      </c>
      <c r="S673" s="3">
        <v>5</v>
      </c>
      <c r="T67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73" t="str">
        <f>IF(Table1[[#This Row],[Customer Rating]]&gt;=9,"Promoter",IF(Table1[[#This Row],[Customer Rating]]&gt;=7,"Passive","Detractor"))</f>
        <v>Detractor</v>
      </c>
    </row>
    <row r="674" spans="1:21" ht="14.25" customHeight="1" x14ac:dyDescent="0.3">
      <c r="A674" s="3" t="s">
        <v>709</v>
      </c>
      <c r="B674" s="3" t="s">
        <v>39</v>
      </c>
      <c r="C674" s="3" t="s">
        <v>30</v>
      </c>
      <c r="D674" s="14">
        <v>45941</v>
      </c>
      <c r="E674" s="11">
        <f>1</f>
        <v>1</v>
      </c>
      <c r="F674" s="14">
        <v>45943</v>
      </c>
      <c r="G674" s="11">
        <f>IF(Table1[[#This Row],[Pre-Booking Date]]&lt;&gt;"",1,0)</f>
        <v>1</v>
      </c>
      <c r="H674" s="4">
        <v>45946</v>
      </c>
      <c r="I674" s="11">
        <f>IF(Table1[[#This Row],[Booking Date]]&lt;&gt;"",1,0)</f>
        <v>1</v>
      </c>
      <c r="J674" s="30">
        <v>45948</v>
      </c>
      <c r="K674" s="11">
        <f>IF(Table1[[#This Row],[Delivery Date]]&lt;&gt;"",1,0)</f>
        <v>1</v>
      </c>
      <c r="L674" s="3" t="s">
        <v>3</v>
      </c>
      <c r="M674" s="3">
        <f>IF(Table1[[#This Row],[Cancellation Status]]&lt;&gt;"Yes",1,0)</f>
        <v>0</v>
      </c>
      <c r="N674" s="3" t="s">
        <v>37</v>
      </c>
      <c r="P674" s="3">
        <v>2</v>
      </c>
      <c r="Q674" s="3">
        <v>3</v>
      </c>
      <c r="R674" s="3">
        <v>2</v>
      </c>
      <c r="T67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74" t="str">
        <f>IF(Table1[[#This Row],[Customer Rating]]&gt;=9,"Promoter",IF(Table1[[#This Row],[Customer Rating]]&gt;=7,"Passive","Detractor"))</f>
        <v>Detractor</v>
      </c>
    </row>
    <row r="675" spans="1:21" ht="14.25" customHeight="1" x14ac:dyDescent="0.3">
      <c r="A675" s="3" t="s">
        <v>710</v>
      </c>
      <c r="B675" s="3" t="s">
        <v>39</v>
      </c>
      <c r="C675" s="3" t="s">
        <v>27</v>
      </c>
      <c r="D675" s="14">
        <v>45941</v>
      </c>
      <c r="E675" s="11">
        <f>1</f>
        <v>1</v>
      </c>
      <c r="F675" s="14">
        <v>45946</v>
      </c>
      <c r="G675" s="11">
        <f>IF(Table1[[#This Row],[Pre-Booking Date]]&lt;&gt;"",1,0)</f>
        <v>1</v>
      </c>
      <c r="H675" s="4">
        <v>45950</v>
      </c>
      <c r="I675" s="11">
        <f>IF(Table1[[#This Row],[Booking Date]]&lt;&gt;"",1,0)</f>
        <v>1</v>
      </c>
      <c r="J675" s="30">
        <v>45954</v>
      </c>
      <c r="K675" s="11">
        <f>IF(Table1[[#This Row],[Delivery Date]]&lt;&gt;"",1,0)</f>
        <v>1</v>
      </c>
      <c r="L675" s="3" t="s">
        <v>2</v>
      </c>
      <c r="M675" s="3">
        <f>IF(Table1[[#This Row],[Cancellation Status]]&lt;&gt;"Yes",1,0)</f>
        <v>1</v>
      </c>
      <c r="O675" s="30">
        <v>45984</v>
      </c>
      <c r="P675" s="3">
        <v>5</v>
      </c>
      <c r="Q675" s="3">
        <v>4</v>
      </c>
      <c r="R675" s="3">
        <v>4</v>
      </c>
      <c r="S675" s="3">
        <v>9</v>
      </c>
      <c r="T67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75" t="str">
        <f>IF(Table1[[#This Row],[Customer Rating]]&gt;=9,"Promoter",IF(Table1[[#This Row],[Customer Rating]]&gt;=7,"Passive","Detractor"))</f>
        <v>Promoter</v>
      </c>
    </row>
    <row r="676" spans="1:21" ht="14.25" customHeight="1" x14ac:dyDescent="0.3">
      <c r="A676" s="3" t="s">
        <v>711</v>
      </c>
      <c r="B676" s="3" t="s">
        <v>26</v>
      </c>
      <c r="C676" s="3" t="s">
        <v>27</v>
      </c>
      <c r="D676" s="14">
        <v>45941</v>
      </c>
      <c r="E676" s="11">
        <f>1</f>
        <v>1</v>
      </c>
      <c r="F676" s="14">
        <v>45946</v>
      </c>
      <c r="G676" s="11">
        <f>IF(Table1[[#This Row],[Pre-Booking Date]]&lt;&gt;"",1,0)</f>
        <v>1</v>
      </c>
      <c r="H676" s="4">
        <v>45951</v>
      </c>
      <c r="I676" s="11">
        <f>IF(Table1[[#This Row],[Booking Date]]&lt;&gt;"",1,0)</f>
        <v>1</v>
      </c>
      <c r="J676" s="30">
        <v>45953</v>
      </c>
      <c r="K676" s="11">
        <f>IF(Table1[[#This Row],[Delivery Date]]&lt;&gt;"",1,0)</f>
        <v>1</v>
      </c>
      <c r="L676" s="3" t="s">
        <v>2</v>
      </c>
      <c r="M676" s="3">
        <f>IF(Table1[[#This Row],[Cancellation Status]]&lt;&gt;"Yes",1,0)</f>
        <v>1</v>
      </c>
      <c r="O676" s="30">
        <v>45972</v>
      </c>
      <c r="P676" s="3">
        <v>5</v>
      </c>
      <c r="Q676" s="3">
        <v>5</v>
      </c>
      <c r="R676" s="3">
        <v>2</v>
      </c>
      <c r="S676" s="3">
        <v>5</v>
      </c>
      <c r="T67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76" t="str">
        <f>IF(Table1[[#This Row],[Customer Rating]]&gt;=9,"Promoter",IF(Table1[[#This Row],[Customer Rating]]&gt;=7,"Passive","Detractor"))</f>
        <v>Detractor</v>
      </c>
    </row>
    <row r="677" spans="1:21" ht="14.25" customHeight="1" x14ac:dyDescent="0.3">
      <c r="A677" s="3" t="s">
        <v>712</v>
      </c>
      <c r="B677" s="3" t="s">
        <v>39</v>
      </c>
      <c r="C677" s="3" t="s">
        <v>27</v>
      </c>
      <c r="D677" s="14">
        <v>45941</v>
      </c>
      <c r="E677" s="11">
        <f>1</f>
        <v>1</v>
      </c>
      <c r="F677" s="14">
        <v>45944</v>
      </c>
      <c r="G677" s="11">
        <f>IF(Table1[[#This Row],[Pre-Booking Date]]&lt;&gt;"",1,0)</f>
        <v>1</v>
      </c>
      <c r="H677" s="4">
        <v>45948</v>
      </c>
      <c r="I677" s="11">
        <f>IF(Table1[[#This Row],[Booking Date]]&lt;&gt;"",1,0)</f>
        <v>1</v>
      </c>
      <c r="J677" s="30">
        <v>45952</v>
      </c>
      <c r="K677" s="11">
        <f>IF(Table1[[#This Row],[Delivery Date]]&lt;&gt;"",1,0)</f>
        <v>1</v>
      </c>
      <c r="L677" s="3" t="s">
        <v>2</v>
      </c>
      <c r="M677" s="3">
        <f>IF(Table1[[#This Row],[Cancellation Status]]&lt;&gt;"Yes",1,0)</f>
        <v>1</v>
      </c>
      <c r="O677" s="30">
        <v>45970</v>
      </c>
      <c r="P677" s="3">
        <v>3</v>
      </c>
      <c r="Q677" s="3">
        <v>4</v>
      </c>
      <c r="R677" s="3">
        <v>4</v>
      </c>
      <c r="S677" s="3">
        <v>1</v>
      </c>
      <c r="T67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77" t="str">
        <f>IF(Table1[[#This Row],[Customer Rating]]&gt;=9,"Promoter",IF(Table1[[#This Row],[Customer Rating]]&gt;=7,"Passive","Detractor"))</f>
        <v>Detractor</v>
      </c>
    </row>
    <row r="678" spans="1:21" ht="14.25" customHeight="1" x14ac:dyDescent="0.3">
      <c r="A678" s="3" t="s">
        <v>713</v>
      </c>
      <c r="B678" s="3" t="s">
        <v>32</v>
      </c>
      <c r="C678" s="3" t="s">
        <v>27</v>
      </c>
      <c r="D678" s="14">
        <v>45941</v>
      </c>
      <c r="E678" s="11">
        <f>1</f>
        <v>1</v>
      </c>
      <c r="F678" s="14">
        <v>45944</v>
      </c>
      <c r="G678" s="11">
        <f>IF(Table1[[#This Row],[Pre-Booking Date]]&lt;&gt;"",1,0)</f>
        <v>1</v>
      </c>
      <c r="H678" s="4">
        <v>45948</v>
      </c>
      <c r="I678" s="11">
        <f>IF(Table1[[#This Row],[Booking Date]]&lt;&gt;"",1,0)</f>
        <v>1</v>
      </c>
      <c r="J678" s="30">
        <v>45950</v>
      </c>
      <c r="K678" s="11">
        <f>IF(Table1[[#This Row],[Delivery Date]]&lt;&gt;"",1,0)</f>
        <v>1</v>
      </c>
      <c r="L678" s="3" t="s">
        <v>2</v>
      </c>
      <c r="M678" s="3">
        <f>IF(Table1[[#This Row],[Cancellation Status]]&lt;&gt;"Yes",1,0)</f>
        <v>1</v>
      </c>
      <c r="O678" s="30">
        <v>45962</v>
      </c>
      <c r="P678" s="3">
        <v>3</v>
      </c>
      <c r="Q678" s="3">
        <v>4</v>
      </c>
      <c r="R678" s="3">
        <v>2</v>
      </c>
      <c r="S678" s="3">
        <v>6</v>
      </c>
      <c r="T67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78" t="str">
        <f>IF(Table1[[#This Row],[Customer Rating]]&gt;=9,"Promoter",IF(Table1[[#This Row],[Customer Rating]]&gt;=7,"Passive","Detractor"))</f>
        <v>Detractor</v>
      </c>
    </row>
    <row r="679" spans="1:21" ht="14.25" customHeight="1" x14ac:dyDescent="0.3">
      <c r="A679" s="3" t="s">
        <v>714</v>
      </c>
      <c r="B679" s="3" t="s">
        <v>39</v>
      </c>
      <c r="C679" s="3" t="s">
        <v>30</v>
      </c>
      <c r="D679" s="14">
        <v>45941</v>
      </c>
      <c r="E679" s="11">
        <f>1</f>
        <v>1</v>
      </c>
      <c r="F679" s="14">
        <v>45943</v>
      </c>
      <c r="G679" s="11">
        <f>IF(Table1[[#This Row],[Pre-Booking Date]]&lt;&gt;"",1,0)</f>
        <v>1</v>
      </c>
      <c r="H679" s="4">
        <v>45945</v>
      </c>
      <c r="I679" s="11">
        <f>IF(Table1[[#This Row],[Booking Date]]&lt;&gt;"",1,0)</f>
        <v>1</v>
      </c>
      <c r="J679" s="30">
        <v>45947</v>
      </c>
      <c r="K679" s="11">
        <f>IF(Table1[[#This Row],[Delivery Date]]&lt;&gt;"",1,0)</f>
        <v>1</v>
      </c>
      <c r="L679" s="3" t="s">
        <v>2</v>
      </c>
      <c r="M679" s="3">
        <f>IF(Table1[[#This Row],[Cancellation Status]]&lt;&gt;"Yes",1,0)</f>
        <v>1</v>
      </c>
      <c r="O679" s="30">
        <v>45969</v>
      </c>
      <c r="P679" s="3">
        <v>2</v>
      </c>
      <c r="Q679" s="3">
        <v>2</v>
      </c>
      <c r="R679" s="3">
        <v>2</v>
      </c>
      <c r="S679" s="3">
        <v>9</v>
      </c>
      <c r="T67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79" t="str">
        <f>IF(Table1[[#This Row],[Customer Rating]]&gt;=9,"Promoter",IF(Table1[[#This Row],[Customer Rating]]&gt;=7,"Passive","Detractor"))</f>
        <v>Promoter</v>
      </c>
    </row>
    <row r="680" spans="1:21" ht="14.25" customHeight="1" x14ac:dyDescent="0.3">
      <c r="A680" s="3" t="s">
        <v>715</v>
      </c>
      <c r="B680" s="3" t="s">
        <v>39</v>
      </c>
      <c r="C680" s="3" t="s">
        <v>27</v>
      </c>
      <c r="D680" s="14">
        <v>45941</v>
      </c>
      <c r="E680" s="11">
        <f>1</f>
        <v>1</v>
      </c>
      <c r="F680" s="14">
        <v>45946</v>
      </c>
      <c r="G680" s="11">
        <f>IF(Table1[[#This Row],[Pre-Booking Date]]&lt;&gt;"",1,0)</f>
        <v>1</v>
      </c>
      <c r="H680" s="4">
        <v>45951</v>
      </c>
      <c r="I680" s="11">
        <f>IF(Table1[[#This Row],[Booking Date]]&lt;&gt;"",1,0)</f>
        <v>1</v>
      </c>
      <c r="J680" s="30">
        <v>45957</v>
      </c>
      <c r="K680" s="11">
        <f>IF(Table1[[#This Row],[Delivery Date]]&lt;&gt;"",1,0)</f>
        <v>1</v>
      </c>
      <c r="L680" s="3" t="s">
        <v>2</v>
      </c>
      <c r="M680" s="3">
        <f>IF(Table1[[#This Row],[Cancellation Status]]&lt;&gt;"Yes",1,0)</f>
        <v>1</v>
      </c>
      <c r="O680" s="30">
        <v>45977</v>
      </c>
      <c r="P680" s="3">
        <v>5</v>
      </c>
      <c r="Q680" s="3">
        <v>5</v>
      </c>
      <c r="R680" s="3">
        <v>6</v>
      </c>
      <c r="S680" s="3">
        <v>9</v>
      </c>
      <c r="T68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80" t="str">
        <f>IF(Table1[[#This Row],[Customer Rating]]&gt;=9,"Promoter",IF(Table1[[#This Row],[Customer Rating]]&gt;=7,"Passive","Detractor"))</f>
        <v>Promoter</v>
      </c>
    </row>
    <row r="681" spans="1:21" ht="14.25" customHeight="1" x14ac:dyDescent="0.3">
      <c r="A681" s="3" t="s">
        <v>716</v>
      </c>
      <c r="B681" s="3" t="s">
        <v>29</v>
      </c>
      <c r="C681" s="3" t="s">
        <v>27</v>
      </c>
      <c r="D681" s="14">
        <v>45941</v>
      </c>
      <c r="E681" s="11">
        <f>1</f>
        <v>1</v>
      </c>
      <c r="F681" s="14">
        <v>45943</v>
      </c>
      <c r="G681" s="11">
        <f>IF(Table1[[#This Row],[Pre-Booking Date]]&lt;&gt;"",1,0)</f>
        <v>1</v>
      </c>
      <c r="H681" s="4">
        <v>45946</v>
      </c>
      <c r="I681" s="11">
        <f>IF(Table1[[#This Row],[Booking Date]]&lt;&gt;"",1,0)</f>
        <v>1</v>
      </c>
      <c r="J681" s="30">
        <v>45951</v>
      </c>
      <c r="K681" s="11">
        <f>IF(Table1[[#This Row],[Delivery Date]]&lt;&gt;"",1,0)</f>
        <v>1</v>
      </c>
      <c r="L681" s="3" t="s">
        <v>2</v>
      </c>
      <c r="M681" s="3">
        <f>IF(Table1[[#This Row],[Cancellation Status]]&lt;&gt;"Yes",1,0)</f>
        <v>1</v>
      </c>
      <c r="O681" s="30">
        <v>45967</v>
      </c>
      <c r="P681" s="3">
        <v>2</v>
      </c>
      <c r="Q681" s="3">
        <v>3</v>
      </c>
      <c r="R681" s="3">
        <v>5</v>
      </c>
      <c r="S681" s="3">
        <v>7</v>
      </c>
      <c r="T68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81" t="str">
        <f>IF(Table1[[#This Row],[Customer Rating]]&gt;=9,"Promoter",IF(Table1[[#This Row],[Customer Rating]]&gt;=7,"Passive","Detractor"))</f>
        <v>Passive</v>
      </c>
    </row>
    <row r="682" spans="1:21" ht="14.25" customHeight="1" x14ac:dyDescent="0.3">
      <c r="A682" s="3" t="s">
        <v>717</v>
      </c>
      <c r="B682" s="3" t="s">
        <v>39</v>
      </c>
      <c r="C682" s="3" t="s">
        <v>27</v>
      </c>
      <c r="D682" s="14">
        <v>45941</v>
      </c>
      <c r="E682" s="11">
        <f>1</f>
        <v>1</v>
      </c>
      <c r="F682" s="14">
        <v>45945</v>
      </c>
      <c r="G682" s="11">
        <f>IF(Table1[[#This Row],[Pre-Booking Date]]&lt;&gt;"",1,0)</f>
        <v>1</v>
      </c>
      <c r="H682" s="4">
        <v>45948</v>
      </c>
      <c r="I682" s="11">
        <f>IF(Table1[[#This Row],[Booking Date]]&lt;&gt;"",1,0)</f>
        <v>1</v>
      </c>
      <c r="J682" s="30">
        <v>45953</v>
      </c>
      <c r="K682" s="11">
        <f>IF(Table1[[#This Row],[Delivery Date]]&lt;&gt;"",1,0)</f>
        <v>1</v>
      </c>
      <c r="L682" s="3" t="s">
        <v>2</v>
      </c>
      <c r="M682" s="3">
        <f>IF(Table1[[#This Row],[Cancellation Status]]&lt;&gt;"Yes",1,0)</f>
        <v>1</v>
      </c>
      <c r="O682" s="30">
        <v>45978</v>
      </c>
      <c r="P682" s="3">
        <v>4</v>
      </c>
      <c r="Q682" s="3">
        <v>3</v>
      </c>
      <c r="R682" s="3">
        <v>5</v>
      </c>
      <c r="S682" s="3">
        <v>7</v>
      </c>
      <c r="T68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82" t="str">
        <f>IF(Table1[[#This Row],[Customer Rating]]&gt;=9,"Promoter",IF(Table1[[#This Row],[Customer Rating]]&gt;=7,"Passive","Detractor"))</f>
        <v>Passive</v>
      </c>
    </row>
    <row r="683" spans="1:21" ht="14.25" customHeight="1" x14ac:dyDescent="0.3">
      <c r="A683" s="3" t="s">
        <v>718</v>
      </c>
      <c r="B683" s="3" t="s">
        <v>32</v>
      </c>
      <c r="C683" s="3" t="s">
        <v>27</v>
      </c>
      <c r="D683" s="14">
        <v>45941</v>
      </c>
      <c r="E683" s="11">
        <f>1</f>
        <v>1</v>
      </c>
      <c r="F683" s="14">
        <v>45946</v>
      </c>
      <c r="G683" s="11">
        <f>IF(Table1[[#This Row],[Pre-Booking Date]]&lt;&gt;"",1,0)</f>
        <v>1</v>
      </c>
      <c r="H683" s="4">
        <v>45947</v>
      </c>
      <c r="I683" s="11">
        <f>IF(Table1[[#This Row],[Booking Date]]&lt;&gt;"",1,0)</f>
        <v>1</v>
      </c>
      <c r="J683" s="30">
        <v>45952</v>
      </c>
      <c r="K683" s="11">
        <f>IF(Table1[[#This Row],[Delivery Date]]&lt;&gt;"",1,0)</f>
        <v>1</v>
      </c>
      <c r="L683" s="3" t="s">
        <v>2</v>
      </c>
      <c r="M683" s="3">
        <f>IF(Table1[[#This Row],[Cancellation Status]]&lt;&gt;"Yes",1,0)</f>
        <v>1</v>
      </c>
      <c r="O683" s="30">
        <v>45976</v>
      </c>
      <c r="P683" s="3">
        <v>5</v>
      </c>
      <c r="Q683" s="3">
        <v>1</v>
      </c>
      <c r="R683" s="3">
        <v>5</v>
      </c>
      <c r="S683" s="3">
        <v>9</v>
      </c>
      <c r="T68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83" t="str">
        <f>IF(Table1[[#This Row],[Customer Rating]]&gt;=9,"Promoter",IF(Table1[[#This Row],[Customer Rating]]&gt;=7,"Passive","Detractor"))</f>
        <v>Promoter</v>
      </c>
    </row>
    <row r="684" spans="1:21" ht="14.25" customHeight="1" x14ac:dyDescent="0.3">
      <c r="A684" s="3" t="s">
        <v>719</v>
      </c>
      <c r="B684" s="3" t="s">
        <v>32</v>
      </c>
      <c r="C684" s="3" t="s">
        <v>30</v>
      </c>
      <c r="D684" s="14">
        <v>45941</v>
      </c>
      <c r="E684" s="11">
        <f>1</f>
        <v>1</v>
      </c>
      <c r="F684" s="14">
        <v>45943</v>
      </c>
      <c r="G684" s="11">
        <f>IF(Table1[[#This Row],[Pre-Booking Date]]&lt;&gt;"",1,0)</f>
        <v>1</v>
      </c>
      <c r="H684" s="4">
        <v>45946</v>
      </c>
      <c r="I684" s="11">
        <f>IF(Table1[[#This Row],[Booking Date]]&lt;&gt;"",1,0)</f>
        <v>1</v>
      </c>
      <c r="J684" s="30">
        <v>45948</v>
      </c>
      <c r="K684" s="11">
        <f>IF(Table1[[#This Row],[Delivery Date]]&lt;&gt;"",1,0)</f>
        <v>1</v>
      </c>
      <c r="L684" s="3" t="s">
        <v>2</v>
      </c>
      <c r="M684" s="3">
        <f>IF(Table1[[#This Row],[Cancellation Status]]&lt;&gt;"Yes",1,0)</f>
        <v>1</v>
      </c>
      <c r="O684" s="30">
        <v>45976</v>
      </c>
      <c r="P684" s="3">
        <v>2</v>
      </c>
      <c r="Q684" s="3">
        <v>3</v>
      </c>
      <c r="R684" s="3">
        <v>2</v>
      </c>
      <c r="S684" s="3">
        <v>3</v>
      </c>
      <c r="T68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84" t="str">
        <f>IF(Table1[[#This Row],[Customer Rating]]&gt;=9,"Promoter",IF(Table1[[#This Row],[Customer Rating]]&gt;=7,"Passive","Detractor"))</f>
        <v>Detractor</v>
      </c>
    </row>
    <row r="685" spans="1:21" ht="14.25" customHeight="1" x14ac:dyDescent="0.3">
      <c r="A685" s="3" t="s">
        <v>720</v>
      </c>
      <c r="B685" s="3" t="s">
        <v>32</v>
      </c>
      <c r="C685" s="3" t="s">
        <v>27</v>
      </c>
      <c r="D685" s="14">
        <v>45941</v>
      </c>
      <c r="E685" s="11">
        <f>1</f>
        <v>1</v>
      </c>
      <c r="F685" s="14">
        <v>45943</v>
      </c>
      <c r="G685" s="11">
        <f>IF(Table1[[#This Row],[Pre-Booking Date]]&lt;&gt;"",1,0)</f>
        <v>1</v>
      </c>
      <c r="H685" s="4">
        <v>45947</v>
      </c>
      <c r="I685" s="11">
        <f>IF(Table1[[#This Row],[Booking Date]]&lt;&gt;"",1,0)</f>
        <v>1</v>
      </c>
      <c r="J685" s="30">
        <v>45953</v>
      </c>
      <c r="K685" s="11">
        <f>IF(Table1[[#This Row],[Delivery Date]]&lt;&gt;"",1,0)</f>
        <v>1</v>
      </c>
      <c r="L685" s="3" t="s">
        <v>2</v>
      </c>
      <c r="M685" s="3">
        <f>IF(Table1[[#This Row],[Cancellation Status]]&lt;&gt;"Yes",1,0)</f>
        <v>1</v>
      </c>
      <c r="O685" s="30">
        <v>45963</v>
      </c>
      <c r="P685" s="3">
        <v>2</v>
      </c>
      <c r="Q685" s="3">
        <v>4</v>
      </c>
      <c r="R685" s="3">
        <v>6</v>
      </c>
      <c r="S685" s="3">
        <v>7</v>
      </c>
      <c r="T68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85" t="str">
        <f>IF(Table1[[#This Row],[Customer Rating]]&gt;=9,"Promoter",IF(Table1[[#This Row],[Customer Rating]]&gt;=7,"Passive","Detractor"))</f>
        <v>Passive</v>
      </c>
    </row>
    <row r="686" spans="1:21" ht="14.25" customHeight="1" x14ac:dyDescent="0.3">
      <c r="A686" s="3" t="s">
        <v>721</v>
      </c>
      <c r="B686" s="3" t="s">
        <v>29</v>
      </c>
      <c r="C686" s="3" t="s">
        <v>33</v>
      </c>
      <c r="D686" s="14">
        <v>45940</v>
      </c>
      <c r="E686" s="11">
        <f>1</f>
        <v>1</v>
      </c>
      <c r="G686" s="12">
        <f>IF(Table1[[#This Row],[Pre-Booking Date]]&lt;&gt;"",1,0)</f>
        <v>0</v>
      </c>
      <c r="I686" s="12">
        <f>IF(Table1[[#This Row],[Booking Date]]&lt;&gt;"",1,0)</f>
        <v>0</v>
      </c>
      <c r="K686" s="12">
        <f>IF(Table1[[#This Row],[Delivery Date]]&lt;&gt;"",1,0)</f>
        <v>0</v>
      </c>
      <c r="L686" s="3" t="s">
        <v>3</v>
      </c>
      <c r="M686" s="3">
        <f>IF(Table1[[#This Row],[Cancellation Status]]&lt;&gt;"Yes",1,0)</f>
        <v>0</v>
      </c>
      <c r="N686" s="3" t="s">
        <v>34</v>
      </c>
      <c r="T68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86" t="str">
        <f>IF(Table1[[#This Row],[Customer Rating]]&gt;=9,"Promoter",IF(Table1[[#This Row],[Customer Rating]]&gt;=7,"Passive","Detractor"))</f>
        <v>Detractor</v>
      </c>
    </row>
    <row r="687" spans="1:21" ht="14.25" customHeight="1" x14ac:dyDescent="0.3">
      <c r="A687" s="3" t="s">
        <v>722</v>
      </c>
      <c r="B687" s="3" t="s">
        <v>32</v>
      </c>
      <c r="C687" s="3" t="s">
        <v>27</v>
      </c>
      <c r="D687" s="14">
        <v>45940</v>
      </c>
      <c r="E687" s="11">
        <f>1</f>
        <v>1</v>
      </c>
      <c r="F687" s="14">
        <v>45944</v>
      </c>
      <c r="G687" s="11">
        <f>IF(Table1[[#This Row],[Pre-Booking Date]]&lt;&gt;"",1,0)</f>
        <v>1</v>
      </c>
      <c r="H687" s="4">
        <v>45945</v>
      </c>
      <c r="I687" s="11">
        <f>IF(Table1[[#This Row],[Booking Date]]&lt;&gt;"",1,0)</f>
        <v>1</v>
      </c>
      <c r="J687" s="30">
        <v>45951</v>
      </c>
      <c r="K687" s="11">
        <f>IF(Table1[[#This Row],[Delivery Date]]&lt;&gt;"",1,0)</f>
        <v>1</v>
      </c>
      <c r="L687" s="3" t="s">
        <v>2</v>
      </c>
      <c r="M687" s="3">
        <f>IF(Table1[[#This Row],[Cancellation Status]]&lt;&gt;"Yes",1,0)</f>
        <v>1</v>
      </c>
      <c r="O687" s="30">
        <v>45976</v>
      </c>
      <c r="P687" s="3">
        <v>4</v>
      </c>
      <c r="Q687" s="3">
        <v>1</v>
      </c>
      <c r="R687" s="3">
        <v>6</v>
      </c>
      <c r="S687" s="3">
        <v>6</v>
      </c>
      <c r="T68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87" t="str">
        <f>IF(Table1[[#This Row],[Customer Rating]]&gt;=9,"Promoter",IF(Table1[[#This Row],[Customer Rating]]&gt;=7,"Passive","Detractor"))</f>
        <v>Detractor</v>
      </c>
    </row>
    <row r="688" spans="1:21" ht="14.25" customHeight="1" x14ac:dyDescent="0.3">
      <c r="A688" s="3" t="s">
        <v>723</v>
      </c>
      <c r="B688" s="3" t="s">
        <v>32</v>
      </c>
      <c r="C688" s="3" t="s">
        <v>30</v>
      </c>
      <c r="D688" s="14">
        <v>45940</v>
      </c>
      <c r="E688" s="11">
        <f>1</f>
        <v>1</v>
      </c>
      <c r="F688" s="14">
        <v>45942</v>
      </c>
      <c r="G688" s="11">
        <f>IF(Table1[[#This Row],[Pre-Booking Date]]&lt;&gt;"",1,0)</f>
        <v>1</v>
      </c>
      <c r="H688" s="4">
        <v>45946</v>
      </c>
      <c r="I688" s="11">
        <f>IF(Table1[[#This Row],[Booking Date]]&lt;&gt;"",1,0)</f>
        <v>1</v>
      </c>
      <c r="J688" s="30">
        <v>45952</v>
      </c>
      <c r="K688" s="11">
        <f>IF(Table1[[#This Row],[Delivery Date]]&lt;&gt;"",1,0)</f>
        <v>1</v>
      </c>
      <c r="L688" s="3" t="s">
        <v>2</v>
      </c>
      <c r="M688" s="3">
        <f>IF(Table1[[#This Row],[Cancellation Status]]&lt;&gt;"Yes",1,0)</f>
        <v>1</v>
      </c>
      <c r="O688" s="30">
        <v>45982</v>
      </c>
      <c r="P688" s="3">
        <v>2</v>
      </c>
      <c r="Q688" s="3">
        <v>4</v>
      </c>
      <c r="R688" s="3">
        <v>6</v>
      </c>
      <c r="S688" s="3">
        <v>6</v>
      </c>
      <c r="T68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88" t="str">
        <f>IF(Table1[[#This Row],[Customer Rating]]&gt;=9,"Promoter",IF(Table1[[#This Row],[Customer Rating]]&gt;=7,"Passive","Detractor"))</f>
        <v>Detractor</v>
      </c>
    </row>
    <row r="689" spans="1:21" ht="14.25" customHeight="1" x14ac:dyDescent="0.3">
      <c r="A689" s="3" t="s">
        <v>724</v>
      </c>
      <c r="B689" s="3" t="s">
        <v>26</v>
      </c>
      <c r="C689" s="3" t="s">
        <v>27</v>
      </c>
      <c r="D689" s="14">
        <v>45940</v>
      </c>
      <c r="E689" s="11">
        <f>1</f>
        <v>1</v>
      </c>
      <c r="F689" s="14">
        <v>45941</v>
      </c>
      <c r="G689" s="11">
        <f>IF(Table1[[#This Row],[Pre-Booking Date]]&lt;&gt;"",1,0)</f>
        <v>1</v>
      </c>
      <c r="H689" s="4">
        <v>45943</v>
      </c>
      <c r="I689" s="11">
        <f>IF(Table1[[#This Row],[Booking Date]]&lt;&gt;"",1,0)</f>
        <v>1</v>
      </c>
      <c r="J689" s="30">
        <v>45948</v>
      </c>
      <c r="K689" s="11">
        <f>IF(Table1[[#This Row],[Delivery Date]]&lt;&gt;"",1,0)</f>
        <v>1</v>
      </c>
      <c r="L689" s="3" t="s">
        <v>3</v>
      </c>
      <c r="M689" s="3">
        <f>IF(Table1[[#This Row],[Cancellation Status]]&lt;&gt;"Yes",1,0)</f>
        <v>0</v>
      </c>
      <c r="N689" s="3" t="s">
        <v>34</v>
      </c>
      <c r="P689" s="3">
        <v>1</v>
      </c>
      <c r="Q689" s="3">
        <v>2</v>
      </c>
      <c r="R689" s="3">
        <v>5</v>
      </c>
      <c r="T68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89" t="str">
        <f>IF(Table1[[#This Row],[Customer Rating]]&gt;=9,"Promoter",IF(Table1[[#This Row],[Customer Rating]]&gt;=7,"Passive","Detractor"))</f>
        <v>Detractor</v>
      </c>
    </row>
    <row r="690" spans="1:21" ht="14.25" customHeight="1" x14ac:dyDescent="0.3">
      <c r="A690" s="3" t="s">
        <v>725</v>
      </c>
      <c r="B690" s="3" t="s">
        <v>39</v>
      </c>
      <c r="C690" s="3" t="s">
        <v>33</v>
      </c>
      <c r="D690" s="14">
        <v>45940</v>
      </c>
      <c r="E690" s="11">
        <f>1</f>
        <v>1</v>
      </c>
      <c r="G690" s="12">
        <f>IF(Table1[[#This Row],[Pre-Booking Date]]&lt;&gt;"",1,0)</f>
        <v>0</v>
      </c>
      <c r="I690" s="12">
        <f>IF(Table1[[#This Row],[Booking Date]]&lt;&gt;"",1,0)</f>
        <v>0</v>
      </c>
      <c r="K690" s="12">
        <f>IF(Table1[[#This Row],[Delivery Date]]&lt;&gt;"",1,0)</f>
        <v>0</v>
      </c>
      <c r="L690" s="3" t="s">
        <v>3</v>
      </c>
      <c r="M690" s="3">
        <f>IF(Table1[[#This Row],[Cancellation Status]]&lt;&gt;"Yes",1,0)</f>
        <v>0</v>
      </c>
      <c r="N690" s="3" t="s">
        <v>52</v>
      </c>
      <c r="T69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90" t="str">
        <f>IF(Table1[[#This Row],[Customer Rating]]&gt;=9,"Promoter",IF(Table1[[#This Row],[Customer Rating]]&gt;=7,"Passive","Detractor"))</f>
        <v>Detractor</v>
      </c>
    </row>
    <row r="691" spans="1:21" ht="14.25" customHeight="1" x14ac:dyDescent="0.3">
      <c r="A691" s="3" t="s">
        <v>726</v>
      </c>
      <c r="B691" s="3" t="s">
        <v>32</v>
      </c>
      <c r="C691" s="3" t="s">
        <v>27</v>
      </c>
      <c r="D691" s="14">
        <v>45940</v>
      </c>
      <c r="E691" s="11">
        <f>1</f>
        <v>1</v>
      </c>
      <c r="F691" s="14">
        <v>45941</v>
      </c>
      <c r="G691" s="11">
        <f>IF(Table1[[#This Row],[Pre-Booking Date]]&lt;&gt;"",1,0)</f>
        <v>1</v>
      </c>
      <c r="H691" s="4">
        <v>45945</v>
      </c>
      <c r="I691" s="11">
        <f>IF(Table1[[#This Row],[Booking Date]]&lt;&gt;"",1,0)</f>
        <v>1</v>
      </c>
      <c r="J691" s="30">
        <v>45948</v>
      </c>
      <c r="K691" s="11">
        <f>IF(Table1[[#This Row],[Delivery Date]]&lt;&gt;"",1,0)</f>
        <v>1</v>
      </c>
      <c r="L691" s="3" t="s">
        <v>2</v>
      </c>
      <c r="M691" s="3">
        <f>IF(Table1[[#This Row],[Cancellation Status]]&lt;&gt;"Yes",1,0)</f>
        <v>1</v>
      </c>
      <c r="O691" s="30">
        <v>45970</v>
      </c>
      <c r="P691" s="3">
        <v>1</v>
      </c>
      <c r="Q691" s="3">
        <v>4</v>
      </c>
      <c r="R691" s="3">
        <v>3</v>
      </c>
      <c r="S691" s="3">
        <v>1</v>
      </c>
      <c r="T69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91" t="str">
        <f>IF(Table1[[#This Row],[Customer Rating]]&gt;=9,"Promoter",IF(Table1[[#This Row],[Customer Rating]]&gt;=7,"Passive","Detractor"))</f>
        <v>Detractor</v>
      </c>
    </row>
    <row r="692" spans="1:21" ht="14.25" customHeight="1" x14ac:dyDescent="0.3">
      <c r="A692" s="3" t="s">
        <v>727</v>
      </c>
      <c r="B692" s="3" t="s">
        <v>32</v>
      </c>
      <c r="C692" s="3" t="s">
        <v>33</v>
      </c>
      <c r="D692" s="14">
        <v>45940</v>
      </c>
      <c r="E692" s="11">
        <f>1</f>
        <v>1</v>
      </c>
      <c r="G692" s="12">
        <f>IF(Table1[[#This Row],[Pre-Booking Date]]&lt;&gt;"",1,0)</f>
        <v>0</v>
      </c>
      <c r="I692" s="12">
        <f>IF(Table1[[#This Row],[Booking Date]]&lt;&gt;"",1,0)</f>
        <v>0</v>
      </c>
      <c r="K692" s="12">
        <f>IF(Table1[[#This Row],[Delivery Date]]&lt;&gt;"",1,0)</f>
        <v>0</v>
      </c>
      <c r="L692" s="3" t="s">
        <v>3</v>
      </c>
      <c r="M692" s="3">
        <f>IF(Table1[[#This Row],[Cancellation Status]]&lt;&gt;"Yes",1,0)</f>
        <v>0</v>
      </c>
      <c r="N692" s="3" t="s">
        <v>52</v>
      </c>
      <c r="T69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92" t="str">
        <f>IF(Table1[[#This Row],[Customer Rating]]&gt;=9,"Promoter",IF(Table1[[#This Row],[Customer Rating]]&gt;=7,"Passive","Detractor"))</f>
        <v>Detractor</v>
      </c>
    </row>
    <row r="693" spans="1:21" ht="14.25" customHeight="1" x14ac:dyDescent="0.3">
      <c r="A693" s="3" t="s">
        <v>728</v>
      </c>
      <c r="B693" s="3" t="s">
        <v>39</v>
      </c>
      <c r="C693" s="3" t="s">
        <v>27</v>
      </c>
      <c r="D693" s="14">
        <v>45940</v>
      </c>
      <c r="E693" s="11">
        <f>1</f>
        <v>1</v>
      </c>
      <c r="F693" s="14">
        <v>45944</v>
      </c>
      <c r="G693" s="11">
        <f>IF(Table1[[#This Row],[Pre-Booking Date]]&lt;&gt;"",1,0)</f>
        <v>1</v>
      </c>
      <c r="H693" s="4">
        <v>45949</v>
      </c>
      <c r="I693" s="11">
        <f>IF(Table1[[#This Row],[Booking Date]]&lt;&gt;"",1,0)</f>
        <v>1</v>
      </c>
      <c r="J693" s="30">
        <v>45955</v>
      </c>
      <c r="K693" s="11">
        <f>IF(Table1[[#This Row],[Delivery Date]]&lt;&gt;"",1,0)</f>
        <v>1</v>
      </c>
      <c r="L693" s="3" t="s">
        <v>3</v>
      </c>
      <c r="M693" s="3">
        <f>IF(Table1[[#This Row],[Cancellation Status]]&lt;&gt;"Yes",1,0)</f>
        <v>0</v>
      </c>
      <c r="N693" s="3" t="s">
        <v>42</v>
      </c>
      <c r="P693" s="3">
        <v>4</v>
      </c>
      <c r="Q693" s="3">
        <v>5</v>
      </c>
      <c r="R693" s="3">
        <v>6</v>
      </c>
      <c r="T69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93" t="str">
        <f>IF(Table1[[#This Row],[Customer Rating]]&gt;=9,"Promoter",IF(Table1[[#This Row],[Customer Rating]]&gt;=7,"Passive","Detractor"))</f>
        <v>Detractor</v>
      </c>
    </row>
    <row r="694" spans="1:21" ht="14.25" customHeight="1" x14ac:dyDescent="0.3">
      <c r="A694" s="3" t="s">
        <v>729</v>
      </c>
      <c r="B694" s="3" t="s">
        <v>29</v>
      </c>
      <c r="C694" s="3" t="s">
        <v>27</v>
      </c>
      <c r="D694" s="14">
        <v>45940</v>
      </c>
      <c r="E694" s="11">
        <f>1</f>
        <v>1</v>
      </c>
      <c r="F694" s="14">
        <v>45944</v>
      </c>
      <c r="G694" s="11">
        <f>IF(Table1[[#This Row],[Pre-Booking Date]]&lt;&gt;"",1,0)</f>
        <v>1</v>
      </c>
      <c r="H694" s="4">
        <v>45949</v>
      </c>
      <c r="I694" s="11">
        <f>IF(Table1[[#This Row],[Booking Date]]&lt;&gt;"",1,0)</f>
        <v>1</v>
      </c>
      <c r="J694" s="30">
        <v>45954</v>
      </c>
      <c r="K694" s="11">
        <f>IF(Table1[[#This Row],[Delivery Date]]&lt;&gt;"",1,0)</f>
        <v>1</v>
      </c>
      <c r="L694" s="3" t="s">
        <v>2</v>
      </c>
      <c r="M694" s="3">
        <f>IF(Table1[[#This Row],[Cancellation Status]]&lt;&gt;"Yes",1,0)</f>
        <v>1</v>
      </c>
      <c r="O694" s="30">
        <v>45965</v>
      </c>
      <c r="P694" s="3">
        <v>4</v>
      </c>
      <c r="Q694" s="3">
        <v>5</v>
      </c>
      <c r="R694" s="3">
        <v>5</v>
      </c>
      <c r="S694" s="3">
        <v>5</v>
      </c>
      <c r="T69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94" t="str">
        <f>IF(Table1[[#This Row],[Customer Rating]]&gt;=9,"Promoter",IF(Table1[[#This Row],[Customer Rating]]&gt;=7,"Passive","Detractor"))</f>
        <v>Detractor</v>
      </c>
    </row>
    <row r="695" spans="1:21" ht="14.25" customHeight="1" x14ac:dyDescent="0.3">
      <c r="A695" s="3" t="s">
        <v>730</v>
      </c>
      <c r="B695" s="3" t="s">
        <v>29</v>
      </c>
      <c r="C695" s="3" t="s">
        <v>27</v>
      </c>
      <c r="D695" s="14">
        <v>45940</v>
      </c>
      <c r="E695" s="11">
        <f>1</f>
        <v>1</v>
      </c>
      <c r="F695" s="14">
        <v>45941</v>
      </c>
      <c r="G695" s="11">
        <f>IF(Table1[[#This Row],[Pre-Booking Date]]&lt;&gt;"",1,0)</f>
        <v>1</v>
      </c>
      <c r="H695" s="4">
        <v>45943</v>
      </c>
      <c r="I695" s="11">
        <f>IF(Table1[[#This Row],[Booking Date]]&lt;&gt;"",1,0)</f>
        <v>1</v>
      </c>
      <c r="J695" s="30">
        <v>45946</v>
      </c>
      <c r="K695" s="11">
        <f>IF(Table1[[#This Row],[Delivery Date]]&lt;&gt;"",1,0)</f>
        <v>1</v>
      </c>
      <c r="L695" s="3" t="s">
        <v>3</v>
      </c>
      <c r="M695" s="3">
        <f>IF(Table1[[#This Row],[Cancellation Status]]&lt;&gt;"Yes",1,0)</f>
        <v>0</v>
      </c>
      <c r="N695" s="3" t="s">
        <v>52</v>
      </c>
      <c r="P695" s="3">
        <v>1</v>
      </c>
      <c r="Q695" s="3">
        <v>2</v>
      </c>
      <c r="R695" s="3">
        <v>3</v>
      </c>
      <c r="T69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95" t="str">
        <f>IF(Table1[[#This Row],[Customer Rating]]&gt;=9,"Promoter",IF(Table1[[#This Row],[Customer Rating]]&gt;=7,"Passive","Detractor"))</f>
        <v>Detractor</v>
      </c>
    </row>
    <row r="696" spans="1:21" ht="14.25" customHeight="1" x14ac:dyDescent="0.3">
      <c r="A696" s="3" t="s">
        <v>731</v>
      </c>
      <c r="B696" s="3" t="s">
        <v>26</v>
      </c>
      <c r="C696" s="3" t="s">
        <v>33</v>
      </c>
      <c r="D696" s="14">
        <v>45940</v>
      </c>
      <c r="E696" s="11">
        <f>1</f>
        <v>1</v>
      </c>
      <c r="G696" s="12">
        <f>IF(Table1[[#This Row],[Pre-Booking Date]]&lt;&gt;"",1,0)</f>
        <v>0</v>
      </c>
      <c r="I696" s="12">
        <f>IF(Table1[[#This Row],[Booking Date]]&lt;&gt;"",1,0)</f>
        <v>0</v>
      </c>
      <c r="K696" s="12">
        <f>IF(Table1[[#This Row],[Delivery Date]]&lt;&gt;"",1,0)</f>
        <v>0</v>
      </c>
      <c r="L696" s="3" t="s">
        <v>3</v>
      </c>
      <c r="M696" s="3">
        <f>IF(Table1[[#This Row],[Cancellation Status]]&lt;&gt;"Yes",1,0)</f>
        <v>0</v>
      </c>
      <c r="N696" s="3" t="s">
        <v>34</v>
      </c>
      <c r="T69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96" t="str">
        <f>IF(Table1[[#This Row],[Customer Rating]]&gt;=9,"Promoter",IF(Table1[[#This Row],[Customer Rating]]&gt;=7,"Passive","Detractor"))</f>
        <v>Detractor</v>
      </c>
    </row>
    <row r="697" spans="1:21" ht="14.25" customHeight="1" x14ac:dyDescent="0.3">
      <c r="A697" s="3" t="s">
        <v>732</v>
      </c>
      <c r="B697" s="3" t="s">
        <v>29</v>
      </c>
      <c r="C697" s="3" t="s">
        <v>33</v>
      </c>
      <c r="D697" s="14">
        <v>45940</v>
      </c>
      <c r="E697" s="11">
        <f>1</f>
        <v>1</v>
      </c>
      <c r="G697" s="12">
        <f>IF(Table1[[#This Row],[Pre-Booking Date]]&lt;&gt;"",1,0)</f>
        <v>0</v>
      </c>
      <c r="I697" s="12">
        <f>IF(Table1[[#This Row],[Booking Date]]&lt;&gt;"",1,0)</f>
        <v>0</v>
      </c>
      <c r="K697" s="12">
        <f>IF(Table1[[#This Row],[Delivery Date]]&lt;&gt;"",1,0)</f>
        <v>0</v>
      </c>
      <c r="L697" s="3" t="s">
        <v>3</v>
      </c>
      <c r="M697" s="3">
        <f>IF(Table1[[#This Row],[Cancellation Status]]&lt;&gt;"Yes",1,0)</f>
        <v>0</v>
      </c>
      <c r="N697" s="3" t="s">
        <v>37</v>
      </c>
      <c r="T69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697" t="str">
        <f>IF(Table1[[#This Row],[Customer Rating]]&gt;=9,"Promoter",IF(Table1[[#This Row],[Customer Rating]]&gt;=7,"Passive","Detractor"))</f>
        <v>Detractor</v>
      </c>
    </row>
    <row r="698" spans="1:21" ht="14.25" customHeight="1" x14ac:dyDescent="0.3">
      <c r="A698" s="3" t="s">
        <v>733</v>
      </c>
      <c r="B698" s="3" t="s">
        <v>26</v>
      </c>
      <c r="C698" s="3" t="s">
        <v>30</v>
      </c>
      <c r="D698" s="14">
        <v>45940</v>
      </c>
      <c r="E698" s="11">
        <f>1</f>
        <v>1</v>
      </c>
      <c r="F698" s="14">
        <v>45942</v>
      </c>
      <c r="G698" s="11">
        <f>IF(Table1[[#This Row],[Pre-Booking Date]]&lt;&gt;"",1,0)</f>
        <v>1</v>
      </c>
      <c r="H698" s="4">
        <v>45945</v>
      </c>
      <c r="I698" s="11">
        <f>IF(Table1[[#This Row],[Booking Date]]&lt;&gt;"",1,0)</f>
        <v>1</v>
      </c>
      <c r="J698" s="30">
        <v>45948</v>
      </c>
      <c r="K698" s="11">
        <f>IF(Table1[[#This Row],[Delivery Date]]&lt;&gt;"",1,0)</f>
        <v>1</v>
      </c>
      <c r="L698" s="3" t="s">
        <v>2</v>
      </c>
      <c r="M698" s="3">
        <f>IF(Table1[[#This Row],[Cancellation Status]]&lt;&gt;"Yes",1,0)</f>
        <v>1</v>
      </c>
      <c r="O698" s="30">
        <v>45963</v>
      </c>
      <c r="P698" s="3">
        <v>2</v>
      </c>
      <c r="Q698" s="3">
        <v>3</v>
      </c>
      <c r="R698" s="3">
        <v>3</v>
      </c>
      <c r="S698" s="3">
        <v>6</v>
      </c>
      <c r="T69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98" t="str">
        <f>IF(Table1[[#This Row],[Customer Rating]]&gt;=9,"Promoter",IF(Table1[[#This Row],[Customer Rating]]&gt;=7,"Passive","Detractor"))</f>
        <v>Detractor</v>
      </c>
    </row>
    <row r="699" spans="1:21" ht="14.25" customHeight="1" x14ac:dyDescent="0.3">
      <c r="A699" s="3" t="s">
        <v>734</v>
      </c>
      <c r="B699" s="3" t="s">
        <v>26</v>
      </c>
      <c r="C699" s="3" t="s">
        <v>27</v>
      </c>
      <c r="D699" s="14">
        <v>45940</v>
      </c>
      <c r="E699" s="11">
        <f>1</f>
        <v>1</v>
      </c>
      <c r="F699" s="14">
        <v>45942</v>
      </c>
      <c r="G699" s="11">
        <f>IF(Table1[[#This Row],[Pre-Booking Date]]&lt;&gt;"",1,0)</f>
        <v>1</v>
      </c>
      <c r="H699" s="4">
        <v>45947</v>
      </c>
      <c r="I699" s="11">
        <f>IF(Table1[[#This Row],[Booking Date]]&lt;&gt;"",1,0)</f>
        <v>1</v>
      </c>
      <c r="J699" s="30">
        <v>45950</v>
      </c>
      <c r="K699" s="11">
        <f>IF(Table1[[#This Row],[Delivery Date]]&lt;&gt;"",1,0)</f>
        <v>1</v>
      </c>
      <c r="L699" s="3" t="s">
        <v>2</v>
      </c>
      <c r="M699" s="3">
        <f>IF(Table1[[#This Row],[Cancellation Status]]&lt;&gt;"Yes",1,0)</f>
        <v>1</v>
      </c>
      <c r="O699" s="30">
        <v>45969</v>
      </c>
      <c r="P699" s="3">
        <v>2</v>
      </c>
      <c r="Q699" s="3">
        <v>5</v>
      </c>
      <c r="R699" s="3">
        <v>3</v>
      </c>
      <c r="S699" s="3">
        <v>7</v>
      </c>
      <c r="T69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699" t="str">
        <f>IF(Table1[[#This Row],[Customer Rating]]&gt;=9,"Promoter",IF(Table1[[#This Row],[Customer Rating]]&gt;=7,"Passive","Detractor"))</f>
        <v>Passive</v>
      </c>
    </row>
    <row r="700" spans="1:21" ht="14.25" customHeight="1" x14ac:dyDescent="0.3">
      <c r="A700" s="3" t="s">
        <v>735</v>
      </c>
      <c r="B700" s="3" t="s">
        <v>29</v>
      </c>
      <c r="C700" s="3" t="s">
        <v>30</v>
      </c>
      <c r="D700" s="14">
        <v>45940</v>
      </c>
      <c r="E700" s="11">
        <f>1</f>
        <v>1</v>
      </c>
      <c r="F700" s="14">
        <v>45944</v>
      </c>
      <c r="G700" s="11">
        <f>IF(Table1[[#This Row],[Pre-Booking Date]]&lt;&gt;"",1,0)</f>
        <v>1</v>
      </c>
      <c r="H700" s="4">
        <v>45949</v>
      </c>
      <c r="I700" s="11">
        <f>IF(Table1[[#This Row],[Booking Date]]&lt;&gt;"",1,0)</f>
        <v>1</v>
      </c>
      <c r="J700" s="30">
        <v>45954</v>
      </c>
      <c r="K700" s="11">
        <f>IF(Table1[[#This Row],[Delivery Date]]&lt;&gt;"",1,0)</f>
        <v>1</v>
      </c>
      <c r="L700" s="3" t="s">
        <v>3</v>
      </c>
      <c r="M700" s="3">
        <f>IF(Table1[[#This Row],[Cancellation Status]]&lt;&gt;"Yes",1,0)</f>
        <v>0</v>
      </c>
      <c r="N700" s="3" t="s">
        <v>52</v>
      </c>
      <c r="P700" s="3">
        <v>4</v>
      </c>
      <c r="Q700" s="3">
        <v>5</v>
      </c>
      <c r="R700" s="3">
        <v>5</v>
      </c>
      <c r="T70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00" t="str">
        <f>IF(Table1[[#This Row],[Customer Rating]]&gt;=9,"Promoter",IF(Table1[[#This Row],[Customer Rating]]&gt;=7,"Passive","Detractor"))</f>
        <v>Detractor</v>
      </c>
    </row>
    <row r="701" spans="1:21" ht="14.25" customHeight="1" x14ac:dyDescent="0.3">
      <c r="A701" s="3" t="s">
        <v>736</v>
      </c>
      <c r="B701" s="3" t="s">
        <v>26</v>
      </c>
      <c r="C701" s="3" t="s">
        <v>27</v>
      </c>
      <c r="D701" s="14">
        <v>45940</v>
      </c>
      <c r="E701" s="11">
        <f>1</f>
        <v>1</v>
      </c>
      <c r="F701" s="14">
        <v>45943</v>
      </c>
      <c r="G701" s="11">
        <f>IF(Table1[[#This Row],[Pre-Booking Date]]&lt;&gt;"",1,0)</f>
        <v>1</v>
      </c>
      <c r="H701" s="4">
        <v>45945</v>
      </c>
      <c r="I701" s="11">
        <f>IF(Table1[[#This Row],[Booking Date]]&lt;&gt;"",1,0)</f>
        <v>1</v>
      </c>
      <c r="J701" s="30">
        <v>45947</v>
      </c>
      <c r="K701" s="11">
        <f>IF(Table1[[#This Row],[Delivery Date]]&lt;&gt;"",1,0)</f>
        <v>1</v>
      </c>
      <c r="L701" s="3" t="s">
        <v>2</v>
      </c>
      <c r="M701" s="3">
        <f>IF(Table1[[#This Row],[Cancellation Status]]&lt;&gt;"Yes",1,0)</f>
        <v>1</v>
      </c>
      <c r="O701" s="30">
        <v>45975</v>
      </c>
      <c r="P701" s="3">
        <v>3</v>
      </c>
      <c r="Q701" s="3">
        <v>2</v>
      </c>
      <c r="R701" s="3">
        <v>2</v>
      </c>
      <c r="S701" s="3">
        <v>9</v>
      </c>
      <c r="T70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01" t="str">
        <f>IF(Table1[[#This Row],[Customer Rating]]&gt;=9,"Promoter",IF(Table1[[#This Row],[Customer Rating]]&gt;=7,"Passive","Detractor"))</f>
        <v>Promoter</v>
      </c>
    </row>
    <row r="702" spans="1:21" ht="14.25" customHeight="1" x14ac:dyDescent="0.3">
      <c r="A702" s="3" t="s">
        <v>737</v>
      </c>
      <c r="B702" s="3" t="s">
        <v>39</v>
      </c>
      <c r="C702" s="3" t="s">
        <v>30</v>
      </c>
      <c r="D702" s="14">
        <v>45940</v>
      </c>
      <c r="E702" s="11">
        <f>1</f>
        <v>1</v>
      </c>
      <c r="F702" s="14">
        <v>45945</v>
      </c>
      <c r="G702" s="11">
        <f>IF(Table1[[#This Row],[Pre-Booking Date]]&lt;&gt;"",1,0)</f>
        <v>1</v>
      </c>
      <c r="H702" s="4">
        <v>45950</v>
      </c>
      <c r="I702" s="11">
        <f>IF(Table1[[#This Row],[Booking Date]]&lt;&gt;"",1,0)</f>
        <v>1</v>
      </c>
      <c r="J702" s="30">
        <v>45957</v>
      </c>
      <c r="K702" s="11">
        <f>IF(Table1[[#This Row],[Delivery Date]]&lt;&gt;"",1,0)</f>
        <v>1</v>
      </c>
      <c r="L702" s="3" t="s">
        <v>2</v>
      </c>
      <c r="M702" s="3">
        <f>IF(Table1[[#This Row],[Cancellation Status]]&lt;&gt;"Yes",1,0)</f>
        <v>1</v>
      </c>
      <c r="O702" s="30">
        <v>45971</v>
      </c>
      <c r="P702" s="3">
        <v>5</v>
      </c>
      <c r="Q702" s="3">
        <v>5</v>
      </c>
      <c r="R702" s="3">
        <v>7</v>
      </c>
      <c r="S702" s="3">
        <v>4</v>
      </c>
      <c r="T70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02" t="str">
        <f>IF(Table1[[#This Row],[Customer Rating]]&gt;=9,"Promoter",IF(Table1[[#This Row],[Customer Rating]]&gt;=7,"Passive","Detractor"))</f>
        <v>Detractor</v>
      </c>
    </row>
    <row r="703" spans="1:21" ht="14.25" customHeight="1" x14ac:dyDescent="0.3">
      <c r="A703" s="3" t="s">
        <v>738</v>
      </c>
      <c r="B703" s="3" t="s">
        <v>32</v>
      </c>
      <c r="C703" s="3" t="s">
        <v>30</v>
      </c>
      <c r="D703" s="14">
        <v>45940</v>
      </c>
      <c r="E703" s="11">
        <f>1</f>
        <v>1</v>
      </c>
      <c r="F703" s="14">
        <v>45944</v>
      </c>
      <c r="G703" s="11">
        <f>IF(Table1[[#This Row],[Pre-Booking Date]]&lt;&gt;"",1,0)</f>
        <v>1</v>
      </c>
      <c r="H703" s="4">
        <v>45946</v>
      </c>
      <c r="I703" s="11">
        <f>IF(Table1[[#This Row],[Booking Date]]&lt;&gt;"",1,0)</f>
        <v>1</v>
      </c>
      <c r="J703" s="30">
        <v>45950</v>
      </c>
      <c r="K703" s="11">
        <f>IF(Table1[[#This Row],[Delivery Date]]&lt;&gt;"",1,0)</f>
        <v>1</v>
      </c>
      <c r="L703" s="3" t="s">
        <v>2</v>
      </c>
      <c r="M703" s="3">
        <f>IF(Table1[[#This Row],[Cancellation Status]]&lt;&gt;"Yes",1,0)</f>
        <v>1</v>
      </c>
      <c r="O703" s="30">
        <v>45977</v>
      </c>
      <c r="P703" s="3">
        <v>4</v>
      </c>
      <c r="Q703" s="3">
        <v>2</v>
      </c>
      <c r="R703" s="3">
        <v>4</v>
      </c>
      <c r="S703" s="3">
        <v>2</v>
      </c>
      <c r="T70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03" t="str">
        <f>IF(Table1[[#This Row],[Customer Rating]]&gt;=9,"Promoter",IF(Table1[[#This Row],[Customer Rating]]&gt;=7,"Passive","Detractor"))</f>
        <v>Detractor</v>
      </c>
    </row>
    <row r="704" spans="1:21" ht="14.25" customHeight="1" x14ac:dyDescent="0.3">
      <c r="A704" s="3" t="s">
        <v>739</v>
      </c>
      <c r="B704" s="3" t="s">
        <v>32</v>
      </c>
      <c r="C704" s="3" t="s">
        <v>27</v>
      </c>
      <c r="D704" s="14">
        <v>45940</v>
      </c>
      <c r="E704" s="11">
        <f>1</f>
        <v>1</v>
      </c>
      <c r="F704" s="14">
        <v>45942</v>
      </c>
      <c r="G704" s="11">
        <f>IF(Table1[[#This Row],[Pre-Booking Date]]&lt;&gt;"",1,0)</f>
        <v>1</v>
      </c>
      <c r="H704" s="4">
        <v>45943</v>
      </c>
      <c r="I704" s="11">
        <f>IF(Table1[[#This Row],[Booking Date]]&lt;&gt;"",1,0)</f>
        <v>1</v>
      </c>
      <c r="J704" s="30">
        <v>45947</v>
      </c>
      <c r="K704" s="11">
        <f>IF(Table1[[#This Row],[Delivery Date]]&lt;&gt;"",1,0)</f>
        <v>1</v>
      </c>
      <c r="L704" s="3" t="s">
        <v>2</v>
      </c>
      <c r="M704" s="3">
        <f>IF(Table1[[#This Row],[Cancellation Status]]&lt;&gt;"Yes",1,0)</f>
        <v>1</v>
      </c>
      <c r="O704" s="30">
        <v>45972</v>
      </c>
      <c r="P704" s="3">
        <v>2</v>
      </c>
      <c r="Q704" s="3">
        <v>1</v>
      </c>
      <c r="R704" s="3">
        <v>4</v>
      </c>
      <c r="S704" s="3">
        <v>8</v>
      </c>
      <c r="T70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04" t="str">
        <f>IF(Table1[[#This Row],[Customer Rating]]&gt;=9,"Promoter",IF(Table1[[#This Row],[Customer Rating]]&gt;=7,"Passive","Detractor"))</f>
        <v>Passive</v>
      </c>
    </row>
    <row r="705" spans="1:21" ht="14.25" customHeight="1" x14ac:dyDescent="0.3">
      <c r="A705" s="3" t="s">
        <v>740</v>
      </c>
      <c r="B705" s="3" t="s">
        <v>29</v>
      </c>
      <c r="C705" s="3" t="s">
        <v>30</v>
      </c>
      <c r="D705" s="14">
        <v>45940</v>
      </c>
      <c r="E705" s="11">
        <f>1</f>
        <v>1</v>
      </c>
      <c r="F705" s="14">
        <v>45945</v>
      </c>
      <c r="G705" s="11">
        <f>IF(Table1[[#This Row],[Pre-Booking Date]]&lt;&gt;"",1,0)</f>
        <v>1</v>
      </c>
      <c r="H705" s="4">
        <v>45946</v>
      </c>
      <c r="I705" s="11">
        <f>IF(Table1[[#This Row],[Booking Date]]&lt;&gt;"",1,0)</f>
        <v>1</v>
      </c>
      <c r="J705" s="30">
        <v>45952</v>
      </c>
      <c r="K705" s="11">
        <f>IF(Table1[[#This Row],[Delivery Date]]&lt;&gt;"",1,0)</f>
        <v>1</v>
      </c>
      <c r="L705" s="3" t="s">
        <v>3</v>
      </c>
      <c r="M705" s="3">
        <f>IF(Table1[[#This Row],[Cancellation Status]]&lt;&gt;"Yes",1,0)</f>
        <v>0</v>
      </c>
      <c r="N705" s="3" t="s">
        <v>52</v>
      </c>
      <c r="P705" s="3">
        <v>5</v>
      </c>
      <c r="Q705" s="3">
        <v>1</v>
      </c>
      <c r="R705" s="3">
        <v>6</v>
      </c>
      <c r="T70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05" t="str">
        <f>IF(Table1[[#This Row],[Customer Rating]]&gt;=9,"Promoter",IF(Table1[[#This Row],[Customer Rating]]&gt;=7,"Passive","Detractor"))</f>
        <v>Detractor</v>
      </c>
    </row>
    <row r="706" spans="1:21" ht="14.25" customHeight="1" x14ac:dyDescent="0.3">
      <c r="A706" s="3" t="s">
        <v>741</v>
      </c>
      <c r="B706" s="3" t="s">
        <v>39</v>
      </c>
      <c r="C706" s="3" t="s">
        <v>27</v>
      </c>
      <c r="D706" s="14">
        <v>45940</v>
      </c>
      <c r="E706" s="11">
        <f>1</f>
        <v>1</v>
      </c>
      <c r="F706" s="14">
        <v>45942</v>
      </c>
      <c r="G706" s="11">
        <f>IF(Table1[[#This Row],[Pre-Booking Date]]&lt;&gt;"",1,0)</f>
        <v>1</v>
      </c>
      <c r="H706" s="4">
        <v>45944</v>
      </c>
      <c r="I706" s="11">
        <f>IF(Table1[[#This Row],[Booking Date]]&lt;&gt;"",1,0)</f>
        <v>1</v>
      </c>
      <c r="J706" s="30">
        <v>45946</v>
      </c>
      <c r="K706" s="11">
        <f>IF(Table1[[#This Row],[Delivery Date]]&lt;&gt;"",1,0)</f>
        <v>1</v>
      </c>
      <c r="L706" s="3" t="s">
        <v>2</v>
      </c>
      <c r="M706" s="3">
        <f>IF(Table1[[#This Row],[Cancellation Status]]&lt;&gt;"Yes",1,0)</f>
        <v>1</v>
      </c>
      <c r="O706" s="30">
        <v>45965</v>
      </c>
      <c r="P706" s="3">
        <v>2</v>
      </c>
      <c r="Q706" s="3">
        <v>2</v>
      </c>
      <c r="R706" s="3">
        <v>2</v>
      </c>
      <c r="S706" s="3">
        <v>7</v>
      </c>
      <c r="T70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06" t="str">
        <f>IF(Table1[[#This Row],[Customer Rating]]&gt;=9,"Promoter",IF(Table1[[#This Row],[Customer Rating]]&gt;=7,"Passive","Detractor"))</f>
        <v>Passive</v>
      </c>
    </row>
    <row r="707" spans="1:21" ht="14.25" customHeight="1" x14ac:dyDescent="0.3">
      <c r="A707" s="3" t="s">
        <v>742</v>
      </c>
      <c r="B707" s="3" t="s">
        <v>29</v>
      </c>
      <c r="C707" s="3" t="s">
        <v>33</v>
      </c>
      <c r="D707" s="14">
        <v>45940</v>
      </c>
      <c r="E707" s="11">
        <f>1</f>
        <v>1</v>
      </c>
      <c r="G707" s="12">
        <f>IF(Table1[[#This Row],[Pre-Booking Date]]&lt;&gt;"",1,0)</f>
        <v>0</v>
      </c>
      <c r="I707" s="12">
        <f>IF(Table1[[#This Row],[Booking Date]]&lt;&gt;"",1,0)</f>
        <v>0</v>
      </c>
      <c r="K707" s="12">
        <f>IF(Table1[[#This Row],[Delivery Date]]&lt;&gt;"",1,0)</f>
        <v>0</v>
      </c>
      <c r="L707" s="3" t="s">
        <v>3</v>
      </c>
      <c r="M707" s="3">
        <f>IF(Table1[[#This Row],[Cancellation Status]]&lt;&gt;"Yes",1,0)</f>
        <v>0</v>
      </c>
      <c r="N707" s="3" t="s">
        <v>42</v>
      </c>
      <c r="T70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07" t="str">
        <f>IF(Table1[[#This Row],[Customer Rating]]&gt;=9,"Promoter",IF(Table1[[#This Row],[Customer Rating]]&gt;=7,"Passive","Detractor"))</f>
        <v>Detractor</v>
      </c>
    </row>
    <row r="708" spans="1:21" ht="14.25" customHeight="1" x14ac:dyDescent="0.3">
      <c r="A708" s="3" t="s">
        <v>743</v>
      </c>
      <c r="B708" s="3" t="s">
        <v>39</v>
      </c>
      <c r="C708" s="3" t="s">
        <v>27</v>
      </c>
      <c r="D708" s="14">
        <v>45940</v>
      </c>
      <c r="E708" s="11">
        <f>1</f>
        <v>1</v>
      </c>
      <c r="F708" s="14">
        <v>45941</v>
      </c>
      <c r="G708" s="11">
        <f>IF(Table1[[#This Row],[Pre-Booking Date]]&lt;&gt;"",1,0)</f>
        <v>1</v>
      </c>
      <c r="H708" s="4">
        <v>45943</v>
      </c>
      <c r="I708" s="11">
        <f>IF(Table1[[#This Row],[Booking Date]]&lt;&gt;"",1,0)</f>
        <v>1</v>
      </c>
      <c r="J708" s="30">
        <v>45949</v>
      </c>
      <c r="K708" s="11">
        <f>IF(Table1[[#This Row],[Delivery Date]]&lt;&gt;"",1,0)</f>
        <v>1</v>
      </c>
      <c r="L708" s="3" t="s">
        <v>2</v>
      </c>
      <c r="M708" s="3">
        <f>IF(Table1[[#This Row],[Cancellation Status]]&lt;&gt;"Yes",1,0)</f>
        <v>1</v>
      </c>
      <c r="O708" s="30">
        <v>45975</v>
      </c>
      <c r="P708" s="3">
        <v>1</v>
      </c>
      <c r="Q708" s="3">
        <v>2</v>
      </c>
      <c r="R708" s="3">
        <v>6</v>
      </c>
      <c r="S708" s="3">
        <v>1</v>
      </c>
      <c r="T70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08" t="str">
        <f>IF(Table1[[#This Row],[Customer Rating]]&gt;=9,"Promoter",IF(Table1[[#This Row],[Customer Rating]]&gt;=7,"Passive","Detractor"))</f>
        <v>Detractor</v>
      </c>
    </row>
    <row r="709" spans="1:21" ht="14.25" customHeight="1" x14ac:dyDescent="0.3">
      <c r="A709" s="3" t="s">
        <v>744</v>
      </c>
      <c r="B709" s="3" t="s">
        <v>26</v>
      </c>
      <c r="C709" s="3" t="s">
        <v>27</v>
      </c>
      <c r="D709" s="14">
        <v>45940</v>
      </c>
      <c r="E709" s="11">
        <f>1</f>
        <v>1</v>
      </c>
      <c r="F709" s="14">
        <v>45942</v>
      </c>
      <c r="G709" s="11">
        <f>IF(Table1[[#This Row],[Pre-Booking Date]]&lt;&gt;"",1,0)</f>
        <v>1</v>
      </c>
      <c r="H709" s="4">
        <v>45945</v>
      </c>
      <c r="I709" s="11">
        <f>IF(Table1[[#This Row],[Booking Date]]&lt;&gt;"",1,0)</f>
        <v>1</v>
      </c>
      <c r="J709" s="30">
        <v>45951</v>
      </c>
      <c r="K709" s="11">
        <f>IF(Table1[[#This Row],[Delivery Date]]&lt;&gt;"",1,0)</f>
        <v>1</v>
      </c>
      <c r="L709" s="3" t="s">
        <v>2</v>
      </c>
      <c r="M709" s="3">
        <f>IF(Table1[[#This Row],[Cancellation Status]]&lt;&gt;"Yes",1,0)</f>
        <v>1</v>
      </c>
      <c r="O709" s="30">
        <v>45980</v>
      </c>
      <c r="P709" s="3">
        <v>2</v>
      </c>
      <c r="Q709" s="3">
        <v>3</v>
      </c>
      <c r="R709" s="3">
        <v>6</v>
      </c>
      <c r="S709" s="3">
        <v>4</v>
      </c>
      <c r="T70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09" t="str">
        <f>IF(Table1[[#This Row],[Customer Rating]]&gt;=9,"Promoter",IF(Table1[[#This Row],[Customer Rating]]&gt;=7,"Passive","Detractor"))</f>
        <v>Detractor</v>
      </c>
    </row>
    <row r="710" spans="1:21" ht="14.25" customHeight="1" x14ac:dyDescent="0.3">
      <c r="A710" s="3" t="s">
        <v>745</v>
      </c>
      <c r="B710" s="3" t="s">
        <v>39</v>
      </c>
      <c r="C710" s="3" t="s">
        <v>30</v>
      </c>
      <c r="D710" s="14">
        <v>45940</v>
      </c>
      <c r="E710" s="11">
        <f>1</f>
        <v>1</v>
      </c>
      <c r="F710" s="14">
        <v>45942</v>
      </c>
      <c r="G710" s="11">
        <f>IF(Table1[[#This Row],[Pre-Booking Date]]&lt;&gt;"",1,0)</f>
        <v>1</v>
      </c>
      <c r="H710" s="4">
        <v>45945</v>
      </c>
      <c r="I710" s="11">
        <f>IF(Table1[[#This Row],[Booking Date]]&lt;&gt;"",1,0)</f>
        <v>1</v>
      </c>
      <c r="J710" s="30">
        <v>45952</v>
      </c>
      <c r="K710" s="11">
        <f>IF(Table1[[#This Row],[Delivery Date]]&lt;&gt;"",1,0)</f>
        <v>1</v>
      </c>
      <c r="L710" s="3" t="s">
        <v>2</v>
      </c>
      <c r="M710" s="3">
        <f>IF(Table1[[#This Row],[Cancellation Status]]&lt;&gt;"Yes",1,0)</f>
        <v>1</v>
      </c>
      <c r="O710" s="30">
        <v>45965</v>
      </c>
      <c r="P710" s="3">
        <v>2</v>
      </c>
      <c r="Q710" s="3">
        <v>3</v>
      </c>
      <c r="R710" s="3">
        <v>7</v>
      </c>
      <c r="S710" s="3">
        <v>6</v>
      </c>
      <c r="T71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10" t="str">
        <f>IF(Table1[[#This Row],[Customer Rating]]&gt;=9,"Promoter",IF(Table1[[#This Row],[Customer Rating]]&gt;=7,"Passive","Detractor"))</f>
        <v>Detractor</v>
      </c>
    </row>
    <row r="711" spans="1:21" ht="14.25" customHeight="1" x14ac:dyDescent="0.3">
      <c r="A711" s="3" t="s">
        <v>746</v>
      </c>
      <c r="B711" s="3" t="s">
        <v>39</v>
      </c>
      <c r="C711" s="3" t="s">
        <v>30</v>
      </c>
      <c r="D711" s="14">
        <v>45940</v>
      </c>
      <c r="E711" s="11">
        <f>1</f>
        <v>1</v>
      </c>
      <c r="F711" s="14">
        <v>45942</v>
      </c>
      <c r="G711" s="11">
        <f>IF(Table1[[#This Row],[Pre-Booking Date]]&lt;&gt;"",1,0)</f>
        <v>1</v>
      </c>
      <c r="H711" s="4">
        <v>45943</v>
      </c>
      <c r="I711" s="11">
        <f>IF(Table1[[#This Row],[Booking Date]]&lt;&gt;"",1,0)</f>
        <v>1</v>
      </c>
      <c r="J711" s="30">
        <v>45950</v>
      </c>
      <c r="K711" s="11">
        <f>IF(Table1[[#This Row],[Delivery Date]]&lt;&gt;"",1,0)</f>
        <v>1</v>
      </c>
      <c r="L711" s="3" t="s">
        <v>2</v>
      </c>
      <c r="M711" s="3">
        <f>IF(Table1[[#This Row],[Cancellation Status]]&lt;&gt;"Yes",1,0)</f>
        <v>1</v>
      </c>
      <c r="O711" s="30">
        <v>45970</v>
      </c>
      <c r="P711" s="3">
        <v>2</v>
      </c>
      <c r="Q711" s="3">
        <v>1</v>
      </c>
      <c r="R711" s="3">
        <v>7</v>
      </c>
      <c r="S711" s="3">
        <v>5</v>
      </c>
      <c r="T71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11" t="str">
        <f>IF(Table1[[#This Row],[Customer Rating]]&gt;=9,"Promoter",IF(Table1[[#This Row],[Customer Rating]]&gt;=7,"Passive","Detractor"))</f>
        <v>Detractor</v>
      </c>
    </row>
    <row r="712" spans="1:21" ht="14.25" customHeight="1" x14ac:dyDescent="0.3">
      <c r="A712" s="3" t="s">
        <v>747</v>
      </c>
      <c r="B712" s="3" t="s">
        <v>26</v>
      </c>
      <c r="C712" s="3" t="s">
        <v>27</v>
      </c>
      <c r="D712" s="14">
        <v>45940</v>
      </c>
      <c r="E712" s="11">
        <f>1</f>
        <v>1</v>
      </c>
      <c r="F712" s="14">
        <v>45944</v>
      </c>
      <c r="G712" s="11">
        <f>IF(Table1[[#This Row],[Pre-Booking Date]]&lt;&gt;"",1,0)</f>
        <v>1</v>
      </c>
      <c r="H712" s="4">
        <v>45945</v>
      </c>
      <c r="I712" s="11">
        <f>IF(Table1[[#This Row],[Booking Date]]&lt;&gt;"",1,0)</f>
        <v>1</v>
      </c>
      <c r="J712" s="30">
        <v>45951</v>
      </c>
      <c r="K712" s="11">
        <f>IF(Table1[[#This Row],[Delivery Date]]&lt;&gt;"",1,0)</f>
        <v>1</v>
      </c>
      <c r="L712" s="3" t="s">
        <v>2</v>
      </c>
      <c r="M712" s="3">
        <f>IF(Table1[[#This Row],[Cancellation Status]]&lt;&gt;"Yes",1,0)</f>
        <v>1</v>
      </c>
      <c r="O712" s="30">
        <v>45971</v>
      </c>
      <c r="P712" s="3">
        <v>4</v>
      </c>
      <c r="Q712" s="3">
        <v>1</v>
      </c>
      <c r="R712" s="3">
        <v>6</v>
      </c>
      <c r="S712" s="3">
        <v>9</v>
      </c>
      <c r="T71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12" t="str">
        <f>IF(Table1[[#This Row],[Customer Rating]]&gt;=9,"Promoter",IF(Table1[[#This Row],[Customer Rating]]&gt;=7,"Passive","Detractor"))</f>
        <v>Promoter</v>
      </c>
    </row>
    <row r="713" spans="1:21" ht="14.25" customHeight="1" x14ac:dyDescent="0.3">
      <c r="A713" s="3" t="s">
        <v>748</v>
      </c>
      <c r="B713" s="3" t="s">
        <v>29</v>
      </c>
      <c r="C713" s="3" t="s">
        <v>33</v>
      </c>
      <c r="D713" s="14">
        <v>45940</v>
      </c>
      <c r="E713" s="11">
        <f>1</f>
        <v>1</v>
      </c>
      <c r="G713" s="12">
        <f>IF(Table1[[#This Row],[Pre-Booking Date]]&lt;&gt;"",1,0)</f>
        <v>0</v>
      </c>
      <c r="I713" s="12">
        <f>IF(Table1[[#This Row],[Booking Date]]&lt;&gt;"",1,0)</f>
        <v>0</v>
      </c>
      <c r="K713" s="12">
        <f>IF(Table1[[#This Row],[Delivery Date]]&lt;&gt;"",1,0)</f>
        <v>0</v>
      </c>
      <c r="L713" s="3" t="s">
        <v>3</v>
      </c>
      <c r="M713" s="3">
        <f>IF(Table1[[#This Row],[Cancellation Status]]&lt;&gt;"Yes",1,0)</f>
        <v>0</v>
      </c>
      <c r="N713" s="3" t="s">
        <v>37</v>
      </c>
      <c r="T71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13" t="str">
        <f>IF(Table1[[#This Row],[Customer Rating]]&gt;=9,"Promoter",IF(Table1[[#This Row],[Customer Rating]]&gt;=7,"Passive","Detractor"))</f>
        <v>Detractor</v>
      </c>
    </row>
    <row r="714" spans="1:21" ht="14.25" customHeight="1" x14ac:dyDescent="0.3">
      <c r="A714" s="3" t="s">
        <v>749</v>
      </c>
      <c r="B714" s="3" t="s">
        <v>26</v>
      </c>
      <c r="C714" s="3" t="s">
        <v>27</v>
      </c>
      <c r="D714" s="14">
        <v>45940</v>
      </c>
      <c r="E714" s="11">
        <f>1</f>
        <v>1</v>
      </c>
      <c r="F714" s="14">
        <v>45942</v>
      </c>
      <c r="G714" s="11">
        <f>IF(Table1[[#This Row],[Pre-Booking Date]]&lt;&gt;"",1,0)</f>
        <v>1</v>
      </c>
      <c r="H714" s="4">
        <v>45945</v>
      </c>
      <c r="I714" s="11">
        <f>IF(Table1[[#This Row],[Booking Date]]&lt;&gt;"",1,0)</f>
        <v>1</v>
      </c>
      <c r="J714" s="30">
        <v>45950</v>
      </c>
      <c r="K714" s="11">
        <f>IF(Table1[[#This Row],[Delivery Date]]&lt;&gt;"",1,0)</f>
        <v>1</v>
      </c>
      <c r="L714" s="3" t="s">
        <v>2</v>
      </c>
      <c r="M714" s="3">
        <f>IF(Table1[[#This Row],[Cancellation Status]]&lt;&gt;"Yes",1,0)</f>
        <v>1</v>
      </c>
      <c r="O714" s="30">
        <v>45963</v>
      </c>
      <c r="P714" s="3">
        <v>2</v>
      </c>
      <c r="Q714" s="3">
        <v>3</v>
      </c>
      <c r="R714" s="3">
        <v>5</v>
      </c>
      <c r="S714" s="3">
        <v>8</v>
      </c>
      <c r="T71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14" t="str">
        <f>IF(Table1[[#This Row],[Customer Rating]]&gt;=9,"Promoter",IF(Table1[[#This Row],[Customer Rating]]&gt;=7,"Passive","Detractor"))</f>
        <v>Passive</v>
      </c>
    </row>
    <row r="715" spans="1:21" ht="14.25" customHeight="1" x14ac:dyDescent="0.3">
      <c r="A715" s="3" t="s">
        <v>750</v>
      </c>
      <c r="B715" s="3" t="s">
        <v>26</v>
      </c>
      <c r="C715" s="3" t="s">
        <v>30</v>
      </c>
      <c r="D715" s="14">
        <v>45940</v>
      </c>
      <c r="E715" s="11">
        <f>1</f>
        <v>1</v>
      </c>
      <c r="F715" s="14">
        <v>45941</v>
      </c>
      <c r="G715" s="11">
        <f>IF(Table1[[#This Row],[Pre-Booking Date]]&lt;&gt;"",1,0)</f>
        <v>1</v>
      </c>
      <c r="H715" s="4">
        <v>45942</v>
      </c>
      <c r="I715" s="11">
        <f>IF(Table1[[#This Row],[Booking Date]]&lt;&gt;"",1,0)</f>
        <v>1</v>
      </c>
      <c r="J715" s="30">
        <v>45946</v>
      </c>
      <c r="K715" s="11">
        <f>IF(Table1[[#This Row],[Delivery Date]]&lt;&gt;"",1,0)</f>
        <v>1</v>
      </c>
      <c r="L715" s="3" t="s">
        <v>3</v>
      </c>
      <c r="M715" s="3">
        <f>IF(Table1[[#This Row],[Cancellation Status]]&lt;&gt;"Yes",1,0)</f>
        <v>0</v>
      </c>
      <c r="N715" s="3" t="s">
        <v>34</v>
      </c>
      <c r="P715" s="3">
        <v>1</v>
      </c>
      <c r="Q715" s="3">
        <v>1</v>
      </c>
      <c r="R715" s="3">
        <v>4</v>
      </c>
      <c r="T71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15" t="str">
        <f>IF(Table1[[#This Row],[Customer Rating]]&gt;=9,"Promoter",IF(Table1[[#This Row],[Customer Rating]]&gt;=7,"Passive","Detractor"))</f>
        <v>Detractor</v>
      </c>
    </row>
    <row r="716" spans="1:21" ht="14.25" customHeight="1" x14ac:dyDescent="0.3">
      <c r="A716" s="3" t="s">
        <v>751</v>
      </c>
      <c r="B716" s="3" t="s">
        <v>26</v>
      </c>
      <c r="C716" s="3" t="s">
        <v>33</v>
      </c>
      <c r="D716" s="14">
        <v>45940</v>
      </c>
      <c r="E716" s="11">
        <f>1</f>
        <v>1</v>
      </c>
      <c r="G716" s="12">
        <f>IF(Table1[[#This Row],[Pre-Booking Date]]&lt;&gt;"",1,0)</f>
        <v>0</v>
      </c>
      <c r="I716" s="12">
        <f>IF(Table1[[#This Row],[Booking Date]]&lt;&gt;"",1,0)</f>
        <v>0</v>
      </c>
      <c r="K716" s="12">
        <f>IF(Table1[[#This Row],[Delivery Date]]&lt;&gt;"",1,0)</f>
        <v>0</v>
      </c>
      <c r="L716" s="3" t="s">
        <v>3</v>
      </c>
      <c r="M716" s="3">
        <f>IF(Table1[[#This Row],[Cancellation Status]]&lt;&gt;"Yes",1,0)</f>
        <v>0</v>
      </c>
      <c r="N716" s="3" t="s">
        <v>55</v>
      </c>
      <c r="T71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16" t="str">
        <f>IF(Table1[[#This Row],[Customer Rating]]&gt;=9,"Promoter",IF(Table1[[#This Row],[Customer Rating]]&gt;=7,"Passive","Detractor"))</f>
        <v>Detractor</v>
      </c>
    </row>
    <row r="717" spans="1:21" ht="14.25" customHeight="1" x14ac:dyDescent="0.3">
      <c r="A717" s="3" t="s">
        <v>752</v>
      </c>
      <c r="B717" s="3" t="s">
        <v>29</v>
      </c>
      <c r="C717" s="3" t="s">
        <v>30</v>
      </c>
      <c r="D717" s="14">
        <v>45940</v>
      </c>
      <c r="E717" s="11">
        <f>1</f>
        <v>1</v>
      </c>
      <c r="F717" s="14">
        <v>45945</v>
      </c>
      <c r="G717" s="11">
        <f>IF(Table1[[#This Row],[Pre-Booking Date]]&lt;&gt;"",1,0)</f>
        <v>1</v>
      </c>
      <c r="H717" s="4">
        <v>45946</v>
      </c>
      <c r="I717" s="11">
        <f>IF(Table1[[#This Row],[Booking Date]]&lt;&gt;"",1,0)</f>
        <v>1</v>
      </c>
      <c r="J717" s="30">
        <v>45948</v>
      </c>
      <c r="K717" s="11">
        <f>IF(Table1[[#This Row],[Delivery Date]]&lt;&gt;"",1,0)</f>
        <v>1</v>
      </c>
      <c r="L717" s="3" t="s">
        <v>2</v>
      </c>
      <c r="M717" s="3">
        <f>IF(Table1[[#This Row],[Cancellation Status]]&lt;&gt;"Yes",1,0)</f>
        <v>1</v>
      </c>
      <c r="O717" s="30">
        <v>45959</v>
      </c>
      <c r="P717" s="3">
        <v>5</v>
      </c>
      <c r="Q717" s="3">
        <v>1</v>
      </c>
      <c r="R717" s="3">
        <v>2</v>
      </c>
      <c r="S717" s="3">
        <v>6</v>
      </c>
      <c r="T71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17" t="str">
        <f>IF(Table1[[#This Row],[Customer Rating]]&gt;=9,"Promoter",IF(Table1[[#This Row],[Customer Rating]]&gt;=7,"Passive","Detractor"))</f>
        <v>Detractor</v>
      </c>
    </row>
    <row r="718" spans="1:21" ht="14.25" customHeight="1" x14ac:dyDescent="0.3">
      <c r="A718" s="3" t="s">
        <v>753</v>
      </c>
      <c r="B718" s="3" t="s">
        <v>32</v>
      </c>
      <c r="C718" s="3" t="s">
        <v>33</v>
      </c>
      <c r="D718" s="14">
        <v>45940</v>
      </c>
      <c r="E718" s="11">
        <f>1</f>
        <v>1</v>
      </c>
      <c r="G718" s="12">
        <f>IF(Table1[[#This Row],[Pre-Booking Date]]&lt;&gt;"",1,0)</f>
        <v>0</v>
      </c>
      <c r="I718" s="12">
        <f>IF(Table1[[#This Row],[Booking Date]]&lt;&gt;"",1,0)</f>
        <v>0</v>
      </c>
      <c r="K718" s="12">
        <f>IF(Table1[[#This Row],[Delivery Date]]&lt;&gt;"",1,0)</f>
        <v>0</v>
      </c>
      <c r="L718" s="3" t="s">
        <v>3</v>
      </c>
      <c r="M718" s="3">
        <f>IF(Table1[[#This Row],[Cancellation Status]]&lt;&gt;"Yes",1,0)</f>
        <v>0</v>
      </c>
      <c r="N718" s="3" t="s">
        <v>34</v>
      </c>
      <c r="T71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18" t="str">
        <f>IF(Table1[[#This Row],[Customer Rating]]&gt;=9,"Promoter",IF(Table1[[#This Row],[Customer Rating]]&gt;=7,"Passive","Detractor"))</f>
        <v>Detractor</v>
      </c>
    </row>
    <row r="719" spans="1:21" ht="14.25" customHeight="1" x14ac:dyDescent="0.3">
      <c r="A719" s="3" t="s">
        <v>754</v>
      </c>
      <c r="B719" s="3" t="s">
        <v>29</v>
      </c>
      <c r="C719" s="3" t="s">
        <v>30</v>
      </c>
      <c r="D719" s="14">
        <v>45940</v>
      </c>
      <c r="E719" s="11">
        <f>1</f>
        <v>1</v>
      </c>
      <c r="F719" s="14">
        <v>45945</v>
      </c>
      <c r="G719" s="11">
        <f>IF(Table1[[#This Row],[Pre-Booking Date]]&lt;&gt;"",1,0)</f>
        <v>1</v>
      </c>
      <c r="H719" s="4">
        <v>45948</v>
      </c>
      <c r="I719" s="11">
        <f>IF(Table1[[#This Row],[Booking Date]]&lt;&gt;"",1,0)</f>
        <v>1</v>
      </c>
      <c r="J719" s="30">
        <v>45953</v>
      </c>
      <c r="K719" s="11">
        <f>IF(Table1[[#This Row],[Delivery Date]]&lt;&gt;"",1,0)</f>
        <v>1</v>
      </c>
      <c r="L719" s="3" t="s">
        <v>2</v>
      </c>
      <c r="M719" s="3">
        <f>IF(Table1[[#This Row],[Cancellation Status]]&lt;&gt;"Yes",1,0)</f>
        <v>1</v>
      </c>
      <c r="O719" s="30">
        <v>45968</v>
      </c>
      <c r="P719" s="3">
        <v>5</v>
      </c>
      <c r="Q719" s="3">
        <v>3</v>
      </c>
      <c r="R719" s="3">
        <v>5</v>
      </c>
      <c r="S719" s="3">
        <v>2</v>
      </c>
      <c r="T71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19" t="str">
        <f>IF(Table1[[#This Row],[Customer Rating]]&gt;=9,"Promoter",IF(Table1[[#This Row],[Customer Rating]]&gt;=7,"Passive","Detractor"))</f>
        <v>Detractor</v>
      </c>
    </row>
    <row r="720" spans="1:21" ht="14.25" customHeight="1" x14ac:dyDescent="0.3">
      <c r="A720" s="3" t="s">
        <v>755</v>
      </c>
      <c r="B720" s="3" t="s">
        <v>26</v>
      </c>
      <c r="C720" s="3" t="s">
        <v>27</v>
      </c>
      <c r="D720" s="14">
        <v>45940</v>
      </c>
      <c r="E720" s="11">
        <f>1</f>
        <v>1</v>
      </c>
      <c r="F720" s="14">
        <v>45941</v>
      </c>
      <c r="G720" s="11">
        <f>IF(Table1[[#This Row],[Pre-Booking Date]]&lt;&gt;"",1,0)</f>
        <v>1</v>
      </c>
      <c r="H720" s="4">
        <v>45946</v>
      </c>
      <c r="I720" s="11">
        <f>IF(Table1[[#This Row],[Booking Date]]&lt;&gt;"",1,0)</f>
        <v>1</v>
      </c>
      <c r="J720" s="30">
        <v>45953</v>
      </c>
      <c r="K720" s="11">
        <f>IF(Table1[[#This Row],[Delivery Date]]&lt;&gt;"",1,0)</f>
        <v>1</v>
      </c>
      <c r="L720" s="3" t="s">
        <v>2</v>
      </c>
      <c r="M720" s="3">
        <f>IF(Table1[[#This Row],[Cancellation Status]]&lt;&gt;"Yes",1,0)</f>
        <v>1</v>
      </c>
      <c r="O720" s="30">
        <v>45975</v>
      </c>
      <c r="P720" s="3">
        <v>1</v>
      </c>
      <c r="Q720" s="3">
        <v>5</v>
      </c>
      <c r="R720" s="3">
        <v>7</v>
      </c>
      <c r="S720" s="3">
        <v>6</v>
      </c>
      <c r="T72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20" t="str">
        <f>IF(Table1[[#This Row],[Customer Rating]]&gt;=9,"Promoter",IF(Table1[[#This Row],[Customer Rating]]&gt;=7,"Passive","Detractor"))</f>
        <v>Detractor</v>
      </c>
    </row>
    <row r="721" spans="1:21" ht="14.25" customHeight="1" x14ac:dyDescent="0.3">
      <c r="A721" s="3" t="s">
        <v>756</v>
      </c>
      <c r="B721" s="3" t="s">
        <v>26</v>
      </c>
      <c r="C721" s="3" t="s">
        <v>30</v>
      </c>
      <c r="D721" s="14">
        <v>45940</v>
      </c>
      <c r="E721" s="11">
        <f>1</f>
        <v>1</v>
      </c>
      <c r="F721" s="14">
        <v>45945</v>
      </c>
      <c r="G721" s="11">
        <f>IF(Table1[[#This Row],[Pre-Booking Date]]&lt;&gt;"",1,0)</f>
        <v>1</v>
      </c>
      <c r="H721" s="4">
        <v>45949</v>
      </c>
      <c r="I721" s="11">
        <f>IF(Table1[[#This Row],[Booking Date]]&lt;&gt;"",1,0)</f>
        <v>1</v>
      </c>
      <c r="J721" s="30">
        <v>45954</v>
      </c>
      <c r="K721" s="11">
        <f>IF(Table1[[#This Row],[Delivery Date]]&lt;&gt;"",1,0)</f>
        <v>1</v>
      </c>
      <c r="L721" s="3" t="s">
        <v>2</v>
      </c>
      <c r="M721" s="3">
        <f>IF(Table1[[#This Row],[Cancellation Status]]&lt;&gt;"Yes",1,0)</f>
        <v>1</v>
      </c>
      <c r="O721" s="30">
        <v>45971</v>
      </c>
      <c r="P721" s="3">
        <v>5</v>
      </c>
      <c r="Q721" s="3">
        <v>4</v>
      </c>
      <c r="R721" s="3">
        <v>5</v>
      </c>
      <c r="S721" s="3">
        <v>10</v>
      </c>
      <c r="T72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21" t="str">
        <f>IF(Table1[[#This Row],[Customer Rating]]&gt;=9,"Promoter",IF(Table1[[#This Row],[Customer Rating]]&gt;=7,"Passive","Detractor"))</f>
        <v>Promoter</v>
      </c>
    </row>
    <row r="722" spans="1:21" ht="14.25" customHeight="1" x14ac:dyDescent="0.3">
      <c r="A722" s="3" t="s">
        <v>757</v>
      </c>
      <c r="B722" s="3" t="s">
        <v>29</v>
      </c>
      <c r="C722" s="3" t="s">
        <v>27</v>
      </c>
      <c r="D722" s="14">
        <v>45940</v>
      </c>
      <c r="E722" s="11">
        <f>1</f>
        <v>1</v>
      </c>
      <c r="F722" s="14">
        <v>45945</v>
      </c>
      <c r="G722" s="11">
        <f>IF(Table1[[#This Row],[Pre-Booking Date]]&lt;&gt;"",1,0)</f>
        <v>1</v>
      </c>
      <c r="H722" s="4">
        <v>45950</v>
      </c>
      <c r="I722" s="11">
        <f>IF(Table1[[#This Row],[Booking Date]]&lt;&gt;"",1,0)</f>
        <v>1</v>
      </c>
      <c r="J722" s="30">
        <v>45955</v>
      </c>
      <c r="K722" s="11">
        <f>IF(Table1[[#This Row],[Delivery Date]]&lt;&gt;"",1,0)</f>
        <v>1</v>
      </c>
      <c r="L722" s="3" t="s">
        <v>2</v>
      </c>
      <c r="M722" s="3">
        <f>IF(Table1[[#This Row],[Cancellation Status]]&lt;&gt;"Yes",1,0)</f>
        <v>1</v>
      </c>
      <c r="O722" s="30">
        <v>45983</v>
      </c>
      <c r="P722" s="3">
        <v>5</v>
      </c>
      <c r="Q722" s="3">
        <v>5</v>
      </c>
      <c r="R722" s="3">
        <v>5</v>
      </c>
      <c r="S722" s="3">
        <v>10</v>
      </c>
      <c r="T72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22" t="str">
        <f>IF(Table1[[#This Row],[Customer Rating]]&gt;=9,"Promoter",IF(Table1[[#This Row],[Customer Rating]]&gt;=7,"Passive","Detractor"))</f>
        <v>Promoter</v>
      </c>
    </row>
    <row r="723" spans="1:21" ht="14.25" customHeight="1" x14ac:dyDescent="0.3">
      <c r="A723" s="3" t="s">
        <v>758</v>
      </c>
      <c r="B723" s="3" t="s">
        <v>29</v>
      </c>
      <c r="C723" s="3" t="s">
        <v>30</v>
      </c>
      <c r="D723" s="14">
        <v>45940</v>
      </c>
      <c r="E723" s="11">
        <f>1</f>
        <v>1</v>
      </c>
      <c r="F723" s="14">
        <v>45944</v>
      </c>
      <c r="G723" s="11">
        <f>IF(Table1[[#This Row],[Pre-Booking Date]]&lt;&gt;"",1,0)</f>
        <v>1</v>
      </c>
      <c r="H723" s="4">
        <v>45948</v>
      </c>
      <c r="I723" s="11">
        <f>IF(Table1[[#This Row],[Booking Date]]&lt;&gt;"",1,0)</f>
        <v>1</v>
      </c>
      <c r="J723" s="30">
        <v>45952</v>
      </c>
      <c r="K723" s="11">
        <f>IF(Table1[[#This Row],[Delivery Date]]&lt;&gt;"",1,0)</f>
        <v>1</v>
      </c>
      <c r="L723" s="3" t="s">
        <v>2</v>
      </c>
      <c r="M723" s="3">
        <f>IF(Table1[[#This Row],[Cancellation Status]]&lt;&gt;"Yes",1,0)</f>
        <v>1</v>
      </c>
      <c r="O723" s="30">
        <v>45974</v>
      </c>
      <c r="P723" s="3">
        <v>4</v>
      </c>
      <c r="Q723" s="3">
        <v>4</v>
      </c>
      <c r="R723" s="3">
        <v>4</v>
      </c>
      <c r="S723" s="3">
        <v>3</v>
      </c>
      <c r="T72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23" t="str">
        <f>IF(Table1[[#This Row],[Customer Rating]]&gt;=9,"Promoter",IF(Table1[[#This Row],[Customer Rating]]&gt;=7,"Passive","Detractor"))</f>
        <v>Detractor</v>
      </c>
    </row>
    <row r="724" spans="1:21" ht="14.25" customHeight="1" x14ac:dyDescent="0.3">
      <c r="A724" s="3" t="s">
        <v>759</v>
      </c>
      <c r="B724" s="3" t="s">
        <v>29</v>
      </c>
      <c r="C724" s="3" t="s">
        <v>27</v>
      </c>
      <c r="D724" s="14">
        <v>45940</v>
      </c>
      <c r="E724" s="11">
        <f>1</f>
        <v>1</v>
      </c>
      <c r="F724" s="14">
        <v>45945</v>
      </c>
      <c r="G724" s="11">
        <f>IF(Table1[[#This Row],[Pre-Booking Date]]&lt;&gt;"",1,0)</f>
        <v>1</v>
      </c>
      <c r="H724" s="4">
        <v>45946</v>
      </c>
      <c r="I724" s="11">
        <f>IF(Table1[[#This Row],[Booking Date]]&lt;&gt;"",1,0)</f>
        <v>1</v>
      </c>
      <c r="J724" s="30">
        <v>45949</v>
      </c>
      <c r="K724" s="11">
        <f>IF(Table1[[#This Row],[Delivery Date]]&lt;&gt;"",1,0)</f>
        <v>1</v>
      </c>
      <c r="L724" s="3" t="s">
        <v>2</v>
      </c>
      <c r="M724" s="3">
        <f>IF(Table1[[#This Row],[Cancellation Status]]&lt;&gt;"Yes",1,0)</f>
        <v>1</v>
      </c>
      <c r="O724" s="30">
        <v>45963</v>
      </c>
      <c r="P724" s="3">
        <v>5</v>
      </c>
      <c r="Q724" s="3">
        <v>1</v>
      </c>
      <c r="R724" s="3">
        <v>3</v>
      </c>
      <c r="S724" s="3">
        <v>8</v>
      </c>
      <c r="T72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24" t="str">
        <f>IF(Table1[[#This Row],[Customer Rating]]&gt;=9,"Promoter",IF(Table1[[#This Row],[Customer Rating]]&gt;=7,"Passive","Detractor"))</f>
        <v>Passive</v>
      </c>
    </row>
    <row r="725" spans="1:21" ht="14.25" customHeight="1" x14ac:dyDescent="0.3">
      <c r="A725" s="3" t="s">
        <v>760</v>
      </c>
      <c r="B725" s="3" t="s">
        <v>29</v>
      </c>
      <c r="C725" s="3" t="s">
        <v>27</v>
      </c>
      <c r="D725" s="14">
        <v>45939</v>
      </c>
      <c r="E725" s="11">
        <f>1</f>
        <v>1</v>
      </c>
      <c r="F725" s="14">
        <v>45941</v>
      </c>
      <c r="G725" s="11">
        <f>IF(Table1[[#This Row],[Pre-Booking Date]]&lt;&gt;"",1,0)</f>
        <v>1</v>
      </c>
      <c r="H725" s="4">
        <v>45945</v>
      </c>
      <c r="I725" s="11">
        <f>IF(Table1[[#This Row],[Booking Date]]&lt;&gt;"",1,0)</f>
        <v>1</v>
      </c>
      <c r="J725" s="30">
        <v>45949</v>
      </c>
      <c r="K725" s="11">
        <f>IF(Table1[[#This Row],[Delivery Date]]&lt;&gt;"",1,0)</f>
        <v>1</v>
      </c>
      <c r="L725" s="3" t="s">
        <v>2</v>
      </c>
      <c r="M725" s="3">
        <f>IF(Table1[[#This Row],[Cancellation Status]]&lt;&gt;"Yes",1,0)</f>
        <v>1</v>
      </c>
      <c r="O725" s="30">
        <v>45963</v>
      </c>
      <c r="P725" s="3">
        <v>2</v>
      </c>
      <c r="Q725" s="3">
        <v>4</v>
      </c>
      <c r="R725" s="3">
        <v>4</v>
      </c>
      <c r="S725" s="3">
        <v>3</v>
      </c>
      <c r="T72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25" t="str">
        <f>IF(Table1[[#This Row],[Customer Rating]]&gt;=9,"Promoter",IF(Table1[[#This Row],[Customer Rating]]&gt;=7,"Passive","Detractor"))</f>
        <v>Detractor</v>
      </c>
    </row>
    <row r="726" spans="1:21" ht="14.25" customHeight="1" x14ac:dyDescent="0.3">
      <c r="A726" s="3" t="s">
        <v>761</v>
      </c>
      <c r="B726" s="3" t="s">
        <v>26</v>
      </c>
      <c r="C726" s="3" t="s">
        <v>27</v>
      </c>
      <c r="D726" s="14">
        <v>45939</v>
      </c>
      <c r="E726" s="11">
        <f>1</f>
        <v>1</v>
      </c>
      <c r="F726" s="14">
        <v>45943</v>
      </c>
      <c r="G726" s="11">
        <f>IF(Table1[[#This Row],[Pre-Booking Date]]&lt;&gt;"",1,0)</f>
        <v>1</v>
      </c>
      <c r="H726" s="4">
        <v>45945</v>
      </c>
      <c r="I726" s="11">
        <f>IF(Table1[[#This Row],[Booking Date]]&lt;&gt;"",1,0)</f>
        <v>1</v>
      </c>
      <c r="J726" s="30">
        <v>45950</v>
      </c>
      <c r="K726" s="11">
        <f>IF(Table1[[#This Row],[Delivery Date]]&lt;&gt;"",1,0)</f>
        <v>1</v>
      </c>
      <c r="L726" s="3" t="s">
        <v>2</v>
      </c>
      <c r="M726" s="3">
        <f>IF(Table1[[#This Row],[Cancellation Status]]&lt;&gt;"Yes",1,0)</f>
        <v>1</v>
      </c>
      <c r="O726" s="30">
        <v>45976</v>
      </c>
      <c r="P726" s="3">
        <v>4</v>
      </c>
      <c r="Q726" s="3">
        <v>2</v>
      </c>
      <c r="R726" s="3">
        <v>5</v>
      </c>
      <c r="S726" s="3">
        <v>9</v>
      </c>
      <c r="T72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26" t="str">
        <f>IF(Table1[[#This Row],[Customer Rating]]&gt;=9,"Promoter",IF(Table1[[#This Row],[Customer Rating]]&gt;=7,"Passive","Detractor"))</f>
        <v>Promoter</v>
      </c>
    </row>
    <row r="727" spans="1:21" ht="14.25" customHeight="1" x14ac:dyDescent="0.3">
      <c r="A727" s="3" t="s">
        <v>762</v>
      </c>
      <c r="B727" s="3" t="s">
        <v>26</v>
      </c>
      <c r="C727" s="3" t="s">
        <v>27</v>
      </c>
      <c r="D727" s="14">
        <v>45939</v>
      </c>
      <c r="E727" s="11">
        <f>1</f>
        <v>1</v>
      </c>
      <c r="F727" s="14">
        <v>45940</v>
      </c>
      <c r="G727" s="11">
        <f>IF(Table1[[#This Row],[Pre-Booking Date]]&lt;&gt;"",1,0)</f>
        <v>1</v>
      </c>
      <c r="H727" s="4">
        <v>45944</v>
      </c>
      <c r="I727" s="11">
        <f>IF(Table1[[#This Row],[Booking Date]]&lt;&gt;"",1,0)</f>
        <v>1</v>
      </c>
      <c r="J727" s="30">
        <v>45951</v>
      </c>
      <c r="K727" s="11">
        <f>IF(Table1[[#This Row],[Delivery Date]]&lt;&gt;"",1,0)</f>
        <v>1</v>
      </c>
      <c r="L727" s="3" t="s">
        <v>2</v>
      </c>
      <c r="M727" s="3">
        <f>IF(Table1[[#This Row],[Cancellation Status]]&lt;&gt;"Yes",1,0)</f>
        <v>1</v>
      </c>
      <c r="O727" s="30">
        <v>45973</v>
      </c>
      <c r="P727" s="3">
        <v>1</v>
      </c>
      <c r="Q727" s="3">
        <v>4</v>
      </c>
      <c r="R727" s="3">
        <v>7</v>
      </c>
      <c r="S727" s="3">
        <v>7</v>
      </c>
      <c r="T72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27" t="str">
        <f>IF(Table1[[#This Row],[Customer Rating]]&gt;=9,"Promoter",IF(Table1[[#This Row],[Customer Rating]]&gt;=7,"Passive","Detractor"))</f>
        <v>Passive</v>
      </c>
    </row>
    <row r="728" spans="1:21" ht="14.25" customHeight="1" x14ac:dyDescent="0.3">
      <c r="A728" s="3" t="s">
        <v>763</v>
      </c>
      <c r="B728" s="3" t="s">
        <v>26</v>
      </c>
      <c r="C728" s="3" t="s">
        <v>27</v>
      </c>
      <c r="D728" s="14">
        <v>45939</v>
      </c>
      <c r="E728" s="11">
        <f>1</f>
        <v>1</v>
      </c>
      <c r="F728" s="14">
        <v>45944</v>
      </c>
      <c r="G728" s="11">
        <f>IF(Table1[[#This Row],[Pre-Booking Date]]&lt;&gt;"",1,0)</f>
        <v>1</v>
      </c>
      <c r="H728" s="4">
        <v>45949</v>
      </c>
      <c r="I728" s="11">
        <f>IF(Table1[[#This Row],[Booking Date]]&lt;&gt;"",1,0)</f>
        <v>1</v>
      </c>
      <c r="J728" s="30">
        <v>45951</v>
      </c>
      <c r="K728" s="11">
        <f>IF(Table1[[#This Row],[Delivery Date]]&lt;&gt;"",1,0)</f>
        <v>1</v>
      </c>
      <c r="L728" s="3" t="s">
        <v>2</v>
      </c>
      <c r="M728" s="3">
        <f>IF(Table1[[#This Row],[Cancellation Status]]&lt;&gt;"Yes",1,0)</f>
        <v>1</v>
      </c>
      <c r="O728" s="30">
        <v>45968</v>
      </c>
      <c r="P728" s="3">
        <v>5</v>
      </c>
      <c r="Q728" s="3">
        <v>5</v>
      </c>
      <c r="R728" s="3">
        <v>2</v>
      </c>
      <c r="S728" s="3">
        <v>3</v>
      </c>
      <c r="T72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28" t="str">
        <f>IF(Table1[[#This Row],[Customer Rating]]&gt;=9,"Promoter",IF(Table1[[#This Row],[Customer Rating]]&gt;=7,"Passive","Detractor"))</f>
        <v>Detractor</v>
      </c>
    </row>
    <row r="729" spans="1:21" ht="14.25" customHeight="1" x14ac:dyDescent="0.3">
      <c r="A729" s="3" t="s">
        <v>764</v>
      </c>
      <c r="B729" s="3" t="s">
        <v>29</v>
      </c>
      <c r="C729" s="3" t="s">
        <v>33</v>
      </c>
      <c r="D729" s="14">
        <v>45939</v>
      </c>
      <c r="E729" s="11">
        <f>1</f>
        <v>1</v>
      </c>
      <c r="G729" s="12">
        <f>IF(Table1[[#This Row],[Pre-Booking Date]]&lt;&gt;"",1,0)</f>
        <v>0</v>
      </c>
      <c r="I729" s="12">
        <f>IF(Table1[[#This Row],[Booking Date]]&lt;&gt;"",1,0)</f>
        <v>0</v>
      </c>
      <c r="K729" s="12">
        <f>IF(Table1[[#This Row],[Delivery Date]]&lt;&gt;"",1,0)</f>
        <v>0</v>
      </c>
      <c r="L729" s="3" t="s">
        <v>3</v>
      </c>
      <c r="M729" s="3">
        <f>IF(Table1[[#This Row],[Cancellation Status]]&lt;&gt;"Yes",1,0)</f>
        <v>0</v>
      </c>
      <c r="N729" s="3" t="s">
        <v>52</v>
      </c>
      <c r="T72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29" t="str">
        <f>IF(Table1[[#This Row],[Customer Rating]]&gt;=9,"Promoter",IF(Table1[[#This Row],[Customer Rating]]&gt;=7,"Passive","Detractor"))</f>
        <v>Detractor</v>
      </c>
    </row>
    <row r="730" spans="1:21" ht="14.25" customHeight="1" x14ac:dyDescent="0.3">
      <c r="A730" s="3" t="s">
        <v>765</v>
      </c>
      <c r="B730" s="3" t="s">
        <v>26</v>
      </c>
      <c r="C730" s="3" t="s">
        <v>30</v>
      </c>
      <c r="D730" s="14">
        <v>45939</v>
      </c>
      <c r="E730" s="11">
        <f>1</f>
        <v>1</v>
      </c>
      <c r="F730" s="14">
        <v>45940</v>
      </c>
      <c r="G730" s="11">
        <f>IF(Table1[[#This Row],[Pre-Booking Date]]&lt;&gt;"",1,0)</f>
        <v>1</v>
      </c>
      <c r="H730" s="4">
        <v>45945</v>
      </c>
      <c r="I730" s="11">
        <f>IF(Table1[[#This Row],[Booking Date]]&lt;&gt;"",1,0)</f>
        <v>1</v>
      </c>
      <c r="J730" s="30">
        <v>45948</v>
      </c>
      <c r="K730" s="11">
        <f>IF(Table1[[#This Row],[Delivery Date]]&lt;&gt;"",1,0)</f>
        <v>1</v>
      </c>
      <c r="L730" s="3" t="s">
        <v>2</v>
      </c>
      <c r="M730" s="3">
        <f>IF(Table1[[#This Row],[Cancellation Status]]&lt;&gt;"Yes",1,0)</f>
        <v>1</v>
      </c>
      <c r="O730" s="30">
        <v>45967</v>
      </c>
      <c r="P730" s="3">
        <v>1</v>
      </c>
      <c r="Q730" s="3">
        <v>5</v>
      </c>
      <c r="R730" s="3">
        <v>3</v>
      </c>
      <c r="S730" s="3">
        <v>1</v>
      </c>
      <c r="T73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30" t="str">
        <f>IF(Table1[[#This Row],[Customer Rating]]&gt;=9,"Promoter",IF(Table1[[#This Row],[Customer Rating]]&gt;=7,"Passive","Detractor"))</f>
        <v>Detractor</v>
      </c>
    </row>
    <row r="731" spans="1:21" ht="14.25" customHeight="1" x14ac:dyDescent="0.3">
      <c r="A731" s="3" t="s">
        <v>766</v>
      </c>
      <c r="B731" s="3" t="s">
        <v>26</v>
      </c>
      <c r="C731" s="3" t="s">
        <v>27</v>
      </c>
      <c r="D731" s="14">
        <v>45939</v>
      </c>
      <c r="E731" s="11">
        <f>1</f>
        <v>1</v>
      </c>
      <c r="F731" s="14">
        <v>45941</v>
      </c>
      <c r="G731" s="11">
        <f>IF(Table1[[#This Row],[Pre-Booking Date]]&lt;&gt;"",1,0)</f>
        <v>1</v>
      </c>
      <c r="H731" s="4">
        <v>45944</v>
      </c>
      <c r="I731" s="11">
        <f>IF(Table1[[#This Row],[Booking Date]]&lt;&gt;"",1,0)</f>
        <v>1</v>
      </c>
      <c r="J731" s="30">
        <v>45949</v>
      </c>
      <c r="K731" s="11">
        <f>IF(Table1[[#This Row],[Delivery Date]]&lt;&gt;"",1,0)</f>
        <v>1</v>
      </c>
      <c r="L731" s="3" t="s">
        <v>3</v>
      </c>
      <c r="M731" s="3">
        <f>IF(Table1[[#This Row],[Cancellation Status]]&lt;&gt;"Yes",1,0)</f>
        <v>0</v>
      </c>
      <c r="N731" s="3" t="s">
        <v>42</v>
      </c>
      <c r="P731" s="3">
        <v>2</v>
      </c>
      <c r="Q731" s="3">
        <v>3</v>
      </c>
      <c r="R731" s="3">
        <v>5</v>
      </c>
      <c r="T73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31" t="str">
        <f>IF(Table1[[#This Row],[Customer Rating]]&gt;=9,"Promoter",IF(Table1[[#This Row],[Customer Rating]]&gt;=7,"Passive","Detractor"))</f>
        <v>Detractor</v>
      </c>
    </row>
    <row r="732" spans="1:21" ht="14.25" customHeight="1" x14ac:dyDescent="0.3">
      <c r="A732" s="3" t="s">
        <v>767</v>
      </c>
      <c r="B732" s="3" t="s">
        <v>39</v>
      </c>
      <c r="C732" s="3" t="s">
        <v>27</v>
      </c>
      <c r="D732" s="14">
        <v>45939</v>
      </c>
      <c r="E732" s="11">
        <f>1</f>
        <v>1</v>
      </c>
      <c r="F732" s="14">
        <v>45944</v>
      </c>
      <c r="G732" s="11">
        <f>IF(Table1[[#This Row],[Pre-Booking Date]]&lt;&gt;"",1,0)</f>
        <v>1</v>
      </c>
      <c r="H732" s="4">
        <v>45947</v>
      </c>
      <c r="I732" s="11">
        <f>IF(Table1[[#This Row],[Booking Date]]&lt;&gt;"",1,0)</f>
        <v>1</v>
      </c>
      <c r="J732" s="30">
        <v>45949</v>
      </c>
      <c r="K732" s="11">
        <f>IF(Table1[[#This Row],[Delivery Date]]&lt;&gt;"",1,0)</f>
        <v>1</v>
      </c>
      <c r="L732" s="3" t="s">
        <v>2</v>
      </c>
      <c r="M732" s="3">
        <f>IF(Table1[[#This Row],[Cancellation Status]]&lt;&gt;"Yes",1,0)</f>
        <v>1</v>
      </c>
      <c r="O732" s="30">
        <v>45969</v>
      </c>
      <c r="P732" s="3">
        <v>5</v>
      </c>
      <c r="Q732" s="3">
        <v>3</v>
      </c>
      <c r="R732" s="3">
        <v>2</v>
      </c>
      <c r="S732" s="3">
        <v>10</v>
      </c>
      <c r="T73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32" t="str">
        <f>IF(Table1[[#This Row],[Customer Rating]]&gt;=9,"Promoter",IF(Table1[[#This Row],[Customer Rating]]&gt;=7,"Passive","Detractor"))</f>
        <v>Promoter</v>
      </c>
    </row>
    <row r="733" spans="1:21" ht="14.25" customHeight="1" x14ac:dyDescent="0.3">
      <c r="A733" s="3" t="s">
        <v>768</v>
      </c>
      <c r="B733" s="3" t="s">
        <v>39</v>
      </c>
      <c r="C733" s="3" t="s">
        <v>30</v>
      </c>
      <c r="D733" s="14">
        <v>45939</v>
      </c>
      <c r="E733" s="11">
        <f>1</f>
        <v>1</v>
      </c>
      <c r="F733" s="14">
        <v>45944</v>
      </c>
      <c r="G733" s="11">
        <f>IF(Table1[[#This Row],[Pre-Booking Date]]&lt;&gt;"",1,0)</f>
        <v>1</v>
      </c>
      <c r="H733" s="4">
        <v>45946</v>
      </c>
      <c r="I733" s="11">
        <f>IF(Table1[[#This Row],[Booking Date]]&lt;&gt;"",1,0)</f>
        <v>1</v>
      </c>
      <c r="J733" s="30">
        <v>45953</v>
      </c>
      <c r="K733" s="11">
        <f>IF(Table1[[#This Row],[Delivery Date]]&lt;&gt;"",1,0)</f>
        <v>1</v>
      </c>
      <c r="L733" s="3" t="s">
        <v>2</v>
      </c>
      <c r="M733" s="3">
        <f>IF(Table1[[#This Row],[Cancellation Status]]&lt;&gt;"Yes",1,0)</f>
        <v>1</v>
      </c>
      <c r="O733" s="30">
        <v>45975</v>
      </c>
      <c r="P733" s="3">
        <v>5</v>
      </c>
      <c r="Q733" s="3">
        <v>2</v>
      </c>
      <c r="R733" s="3">
        <v>7</v>
      </c>
      <c r="S733" s="3">
        <v>4</v>
      </c>
      <c r="T73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33" t="str">
        <f>IF(Table1[[#This Row],[Customer Rating]]&gt;=9,"Promoter",IF(Table1[[#This Row],[Customer Rating]]&gt;=7,"Passive","Detractor"))</f>
        <v>Detractor</v>
      </c>
    </row>
    <row r="734" spans="1:21" ht="14.25" customHeight="1" x14ac:dyDescent="0.3">
      <c r="A734" s="3" t="s">
        <v>769</v>
      </c>
      <c r="B734" s="3" t="s">
        <v>29</v>
      </c>
      <c r="C734" s="3" t="s">
        <v>30</v>
      </c>
      <c r="D734" s="14">
        <v>45939</v>
      </c>
      <c r="E734" s="11">
        <f>1</f>
        <v>1</v>
      </c>
      <c r="F734" s="14">
        <v>45940</v>
      </c>
      <c r="G734" s="11">
        <f>IF(Table1[[#This Row],[Pre-Booking Date]]&lt;&gt;"",1,0)</f>
        <v>1</v>
      </c>
      <c r="H734" s="4">
        <v>45945</v>
      </c>
      <c r="I734" s="11">
        <f>IF(Table1[[#This Row],[Booking Date]]&lt;&gt;"",1,0)</f>
        <v>1</v>
      </c>
      <c r="J734" s="30">
        <v>45948</v>
      </c>
      <c r="K734" s="11">
        <f>IF(Table1[[#This Row],[Delivery Date]]&lt;&gt;"",1,0)</f>
        <v>1</v>
      </c>
      <c r="L734" s="3" t="s">
        <v>2</v>
      </c>
      <c r="M734" s="3">
        <f>IF(Table1[[#This Row],[Cancellation Status]]&lt;&gt;"Yes",1,0)</f>
        <v>1</v>
      </c>
      <c r="O734" s="30">
        <v>45978</v>
      </c>
      <c r="P734" s="3">
        <v>1</v>
      </c>
      <c r="Q734" s="3">
        <v>5</v>
      </c>
      <c r="R734" s="3">
        <v>3</v>
      </c>
      <c r="S734" s="3">
        <v>2</v>
      </c>
      <c r="T73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34" t="str">
        <f>IF(Table1[[#This Row],[Customer Rating]]&gt;=9,"Promoter",IF(Table1[[#This Row],[Customer Rating]]&gt;=7,"Passive","Detractor"))</f>
        <v>Detractor</v>
      </c>
    </row>
    <row r="735" spans="1:21" ht="14.25" customHeight="1" x14ac:dyDescent="0.3">
      <c r="A735" s="3" t="s">
        <v>770</v>
      </c>
      <c r="B735" s="3" t="s">
        <v>39</v>
      </c>
      <c r="C735" s="3" t="s">
        <v>27</v>
      </c>
      <c r="D735" s="14">
        <v>45939</v>
      </c>
      <c r="E735" s="11">
        <f>1</f>
        <v>1</v>
      </c>
      <c r="F735" s="14">
        <v>45944</v>
      </c>
      <c r="G735" s="11">
        <f>IF(Table1[[#This Row],[Pre-Booking Date]]&lt;&gt;"",1,0)</f>
        <v>1</v>
      </c>
      <c r="H735" s="4">
        <v>45945</v>
      </c>
      <c r="I735" s="11">
        <f>IF(Table1[[#This Row],[Booking Date]]&lt;&gt;"",1,0)</f>
        <v>1</v>
      </c>
      <c r="J735" s="30">
        <v>45952</v>
      </c>
      <c r="K735" s="11">
        <f>IF(Table1[[#This Row],[Delivery Date]]&lt;&gt;"",1,0)</f>
        <v>1</v>
      </c>
      <c r="L735" s="3" t="s">
        <v>2</v>
      </c>
      <c r="M735" s="3">
        <f>IF(Table1[[#This Row],[Cancellation Status]]&lt;&gt;"Yes",1,0)</f>
        <v>1</v>
      </c>
      <c r="O735" s="30">
        <v>45964</v>
      </c>
      <c r="P735" s="3">
        <v>5</v>
      </c>
      <c r="Q735" s="3">
        <v>1</v>
      </c>
      <c r="R735" s="3">
        <v>7</v>
      </c>
      <c r="S735" s="3">
        <v>6</v>
      </c>
      <c r="T73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35" t="str">
        <f>IF(Table1[[#This Row],[Customer Rating]]&gt;=9,"Promoter",IF(Table1[[#This Row],[Customer Rating]]&gt;=7,"Passive","Detractor"))</f>
        <v>Detractor</v>
      </c>
    </row>
    <row r="736" spans="1:21" ht="14.25" customHeight="1" x14ac:dyDescent="0.3">
      <c r="A736" s="3" t="s">
        <v>771</v>
      </c>
      <c r="B736" s="3" t="s">
        <v>26</v>
      </c>
      <c r="C736" s="3" t="s">
        <v>33</v>
      </c>
      <c r="D736" s="14">
        <v>45939</v>
      </c>
      <c r="E736" s="11">
        <f>1</f>
        <v>1</v>
      </c>
      <c r="G736" s="12">
        <f>IF(Table1[[#This Row],[Pre-Booking Date]]&lt;&gt;"",1,0)</f>
        <v>0</v>
      </c>
      <c r="I736" s="12">
        <f>IF(Table1[[#This Row],[Booking Date]]&lt;&gt;"",1,0)</f>
        <v>0</v>
      </c>
      <c r="K736" s="12">
        <f>IF(Table1[[#This Row],[Delivery Date]]&lt;&gt;"",1,0)</f>
        <v>0</v>
      </c>
      <c r="L736" s="3" t="s">
        <v>3</v>
      </c>
      <c r="M736" s="3">
        <f>IF(Table1[[#This Row],[Cancellation Status]]&lt;&gt;"Yes",1,0)</f>
        <v>0</v>
      </c>
      <c r="N736" s="3" t="s">
        <v>52</v>
      </c>
      <c r="T73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36" t="str">
        <f>IF(Table1[[#This Row],[Customer Rating]]&gt;=9,"Promoter",IF(Table1[[#This Row],[Customer Rating]]&gt;=7,"Passive","Detractor"))</f>
        <v>Detractor</v>
      </c>
    </row>
    <row r="737" spans="1:21" ht="14.25" customHeight="1" x14ac:dyDescent="0.3">
      <c r="A737" s="3" t="s">
        <v>772</v>
      </c>
      <c r="B737" s="3" t="s">
        <v>39</v>
      </c>
      <c r="C737" s="3" t="s">
        <v>27</v>
      </c>
      <c r="D737" s="14">
        <v>45939</v>
      </c>
      <c r="E737" s="11">
        <f>1</f>
        <v>1</v>
      </c>
      <c r="F737" s="14">
        <v>45944</v>
      </c>
      <c r="G737" s="11">
        <f>IF(Table1[[#This Row],[Pre-Booking Date]]&lt;&gt;"",1,0)</f>
        <v>1</v>
      </c>
      <c r="H737" s="4">
        <v>45947</v>
      </c>
      <c r="I737" s="11">
        <f>IF(Table1[[#This Row],[Booking Date]]&lt;&gt;"",1,0)</f>
        <v>1</v>
      </c>
      <c r="J737" s="30">
        <v>45952</v>
      </c>
      <c r="K737" s="11">
        <f>IF(Table1[[#This Row],[Delivery Date]]&lt;&gt;"",1,0)</f>
        <v>1</v>
      </c>
      <c r="L737" s="3" t="s">
        <v>2</v>
      </c>
      <c r="M737" s="3">
        <f>IF(Table1[[#This Row],[Cancellation Status]]&lt;&gt;"Yes",1,0)</f>
        <v>1</v>
      </c>
      <c r="O737" s="30">
        <v>45977</v>
      </c>
      <c r="P737" s="3">
        <v>5</v>
      </c>
      <c r="Q737" s="3">
        <v>3</v>
      </c>
      <c r="R737" s="3">
        <v>5</v>
      </c>
      <c r="S737" s="3">
        <v>3</v>
      </c>
      <c r="T73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37" t="str">
        <f>IF(Table1[[#This Row],[Customer Rating]]&gt;=9,"Promoter",IF(Table1[[#This Row],[Customer Rating]]&gt;=7,"Passive","Detractor"))</f>
        <v>Detractor</v>
      </c>
    </row>
    <row r="738" spans="1:21" ht="14.25" customHeight="1" x14ac:dyDescent="0.3">
      <c r="A738" s="3" t="s">
        <v>773</v>
      </c>
      <c r="B738" s="3" t="s">
        <v>29</v>
      </c>
      <c r="C738" s="3" t="s">
        <v>27</v>
      </c>
      <c r="D738" s="14">
        <v>45939</v>
      </c>
      <c r="E738" s="11">
        <f>1</f>
        <v>1</v>
      </c>
      <c r="F738" s="14">
        <v>45940</v>
      </c>
      <c r="G738" s="11">
        <f>IF(Table1[[#This Row],[Pre-Booking Date]]&lt;&gt;"",1,0)</f>
        <v>1</v>
      </c>
      <c r="H738" s="4">
        <v>45944</v>
      </c>
      <c r="I738" s="11">
        <f>IF(Table1[[#This Row],[Booking Date]]&lt;&gt;"",1,0)</f>
        <v>1</v>
      </c>
      <c r="J738" s="30">
        <v>45949</v>
      </c>
      <c r="K738" s="11">
        <f>IF(Table1[[#This Row],[Delivery Date]]&lt;&gt;"",1,0)</f>
        <v>1</v>
      </c>
      <c r="L738" s="3" t="s">
        <v>2</v>
      </c>
      <c r="M738" s="3">
        <f>IF(Table1[[#This Row],[Cancellation Status]]&lt;&gt;"Yes",1,0)</f>
        <v>1</v>
      </c>
      <c r="O738" s="30">
        <v>45973</v>
      </c>
      <c r="P738" s="3">
        <v>1</v>
      </c>
      <c r="Q738" s="3">
        <v>4</v>
      </c>
      <c r="R738" s="3">
        <v>5</v>
      </c>
      <c r="S738" s="3">
        <v>9</v>
      </c>
      <c r="T73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38" t="str">
        <f>IF(Table1[[#This Row],[Customer Rating]]&gt;=9,"Promoter",IF(Table1[[#This Row],[Customer Rating]]&gt;=7,"Passive","Detractor"))</f>
        <v>Promoter</v>
      </c>
    </row>
    <row r="739" spans="1:21" ht="14.25" customHeight="1" x14ac:dyDescent="0.3">
      <c r="A739" s="3" t="s">
        <v>774</v>
      </c>
      <c r="B739" s="3" t="s">
        <v>26</v>
      </c>
      <c r="C739" s="3" t="s">
        <v>33</v>
      </c>
      <c r="D739" s="14">
        <v>45939</v>
      </c>
      <c r="E739" s="11">
        <f>1</f>
        <v>1</v>
      </c>
      <c r="G739" s="12">
        <f>IF(Table1[[#This Row],[Pre-Booking Date]]&lt;&gt;"",1,0)</f>
        <v>0</v>
      </c>
      <c r="I739" s="12">
        <f>IF(Table1[[#This Row],[Booking Date]]&lt;&gt;"",1,0)</f>
        <v>0</v>
      </c>
      <c r="K739" s="12">
        <f>IF(Table1[[#This Row],[Delivery Date]]&lt;&gt;"",1,0)</f>
        <v>0</v>
      </c>
      <c r="L739" s="3" t="s">
        <v>3</v>
      </c>
      <c r="M739" s="3">
        <f>IF(Table1[[#This Row],[Cancellation Status]]&lt;&gt;"Yes",1,0)</f>
        <v>0</v>
      </c>
      <c r="N739" s="3" t="s">
        <v>34</v>
      </c>
      <c r="T73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39" t="str">
        <f>IF(Table1[[#This Row],[Customer Rating]]&gt;=9,"Promoter",IF(Table1[[#This Row],[Customer Rating]]&gt;=7,"Passive","Detractor"))</f>
        <v>Detractor</v>
      </c>
    </row>
    <row r="740" spans="1:21" ht="14.25" customHeight="1" x14ac:dyDescent="0.3">
      <c r="A740" s="3" t="s">
        <v>775</v>
      </c>
      <c r="B740" s="3" t="s">
        <v>32</v>
      </c>
      <c r="C740" s="3" t="s">
        <v>27</v>
      </c>
      <c r="D740" s="14">
        <v>45939</v>
      </c>
      <c r="E740" s="11">
        <f>1</f>
        <v>1</v>
      </c>
      <c r="F740" s="14">
        <v>45943</v>
      </c>
      <c r="G740" s="11">
        <f>IF(Table1[[#This Row],[Pre-Booking Date]]&lt;&gt;"",1,0)</f>
        <v>1</v>
      </c>
      <c r="H740" s="4">
        <v>45945</v>
      </c>
      <c r="I740" s="11">
        <f>IF(Table1[[#This Row],[Booking Date]]&lt;&gt;"",1,0)</f>
        <v>1</v>
      </c>
      <c r="J740" s="30">
        <v>45949</v>
      </c>
      <c r="K740" s="11">
        <f>IF(Table1[[#This Row],[Delivery Date]]&lt;&gt;"",1,0)</f>
        <v>1</v>
      </c>
      <c r="L740" s="3" t="s">
        <v>2</v>
      </c>
      <c r="M740" s="3">
        <f>IF(Table1[[#This Row],[Cancellation Status]]&lt;&gt;"Yes",1,0)</f>
        <v>1</v>
      </c>
      <c r="O740" s="30">
        <v>45972</v>
      </c>
      <c r="P740" s="3">
        <v>4</v>
      </c>
      <c r="Q740" s="3">
        <v>2</v>
      </c>
      <c r="R740" s="3">
        <v>4</v>
      </c>
      <c r="S740" s="3">
        <v>9</v>
      </c>
      <c r="T74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40" t="str">
        <f>IF(Table1[[#This Row],[Customer Rating]]&gt;=9,"Promoter",IF(Table1[[#This Row],[Customer Rating]]&gt;=7,"Passive","Detractor"))</f>
        <v>Promoter</v>
      </c>
    </row>
    <row r="741" spans="1:21" ht="14.25" customHeight="1" x14ac:dyDescent="0.3">
      <c r="A741" s="3" t="s">
        <v>776</v>
      </c>
      <c r="B741" s="3" t="s">
        <v>39</v>
      </c>
      <c r="C741" s="3" t="s">
        <v>27</v>
      </c>
      <c r="D741" s="14">
        <v>45939</v>
      </c>
      <c r="E741" s="11">
        <f>1</f>
        <v>1</v>
      </c>
      <c r="F741" s="14">
        <v>45944</v>
      </c>
      <c r="G741" s="11">
        <f>IF(Table1[[#This Row],[Pre-Booking Date]]&lt;&gt;"",1,0)</f>
        <v>1</v>
      </c>
      <c r="H741" s="4">
        <v>45946</v>
      </c>
      <c r="I741" s="11">
        <f>IF(Table1[[#This Row],[Booking Date]]&lt;&gt;"",1,0)</f>
        <v>1</v>
      </c>
      <c r="J741" s="30">
        <v>45953</v>
      </c>
      <c r="K741" s="11">
        <f>IF(Table1[[#This Row],[Delivery Date]]&lt;&gt;"",1,0)</f>
        <v>1</v>
      </c>
      <c r="L741" s="3" t="s">
        <v>3</v>
      </c>
      <c r="M741" s="3">
        <f>IF(Table1[[#This Row],[Cancellation Status]]&lt;&gt;"Yes",1,0)</f>
        <v>0</v>
      </c>
      <c r="N741" s="3" t="s">
        <v>37</v>
      </c>
      <c r="P741" s="3">
        <v>5</v>
      </c>
      <c r="Q741" s="3">
        <v>2</v>
      </c>
      <c r="R741" s="3">
        <v>7</v>
      </c>
      <c r="T74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41" t="str">
        <f>IF(Table1[[#This Row],[Customer Rating]]&gt;=9,"Promoter",IF(Table1[[#This Row],[Customer Rating]]&gt;=7,"Passive","Detractor"))</f>
        <v>Detractor</v>
      </c>
    </row>
    <row r="742" spans="1:21" ht="14.25" customHeight="1" x14ac:dyDescent="0.3">
      <c r="A742" s="3" t="s">
        <v>777</v>
      </c>
      <c r="B742" s="3" t="s">
        <v>26</v>
      </c>
      <c r="C742" s="3" t="s">
        <v>27</v>
      </c>
      <c r="D742" s="14">
        <v>45939</v>
      </c>
      <c r="E742" s="11">
        <f>1</f>
        <v>1</v>
      </c>
      <c r="F742" s="14">
        <v>45940</v>
      </c>
      <c r="G742" s="11">
        <f>IF(Table1[[#This Row],[Pre-Booking Date]]&lt;&gt;"",1,0)</f>
        <v>1</v>
      </c>
      <c r="H742" s="4">
        <v>45943</v>
      </c>
      <c r="I742" s="11">
        <f>IF(Table1[[#This Row],[Booking Date]]&lt;&gt;"",1,0)</f>
        <v>1</v>
      </c>
      <c r="J742" s="30">
        <v>45946</v>
      </c>
      <c r="K742" s="11">
        <f>IF(Table1[[#This Row],[Delivery Date]]&lt;&gt;"",1,0)</f>
        <v>1</v>
      </c>
      <c r="L742" s="3" t="s">
        <v>2</v>
      </c>
      <c r="M742" s="3">
        <f>IF(Table1[[#This Row],[Cancellation Status]]&lt;&gt;"Yes",1,0)</f>
        <v>1</v>
      </c>
      <c r="O742" s="30">
        <v>45962</v>
      </c>
      <c r="P742" s="3">
        <v>1</v>
      </c>
      <c r="Q742" s="3">
        <v>3</v>
      </c>
      <c r="R742" s="3">
        <v>3</v>
      </c>
      <c r="S742" s="3">
        <v>2</v>
      </c>
      <c r="T74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42" t="str">
        <f>IF(Table1[[#This Row],[Customer Rating]]&gt;=9,"Promoter",IF(Table1[[#This Row],[Customer Rating]]&gt;=7,"Passive","Detractor"))</f>
        <v>Detractor</v>
      </c>
    </row>
    <row r="743" spans="1:21" ht="14.25" customHeight="1" x14ac:dyDescent="0.3">
      <c r="A743" s="3" t="s">
        <v>778</v>
      </c>
      <c r="B743" s="3" t="s">
        <v>39</v>
      </c>
      <c r="C743" s="3" t="s">
        <v>27</v>
      </c>
      <c r="D743" s="14">
        <v>45939</v>
      </c>
      <c r="E743" s="11">
        <f>1</f>
        <v>1</v>
      </c>
      <c r="F743" s="14">
        <v>45940</v>
      </c>
      <c r="G743" s="11">
        <f>IF(Table1[[#This Row],[Pre-Booking Date]]&lt;&gt;"",1,0)</f>
        <v>1</v>
      </c>
      <c r="H743" s="4">
        <v>45943</v>
      </c>
      <c r="I743" s="11">
        <f>IF(Table1[[#This Row],[Booking Date]]&lt;&gt;"",1,0)</f>
        <v>1</v>
      </c>
      <c r="J743" s="30">
        <v>45946</v>
      </c>
      <c r="K743" s="11">
        <f>IF(Table1[[#This Row],[Delivery Date]]&lt;&gt;"",1,0)</f>
        <v>1</v>
      </c>
      <c r="L743" s="3" t="s">
        <v>2</v>
      </c>
      <c r="M743" s="3">
        <f>IF(Table1[[#This Row],[Cancellation Status]]&lt;&gt;"Yes",1,0)</f>
        <v>1</v>
      </c>
      <c r="O743" s="30">
        <v>45972</v>
      </c>
      <c r="P743" s="3">
        <v>1</v>
      </c>
      <c r="Q743" s="3">
        <v>3</v>
      </c>
      <c r="R743" s="3">
        <v>3</v>
      </c>
      <c r="S743" s="3">
        <v>10</v>
      </c>
      <c r="T74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43" t="str">
        <f>IF(Table1[[#This Row],[Customer Rating]]&gt;=9,"Promoter",IF(Table1[[#This Row],[Customer Rating]]&gt;=7,"Passive","Detractor"))</f>
        <v>Promoter</v>
      </c>
    </row>
    <row r="744" spans="1:21" ht="14.25" customHeight="1" x14ac:dyDescent="0.3">
      <c r="A744" s="3" t="s">
        <v>779</v>
      </c>
      <c r="B744" s="3" t="s">
        <v>29</v>
      </c>
      <c r="C744" s="3" t="s">
        <v>27</v>
      </c>
      <c r="D744" s="14">
        <v>45939</v>
      </c>
      <c r="E744" s="11">
        <f>1</f>
        <v>1</v>
      </c>
      <c r="F744" s="14">
        <v>45941</v>
      </c>
      <c r="G744" s="11">
        <f>IF(Table1[[#This Row],[Pre-Booking Date]]&lt;&gt;"",1,0)</f>
        <v>1</v>
      </c>
      <c r="H744" s="4">
        <v>45942</v>
      </c>
      <c r="I744" s="11">
        <f>IF(Table1[[#This Row],[Booking Date]]&lt;&gt;"",1,0)</f>
        <v>1</v>
      </c>
      <c r="J744" s="30">
        <v>45944</v>
      </c>
      <c r="K744" s="11">
        <f>IF(Table1[[#This Row],[Delivery Date]]&lt;&gt;"",1,0)</f>
        <v>1</v>
      </c>
      <c r="L744" s="3" t="s">
        <v>2</v>
      </c>
      <c r="M744" s="3">
        <f>IF(Table1[[#This Row],[Cancellation Status]]&lt;&gt;"Yes",1,0)</f>
        <v>1</v>
      </c>
      <c r="O744" s="30">
        <v>45969</v>
      </c>
      <c r="P744" s="3">
        <v>2</v>
      </c>
      <c r="Q744" s="3">
        <v>1</v>
      </c>
      <c r="R744" s="3">
        <v>2</v>
      </c>
      <c r="S744" s="3">
        <v>4</v>
      </c>
      <c r="T74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44" t="str">
        <f>IF(Table1[[#This Row],[Customer Rating]]&gt;=9,"Promoter",IF(Table1[[#This Row],[Customer Rating]]&gt;=7,"Passive","Detractor"))</f>
        <v>Detractor</v>
      </c>
    </row>
    <row r="745" spans="1:21" ht="14.25" customHeight="1" x14ac:dyDescent="0.3">
      <c r="A745" s="3" t="s">
        <v>780</v>
      </c>
      <c r="B745" s="3" t="s">
        <v>32</v>
      </c>
      <c r="C745" s="3" t="s">
        <v>30</v>
      </c>
      <c r="D745" s="14">
        <v>45939</v>
      </c>
      <c r="E745" s="11">
        <f>1</f>
        <v>1</v>
      </c>
      <c r="F745" s="14">
        <v>45941</v>
      </c>
      <c r="G745" s="11">
        <f>IF(Table1[[#This Row],[Pre-Booking Date]]&lt;&gt;"",1,0)</f>
        <v>1</v>
      </c>
      <c r="H745" s="4">
        <v>45945</v>
      </c>
      <c r="I745" s="11">
        <f>IF(Table1[[#This Row],[Booking Date]]&lt;&gt;"",1,0)</f>
        <v>1</v>
      </c>
      <c r="J745" s="30">
        <v>45950</v>
      </c>
      <c r="K745" s="11">
        <f>IF(Table1[[#This Row],[Delivery Date]]&lt;&gt;"",1,0)</f>
        <v>1</v>
      </c>
      <c r="L745" s="3" t="s">
        <v>2</v>
      </c>
      <c r="M745" s="3">
        <f>IF(Table1[[#This Row],[Cancellation Status]]&lt;&gt;"Yes",1,0)</f>
        <v>1</v>
      </c>
      <c r="O745" s="30">
        <v>45968</v>
      </c>
      <c r="P745" s="3">
        <v>2</v>
      </c>
      <c r="Q745" s="3">
        <v>4</v>
      </c>
      <c r="R745" s="3">
        <v>5</v>
      </c>
      <c r="S745" s="3">
        <v>10</v>
      </c>
      <c r="T74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45" t="str">
        <f>IF(Table1[[#This Row],[Customer Rating]]&gt;=9,"Promoter",IF(Table1[[#This Row],[Customer Rating]]&gt;=7,"Passive","Detractor"))</f>
        <v>Promoter</v>
      </c>
    </row>
    <row r="746" spans="1:21" ht="14.25" customHeight="1" x14ac:dyDescent="0.3">
      <c r="A746" s="3" t="s">
        <v>781</v>
      </c>
      <c r="B746" s="3" t="s">
        <v>29</v>
      </c>
      <c r="C746" s="3" t="s">
        <v>30</v>
      </c>
      <c r="D746" s="14">
        <v>45939</v>
      </c>
      <c r="E746" s="11">
        <f>1</f>
        <v>1</v>
      </c>
      <c r="F746" s="14">
        <v>45944</v>
      </c>
      <c r="G746" s="11">
        <f>IF(Table1[[#This Row],[Pre-Booking Date]]&lt;&gt;"",1,0)</f>
        <v>1</v>
      </c>
      <c r="H746" s="4">
        <v>45947</v>
      </c>
      <c r="I746" s="11">
        <f>IF(Table1[[#This Row],[Booking Date]]&lt;&gt;"",1,0)</f>
        <v>1</v>
      </c>
      <c r="J746" s="30">
        <v>45953</v>
      </c>
      <c r="K746" s="11">
        <f>IF(Table1[[#This Row],[Delivery Date]]&lt;&gt;"",1,0)</f>
        <v>1</v>
      </c>
      <c r="L746" s="3" t="s">
        <v>2</v>
      </c>
      <c r="M746" s="3">
        <f>IF(Table1[[#This Row],[Cancellation Status]]&lt;&gt;"Yes",1,0)</f>
        <v>1</v>
      </c>
      <c r="O746" s="30">
        <v>45979</v>
      </c>
      <c r="P746" s="3">
        <v>5</v>
      </c>
      <c r="Q746" s="3">
        <v>3</v>
      </c>
      <c r="R746" s="3">
        <v>6</v>
      </c>
      <c r="S746" s="3">
        <v>3</v>
      </c>
      <c r="T74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46" t="str">
        <f>IF(Table1[[#This Row],[Customer Rating]]&gt;=9,"Promoter",IF(Table1[[#This Row],[Customer Rating]]&gt;=7,"Passive","Detractor"))</f>
        <v>Detractor</v>
      </c>
    </row>
    <row r="747" spans="1:21" ht="14.25" customHeight="1" x14ac:dyDescent="0.3">
      <c r="A747" s="3" t="s">
        <v>782</v>
      </c>
      <c r="B747" s="3" t="s">
        <v>29</v>
      </c>
      <c r="C747" s="3" t="s">
        <v>30</v>
      </c>
      <c r="D747" s="14">
        <v>45939</v>
      </c>
      <c r="E747" s="11">
        <f>1</f>
        <v>1</v>
      </c>
      <c r="F747" s="14">
        <v>45942</v>
      </c>
      <c r="G747" s="11">
        <f>IF(Table1[[#This Row],[Pre-Booking Date]]&lt;&gt;"",1,0)</f>
        <v>1</v>
      </c>
      <c r="H747" s="4">
        <v>45944</v>
      </c>
      <c r="I747" s="11">
        <f>IF(Table1[[#This Row],[Booking Date]]&lt;&gt;"",1,0)</f>
        <v>1</v>
      </c>
      <c r="J747" s="30">
        <v>45947</v>
      </c>
      <c r="K747" s="11">
        <f>IF(Table1[[#This Row],[Delivery Date]]&lt;&gt;"",1,0)</f>
        <v>1</v>
      </c>
      <c r="L747" s="3" t="s">
        <v>2</v>
      </c>
      <c r="M747" s="3">
        <f>IF(Table1[[#This Row],[Cancellation Status]]&lt;&gt;"Yes",1,0)</f>
        <v>1</v>
      </c>
      <c r="O747" s="30">
        <v>45969</v>
      </c>
      <c r="P747" s="3">
        <v>3</v>
      </c>
      <c r="Q747" s="3">
        <v>2</v>
      </c>
      <c r="R747" s="3">
        <v>3</v>
      </c>
      <c r="S747" s="3">
        <v>5</v>
      </c>
      <c r="T74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47" t="str">
        <f>IF(Table1[[#This Row],[Customer Rating]]&gt;=9,"Promoter",IF(Table1[[#This Row],[Customer Rating]]&gt;=7,"Passive","Detractor"))</f>
        <v>Detractor</v>
      </c>
    </row>
    <row r="748" spans="1:21" ht="14.25" customHeight="1" x14ac:dyDescent="0.3">
      <c r="A748" s="3" t="s">
        <v>783</v>
      </c>
      <c r="B748" s="3" t="s">
        <v>39</v>
      </c>
      <c r="C748" s="3" t="s">
        <v>30</v>
      </c>
      <c r="D748" s="14">
        <v>45939</v>
      </c>
      <c r="E748" s="11">
        <f>1</f>
        <v>1</v>
      </c>
      <c r="F748" s="14">
        <v>45942</v>
      </c>
      <c r="G748" s="11">
        <f>IF(Table1[[#This Row],[Pre-Booking Date]]&lt;&gt;"",1,0)</f>
        <v>1</v>
      </c>
      <c r="H748" s="4">
        <v>45945</v>
      </c>
      <c r="I748" s="11">
        <f>IF(Table1[[#This Row],[Booking Date]]&lt;&gt;"",1,0)</f>
        <v>1</v>
      </c>
      <c r="J748" s="30">
        <v>45949</v>
      </c>
      <c r="K748" s="11">
        <f>IF(Table1[[#This Row],[Delivery Date]]&lt;&gt;"",1,0)</f>
        <v>1</v>
      </c>
      <c r="L748" s="3" t="s">
        <v>2</v>
      </c>
      <c r="M748" s="3">
        <f>IF(Table1[[#This Row],[Cancellation Status]]&lt;&gt;"Yes",1,0)</f>
        <v>1</v>
      </c>
      <c r="O748" s="30">
        <v>45959</v>
      </c>
      <c r="P748" s="3">
        <v>3</v>
      </c>
      <c r="Q748" s="3">
        <v>3</v>
      </c>
      <c r="R748" s="3">
        <v>4</v>
      </c>
      <c r="S748" s="3">
        <v>0</v>
      </c>
      <c r="T74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48" t="str">
        <f>IF(Table1[[#This Row],[Customer Rating]]&gt;=9,"Promoter",IF(Table1[[#This Row],[Customer Rating]]&gt;=7,"Passive","Detractor"))</f>
        <v>Detractor</v>
      </c>
    </row>
    <row r="749" spans="1:21" ht="14.25" customHeight="1" x14ac:dyDescent="0.3">
      <c r="A749" s="3" t="s">
        <v>784</v>
      </c>
      <c r="B749" s="3" t="s">
        <v>32</v>
      </c>
      <c r="C749" s="3" t="s">
        <v>33</v>
      </c>
      <c r="D749" s="14">
        <v>45939</v>
      </c>
      <c r="E749" s="11">
        <f>1</f>
        <v>1</v>
      </c>
      <c r="G749" s="12">
        <f>IF(Table1[[#This Row],[Pre-Booking Date]]&lt;&gt;"",1,0)</f>
        <v>0</v>
      </c>
      <c r="I749" s="12">
        <f>IF(Table1[[#This Row],[Booking Date]]&lt;&gt;"",1,0)</f>
        <v>0</v>
      </c>
      <c r="K749" s="12">
        <f>IF(Table1[[#This Row],[Delivery Date]]&lt;&gt;"",1,0)</f>
        <v>0</v>
      </c>
      <c r="L749" s="3" t="s">
        <v>3</v>
      </c>
      <c r="M749" s="3">
        <f>IF(Table1[[#This Row],[Cancellation Status]]&lt;&gt;"Yes",1,0)</f>
        <v>0</v>
      </c>
      <c r="N749" s="3" t="s">
        <v>34</v>
      </c>
      <c r="T74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49" t="str">
        <f>IF(Table1[[#This Row],[Customer Rating]]&gt;=9,"Promoter",IF(Table1[[#This Row],[Customer Rating]]&gt;=7,"Passive","Detractor"))</f>
        <v>Detractor</v>
      </c>
    </row>
    <row r="750" spans="1:21" ht="14.25" customHeight="1" x14ac:dyDescent="0.3">
      <c r="A750" s="3" t="s">
        <v>785</v>
      </c>
      <c r="B750" s="3" t="s">
        <v>29</v>
      </c>
      <c r="C750" s="3" t="s">
        <v>27</v>
      </c>
      <c r="D750" s="14">
        <v>45939</v>
      </c>
      <c r="E750" s="11">
        <f>1</f>
        <v>1</v>
      </c>
      <c r="F750" s="14">
        <v>45942</v>
      </c>
      <c r="G750" s="11">
        <f>IF(Table1[[#This Row],[Pre-Booking Date]]&lt;&gt;"",1,0)</f>
        <v>1</v>
      </c>
      <c r="H750" s="4">
        <v>45943</v>
      </c>
      <c r="I750" s="11">
        <f>IF(Table1[[#This Row],[Booking Date]]&lt;&gt;"",1,0)</f>
        <v>1</v>
      </c>
      <c r="J750" s="30">
        <v>45949</v>
      </c>
      <c r="K750" s="11">
        <f>IF(Table1[[#This Row],[Delivery Date]]&lt;&gt;"",1,0)</f>
        <v>1</v>
      </c>
      <c r="L750" s="3" t="s">
        <v>2</v>
      </c>
      <c r="M750" s="3">
        <f>IF(Table1[[#This Row],[Cancellation Status]]&lt;&gt;"Yes",1,0)</f>
        <v>1</v>
      </c>
      <c r="O750" s="30">
        <v>45960</v>
      </c>
      <c r="P750" s="3">
        <v>3</v>
      </c>
      <c r="Q750" s="3">
        <v>1</v>
      </c>
      <c r="R750" s="3">
        <v>6</v>
      </c>
      <c r="S750" s="3">
        <v>6</v>
      </c>
      <c r="T75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50" t="str">
        <f>IF(Table1[[#This Row],[Customer Rating]]&gt;=9,"Promoter",IF(Table1[[#This Row],[Customer Rating]]&gt;=7,"Passive","Detractor"))</f>
        <v>Detractor</v>
      </c>
    </row>
    <row r="751" spans="1:21" ht="14.25" customHeight="1" x14ac:dyDescent="0.3">
      <c r="A751" s="3" t="s">
        <v>786</v>
      </c>
      <c r="B751" s="3" t="s">
        <v>39</v>
      </c>
      <c r="C751" s="3" t="s">
        <v>27</v>
      </c>
      <c r="D751" s="14">
        <v>45939</v>
      </c>
      <c r="E751" s="11">
        <f>1</f>
        <v>1</v>
      </c>
      <c r="F751" s="14">
        <v>45943</v>
      </c>
      <c r="G751" s="11">
        <f>IF(Table1[[#This Row],[Pre-Booking Date]]&lt;&gt;"",1,0)</f>
        <v>1</v>
      </c>
      <c r="H751" s="4">
        <v>45948</v>
      </c>
      <c r="I751" s="11">
        <f>IF(Table1[[#This Row],[Booking Date]]&lt;&gt;"",1,0)</f>
        <v>1</v>
      </c>
      <c r="J751" s="30">
        <v>45950</v>
      </c>
      <c r="K751" s="11">
        <f>IF(Table1[[#This Row],[Delivery Date]]&lt;&gt;"",1,0)</f>
        <v>1</v>
      </c>
      <c r="L751" s="3" t="s">
        <v>2</v>
      </c>
      <c r="M751" s="3">
        <f>IF(Table1[[#This Row],[Cancellation Status]]&lt;&gt;"Yes",1,0)</f>
        <v>1</v>
      </c>
      <c r="O751" s="30">
        <v>45977</v>
      </c>
      <c r="P751" s="3">
        <v>4</v>
      </c>
      <c r="Q751" s="3">
        <v>5</v>
      </c>
      <c r="R751" s="3">
        <v>2</v>
      </c>
      <c r="S751" s="3">
        <v>3</v>
      </c>
      <c r="T75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51" t="str">
        <f>IF(Table1[[#This Row],[Customer Rating]]&gt;=9,"Promoter",IF(Table1[[#This Row],[Customer Rating]]&gt;=7,"Passive","Detractor"))</f>
        <v>Detractor</v>
      </c>
    </row>
    <row r="752" spans="1:21" ht="14.25" customHeight="1" x14ac:dyDescent="0.3">
      <c r="A752" s="3" t="s">
        <v>787</v>
      </c>
      <c r="B752" s="3" t="s">
        <v>26</v>
      </c>
      <c r="C752" s="3" t="s">
        <v>27</v>
      </c>
      <c r="D752" s="14">
        <v>45939</v>
      </c>
      <c r="E752" s="11">
        <f>1</f>
        <v>1</v>
      </c>
      <c r="F752" s="14">
        <v>45941</v>
      </c>
      <c r="G752" s="11">
        <f>IF(Table1[[#This Row],[Pre-Booking Date]]&lt;&gt;"",1,0)</f>
        <v>1</v>
      </c>
      <c r="H752" s="4">
        <v>45945</v>
      </c>
      <c r="I752" s="11">
        <f>IF(Table1[[#This Row],[Booking Date]]&lt;&gt;"",1,0)</f>
        <v>1</v>
      </c>
      <c r="J752" s="30">
        <v>45949</v>
      </c>
      <c r="K752" s="11">
        <f>IF(Table1[[#This Row],[Delivery Date]]&lt;&gt;"",1,0)</f>
        <v>1</v>
      </c>
      <c r="L752" s="3" t="s">
        <v>3</v>
      </c>
      <c r="M752" s="3">
        <f>IF(Table1[[#This Row],[Cancellation Status]]&lt;&gt;"Yes",1,0)</f>
        <v>0</v>
      </c>
      <c r="N752" s="3" t="s">
        <v>52</v>
      </c>
      <c r="P752" s="3">
        <v>2</v>
      </c>
      <c r="Q752" s="3">
        <v>4</v>
      </c>
      <c r="R752" s="3">
        <v>4</v>
      </c>
      <c r="T75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52" t="str">
        <f>IF(Table1[[#This Row],[Customer Rating]]&gt;=9,"Promoter",IF(Table1[[#This Row],[Customer Rating]]&gt;=7,"Passive","Detractor"))</f>
        <v>Detractor</v>
      </c>
    </row>
    <row r="753" spans="1:21" ht="14.25" customHeight="1" x14ac:dyDescent="0.3">
      <c r="A753" s="3" t="s">
        <v>788</v>
      </c>
      <c r="B753" s="3" t="s">
        <v>29</v>
      </c>
      <c r="C753" s="3" t="s">
        <v>33</v>
      </c>
      <c r="D753" s="14">
        <v>45939</v>
      </c>
      <c r="E753" s="11">
        <f>1</f>
        <v>1</v>
      </c>
      <c r="G753" s="12">
        <f>IF(Table1[[#This Row],[Pre-Booking Date]]&lt;&gt;"",1,0)</f>
        <v>0</v>
      </c>
      <c r="I753" s="12">
        <f>IF(Table1[[#This Row],[Booking Date]]&lt;&gt;"",1,0)</f>
        <v>0</v>
      </c>
      <c r="K753" s="12">
        <f>IF(Table1[[#This Row],[Delivery Date]]&lt;&gt;"",1,0)</f>
        <v>0</v>
      </c>
      <c r="L753" s="3" t="s">
        <v>3</v>
      </c>
      <c r="M753" s="3">
        <f>IF(Table1[[#This Row],[Cancellation Status]]&lt;&gt;"Yes",1,0)</f>
        <v>0</v>
      </c>
      <c r="N753" s="3" t="s">
        <v>34</v>
      </c>
      <c r="T75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53" t="str">
        <f>IF(Table1[[#This Row],[Customer Rating]]&gt;=9,"Promoter",IF(Table1[[#This Row],[Customer Rating]]&gt;=7,"Passive","Detractor"))</f>
        <v>Detractor</v>
      </c>
    </row>
    <row r="754" spans="1:21" ht="14.25" customHeight="1" x14ac:dyDescent="0.3">
      <c r="A754" s="3" t="s">
        <v>789</v>
      </c>
      <c r="B754" s="3" t="s">
        <v>39</v>
      </c>
      <c r="C754" s="3" t="s">
        <v>30</v>
      </c>
      <c r="D754" s="14">
        <v>45939</v>
      </c>
      <c r="E754" s="11">
        <f>1</f>
        <v>1</v>
      </c>
      <c r="F754" s="14">
        <v>45944</v>
      </c>
      <c r="G754" s="11">
        <f>IF(Table1[[#This Row],[Pre-Booking Date]]&lt;&gt;"",1,0)</f>
        <v>1</v>
      </c>
      <c r="H754" s="4">
        <v>45949</v>
      </c>
      <c r="I754" s="11">
        <f>IF(Table1[[#This Row],[Booking Date]]&lt;&gt;"",1,0)</f>
        <v>1</v>
      </c>
      <c r="J754" s="30">
        <v>45953</v>
      </c>
      <c r="K754" s="11">
        <f>IF(Table1[[#This Row],[Delivery Date]]&lt;&gt;"",1,0)</f>
        <v>1</v>
      </c>
      <c r="L754" s="3" t="s">
        <v>2</v>
      </c>
      <c r="M754" s="3">
        <f>IF(Table1[[#This Row],[Cancellation Status]]&lt;&gt;"Yes",1,0)</f>
        <v>1</v>
      </c>
      <c r="O754" s="30">
        <v>45981</v>
      </c>
      <c r="P754" s="3">
        <v>5</v>
      </c>
      <c r="Q754" s="3">
        <v>5</v>
      </c>
      <c r="R754" s="3">
        <v>4</v>
      </c>
      <c r="S754" s="3">
        <v>3</v>
      </c>
      <c r="T75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54" t="str">
        <f>IF(Table1[[#This Row],[Customer Rating]]&gt;=9,"Promoter",IF(Table1[[#This Row],[Customer Rating]]&gt;=7,"Passive","Detractor"))</f>
        <v>Detractor</v>
      </c>
    </row>
    <row r="755" spans="1:21" ht="14.25" customHeight="1" x14ac:dyDescent="0.3">
      <c r="A755" s="3" t="s">
        <v>790</v>
      </c>
      <c r="B755" s="3" t="s">
        <v>29</v>
      </c>
      <c r="C755" s="3" t="s">
        <v>30</v>
      </c>
      <c r="D755" s="14">
        <v>45939</v>
      </c>
      <c r="E755" s="11">
        <f>1</f>
        <v>1</v>
      </c>
      <c r="F755" s="14">
        <v>45942</v>
      </c>
      <c r="G755" s="11">
        <f>IF(Table1[[#This Row],[Pre-Booking Date]]&lt;&gt;"",1,0)</f>
        <v>1</v>
      </c>
      <c r="H755" s="4">
        <v>45943</v>
      </c>
      <c r="I755" s="11">
        <f>IF(Table1[[#This Row],[Booking Date]]&lt;&gt;"",1,0)</f>
        <v>1</v>
      </c>
      <c r="J755" s="30">
        <v>45949</v>
      </c>
      <c r="K755" s="11">
        <f>IF(Table1[[#This Row],[Delivery Date]]&lt;&gt;"",1,0)</f>
        <v>1</v>
      </c>
      <c r="L755" s="3" t="s">
        <v>2</v>
      </c>
      <c r="M755" s="3">
        <f>IF(Table1[[#This Row],[Cancellation Status]]&lt;&gt;"Yes",1,0)</f>
        <v>1</v>
      </c>
      <c r="O755" s="30">
        <v>45961</v>
      </c>
      <c r="P755" s="3">
        <v>3</v>
      </c>
      <c r="Q755" s="3">
        <v>1</v>
      </c>
      <c r="R755" s="3">
        <v>6</v>
      </c>
      <c r="S755" s="3">
        <v>8</v>
      </c>
      <c r="T75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55" t="str">
        <f>IF(Table1[[#This Row],[Customer Rating]]&gt;=9,"Promoter",IF(Table1[[#This Row],[Customer Rating]]&gt;=7,"Passive","Detractor"))</f>
        <v>Passive</v>
      </c>
    </row>
    <row r="756" spans="1:21" ht="14.25" customHeight="1" x14ac:dyDescent="0.3">
      <c r="A756" s="3" t="s">
        <v>791</v>
      </c>
      <c r="B756" s="3" t="s">
        <v>26</v>
      </c>
      <c r="C756" s="3" t="s">
        <v>33</v>
      </c>
      <c r="D756" s="14">
        <v>45939</v>
      </c>
      <c r="E756" s="11">
        <f>1</f>
        <v>1</v>
      </c>
      <c r="G756" s="12">
        <f>IF(Table1[[#This Row],[Pre-Booking Date]]&lt;&gt;"",1,0)</f>
        <v>0</v>
      </c>
      <c r="I756" s="12">
        <f>IF(Table1[[#This Row],[Booking Date]]&lt;&gt;"",1,0)</f>
        <v>0</v>
      </c>
      <c r="K756" s="12">
        <f>IF(Table1[[#This Row],[Delivery Date]]&lt;&gt;"",1,0)</f>
        <v>0</v>
      </c>
      <c r="L756" s="3" t="s">
        <v>3</v>
      </c>
      <c r="M756" s="3">
        <f>IF(Table1[[#This Row],[Cancellation Status]]&lt;&gt;"Yes",1,0)</f>
        <v>0</v>
      </c>
      <c r="N756" s="3" t="s">
        <v>37</v>
      </c>
      <c r="T75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56" t="str">
        <f>IF(Table1[[#This Row],[Customer Rating]]&gt;=9,"Promoter",IF(Table1[[#This Row],[Customer Rating]]&gt;=7,"Passive","Detractor"))</f>
        <v>Detractor</v>
      </c>
    </row>
    <row r="757" spans="1:21" ht="14.25" customHeight="1" x14ac:dyDescent="0.3">
      <c r="A757" s="3" t="s">
        <v>792</v>
      </c>
      <c r="B757" s="3" t="s">
        <v>39</v>
      </c>
      <c r="C757" s="3" t="s">
        <v>30</v>
      </c>
      <c r="D757" s="14">
        <v>45939</v>
      </c>
      <c r="E757" s="11">
        <f>1</f>
        <v>1</v>
      </c>
      <c r="F757" s="14">
        <v>45944</v>
      </c>
      <c r="G757" s="11">
        <f>IF(Table1[[#This Row],[Pre-Booking Date]]&lt;&gt;"",1,0)</f>
        <v>1</v>
      </c>
      <c r="H757" s="4">
        <v>45946</v>
      </c>
      <c r="I757" s="11">
        <f>IF(Table1[[#This Row],[Booking Date]]&lt;&gt;"",1,0)</f>
        <v>1</v>
      </c>
      <c r="J757" s="30">
        <v>45951</v>
      </c>
      <c r="K757" s="11">
        <f>IF(Table1[[#This Row],[Delivery Date]]&lt;&gt;"",1,0)</f>
        <v>1</v>
      </c>
      <c r="L757" s="3" t="s">
        <v>2</v>
      </c>
      <c r="M757" s="3">
        <f>IF(Table1[[#This Row],[Cancellation Status]]&lt;&gt;"Yes",1,0)</f>
        <v>1</v>
      </c>
      <c r="O757" s="30">
        <v>45963</v>
      </c>
      <c r="P757" s="3">
        <v>5</v>
      </c>
      <c r="Q757" s="3">
        <v>2</v>
      </c>
      <c r="R757" s="3">
        <v>5</v>
      </c>
      <c r="S757" s="3">
        <v>0</v>
      </c>
      <c r="T75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57" t="str">
        <f>IF(Table1[[#This Row],[Customer Rating]]&gt;=9,"Promoter",IF(Table1[[#This Row],[Customer Rating]]&gt;=7,"Passive","Detractor"))</f>
        <v>Detractor</v>
      </c>
    </row>
    <row r="758" spans="1:21" ht="14.25" customHeight="1" x14ac:dyDescent="0.3">
      <c r="A758" s="3" t="s">
        <v>793</v>
      </c>
      <c r="B758" s="3" t="s">
        <v>26</v>
      </c>
      <c r="C758" s="3" t="s">
        <v>30</v>
      </c>
      <c r="D758" s="14">
        <v>45939</v>
      </c>
      <c r="E758" s="11">
        <f>1</f>
        <v>1</v>
      </c>
      <c r="F758" s="14">
        <v>45944</v>
      </c>
      <c r="G758" s="11">
        <f>IF(Table1[[#This Row],[Pre-Booking Date]]&lt;&gt;"",1,0)</f>
        <v>1</v>
      </c>
      <c r="H758" s="4">
        <v>45948</v>
      </c>
      <c r="I758" s="11">
        <f>IF(Table1[[#This Row],[Booking Date]]&lt;&gt;"",1,0)</f>
        <v>1</v>
      </c>
      <c r="J758" s="30">
        <v>45951</v>
      </c>
      <c r="K758" s="11">
        <f>IF(Table1[[#This Row],[Delivery Date]]&lt;&gt;"",1,0)</f>
        <v>1</v>
      </c>
      <c r="L758" s="3" t="s">
        <v>2</v>
      </c>
      <c r="M758" s="3">
        <f>IF(Table1[[#This Row],[Cancellation Status]]&lt;&gt;"Yes",1,0)</f>
        <v>1</v>
      </c>
      <c r="O758" s="30">
        <v>45973</v>
      </c>
      <c r="P758" s="3">
        <v>5</v>
      </c>
      <c r="Q758" s="3">
        <v>4</v>
      </c>
      <c r="R758" s="3">
        <v>3</v>
      </c>
      <c r="S758" s="3">
        <v>8</v>
      </c>
      <c r="T75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58" t="str">
        <f>IF(Table1[[#This Row],[Customer Rating]]&gt;=9,"Promoter",IF(Table1[[#This Row],[Customer Rating]]&gt;=7,"Passive","Detractor"))</f>
        <v>Passive</v>
      </c>
    </row>
    <row r="759" spans="1:21" ht="14.25" customHeight="1" x14ac:dyDescent="0.3">
      <c r="A759" s="3" t="s">
        <v>794</v>
      </c>
      <c r="B759" s="3" t="s">
        <v>32</v>
      </c>
      <c r="C759" s="3" t="s">
        <v>27</v>
      </c>
      <c r="D759" s="14">
        <v>45939</v>
      </c>
      <c r="E759" s="11">
        <f>1</f>
        <v>1</v>
      </c>
      <c r="F759" s="14">
        <v>45943</v>
      </c>
      <c r="G759" s="11">
        <f>IF(Table1[[#This Row],[Pre-Booking Date]]&lt;&gt;"",1,0)</f>
        <v>1</v>
      </c>
      <c r="H759" s="4">
        <v>45946</v>
      </c>
      <c r="I759" s="11">
        <f>IF(Table1[[#This Row],[Booking Date]]&lt;&gt;"",1,0)</f>
        <v>1</v>
      </c>
      <c r="J759" s="30">
        <v>45949</v>
      </c>
      <c r="K759" s="11">
        <f>IF(Table1[[#This Row],[Delivery Date]]&lt;&gt;"",1,0)</f>
        <v>1</v>
      </c>
      <c r="L759" s="3" t="s">
        <v>2</v>
      </c>
      <c r="M759" s="3">
        <f>IF(Table1[[#This Row],[Cancellation Status]]&lt;&gt;"Yes",1,0)</f>
        <v>1</v>
      </c>
      <c r="O759" s="30">
        <v>45967</v>
      </c>
      <c r="P759" s="3">
        <v>4</v>
      </c>
      <c r="Q759" s="3">
        <v>3</v>
      </c>
      <c r="R759" s="3">
        <v>3</v>
      </c>
      <c r="S759" s="3">
        <v>2</v>
      </c>
      <c r="T75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59" t="str">
        <f>IF(Table1[[#This Row],[Customer Rating]]&gt;=9,"Promoter",IF(Table1[[#This Row],[Customer Rating]]&gt;=7,"Passive","Detractor"))</f>
        <v>Detractor</v>
      </c>
    </row>
    <row r="760" spans="1:21" ht="14.25" customHeight="1" x14ac:dyDescent="0.3">
      <c r="A760" s="3" t="s">
        <v>795</v>
      </c>
      <c r="B760" s="3" t="s">
        <v>32</v>
      </c>
      <c r="C760" s="3" t="s">
        <v>27</v>
      </c>
      <c r="D760" s="14">
        <v>45939</v>
      </c>
      <c r="E760" s="11">
        <f>1</f>
        <v>1</v>
      </c>
      <c r="F760" s="14">
        <v>45941</v>
      </c>
      <c r="G760" s="11">
        <f>IF(Table1[[#This Row],[Pre-Booking Date]]&lt;&gt;"",1,0)</f>
        <v>1</v>
      </c>
      <c r="H760" s="4">
        <v>45943</v>
      </c>
      <c r="I760" s="11">
        <f>IF(Table1[[#This Row],[Booking Date]]&lt;&gt;"",1,0)</f>
        <v>1</v>
      </c>
      <c r="J760" s="30">
        <v>45946</v>
      </c>
      <c r="K760" s="11">
        <f>IF(Table1[[#This Row],[Delivery Date]]&lt;&gt;"",1,0)</f>
        <v>1</v>
      </c>
      <c r="L760" s="3" t="s">
        <v>2</v>
      </c>
      <c r="M760" s="3">
        <f>IF(Table1[[#This Row],[Cancellation Status]]&lt;&gt;"Yes",1,0)</f>
        <v>1</v>
      </c>
      <c r="O760" s="30">
        <v>45959</v>
      </c>
      <c r="P760" s="3">
        <v>2</v>
      </c>
      <c r="Q760" s="3">
        <v>2</v>
      </c>
      <c r="R760" s="3">
        <v>3</v>
      </c>
      <c r="S760" s="3">
        <v>1</v>
      </c>
      <c r="T76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60" t="str">
        <f>IF(Table1[[#This Row],[Customer Rating]]&gt;=9,"Promoter",IF(Table1[[#This Row],[Customer Rating]]&gt;=7,"Passive","Detractor"))</f>
        <v>Detractor</v>
      </c>
    </row>
    <row r="761" spans="1:21" ht="14.25" customHeight="1" x14ac:dyDescent="0.3">
      <c r="A761" s="3" t="s">
        <v>796</v>
      </c>
      <c r="B761" s="3" t="s">
        <v>39</v>
      </c>
      <c r="C761" s="3" t="s">
        <v>30</v>
      </c>
      <c r="D761" s="14">
        <v>45939</v>
      </c>
      <c r="E761" s="11">
        <f>1</f>
        <v>1</v>
      </c>
      <c r="F761" s="14">
        <v>45943</v>
      </c>
      <c r="G761" s="11">
        <f>IF(Table1[[#This Row],[Pre-Booking Date]]&lt;&gt;"",1,0)</f>
        <v>1</v>
      </c>
      <c r="H761" s="4">
        <v>45945</v>
      </c>
      <c r="I761" s="11">
        <f>IF(Table1[[#This Row],[Booking Date]]&lt;&gt;"",1,0)</f>
        <v>1</v>
      </c>
      <c r="J761" s="30">
        <v>45948</v>
      </c>
      <c r="K761" s="11">
        <f>IF(Table1[[#This Row],[Delivery Date]]&lt;&gt;"",1,0)</f>
        <v>1</v>
      </c>
      <c r="L761" s="3" t="s">
        <v>2</v>
      </c>
      <c r="M761" s="3">
        <f>IF(Table1[[#This Row],[Cancellation Status]]&lt;&gt;"Yes",1,0)</f>
        <v>1</v>
      </c>
      <c r="O761" s="30">
        <v>45976</v>
      </c>
      <c r="P761" s="3">
        <v>4</v>
      </c>
      <c r="Q761" s="3">
        <v>2</v>
      </c>
      <c r="R761" s="3">
        <v>3</v>
      </c>
      <c r="S761" s="3">
        <v>9</v>
      </c>
      <c r="T76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61" t="str">
        <f>IF(Table1[[#This Row],[Customer Rating]]&gt;=9,"Promoter",IF(Table1[[#This Row],[Customer Rating]]&gt;=7,"Passive","Detractor"))</f>
        <v>Promoter</v>
      </c>
    </row>
    <row r="762" spans="1:21" ht="14.25" customHeight="1" x14ac:dyDescent="0.3">
      <c r="A762" s="3" t="s">
        <v>797</v>
      </c>
      <c r="B762" s="3" t="s">
        <v>26</v>
      </c>
      <c r="C762" s="3" t="s">
        <v>30</v>
      </c>
      <c r="D762" s="14">
        <v>45939</v>
      </c>
      <c r="E762" s="11">
        <f>1</f>
        <v>1</v>
      </c>
      <c r="F762" s="14">
        <v>45940</v>
      </c>
      <c r="G762" s="11">
        <f>IF(Table1[[#This Row],[Pre-Booking Date]]&lt;&gt;"",1,0)</f>
        <v>1</v>
      </c>
      <c r="H762" s="4">
        <v>45945</v>
      </c>
      <c r="I762" s="11">
        <f>IF(Table1[[#This Row],[Booking Date]]&lt;&gt;"",1,0)</f>
        <v>1</v>
      </c>
      <c r="J762" s="30">
        <v>45950</v>
      </c>
      <c r="K762" s="11">
        <f>IF(Table1[[#This Row],[Delivery Date]]&lt;&gt;"",1,0)</f>
        <v>1</v>
      </c>
      <c r="L762" s="3" t="s">
        <v>2</v>
      </c>
      <c r="M762" s="3">
        <f>IF(Table1[[#This Row],[Cancellation Status]]&lt;&gt;"Yes",1,0)</f>
        <v>1</v>
      </c>
      <c r="O762" s="30">
        <v>45965</v>
      </c>
      <c r="P762" s="3">
        <v>1</v>
      </c>
      <c r="Q762" s="3">
        <v>5</v>
      </c>
      <c r="R762" s="3">
        <v>5</v>
      </c>
      <c r="S762" s="3">
        <v>6</v>
      </c>
      <c r="T76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62" t="str">
        <f>IF(Table1[[#This Row],[Customer Rating]]&gt;=9,"Promoter",IF(Table1[[#This Row],[Customer Rating]]&gt;=7,"Passive","Detractor"))</f>
        <v>Detractor</v>
      </c>
    </row>
    <row r="763" spans="1:21" ht="14.25" customHeight="1" x14ac:dyDescent="0.3">
      <c r="A763" s="3" t="s">
        <v>798</v>
      </c>
      <c r="B763" s="3" t="s">
        <v>32</v>
      </c>
      <c r="C763" s="3" t="s">
        <v>33</v>
      </c>
      <c r="D763" s="14">
        <v>45939</v>
      </c>
      <c r="E763" s="11">
        <f>1</f>
        <v>1</v>
      </c>
      <c r="G763" s="12">
        <f>IF(Table1[[#This Row],[Pre-Booking Date]]&lt;&gt;"",1,0)</f>
        <v>0</v>
      </c>
      <c r="I763" s="12">
        <f>IF(Table1[[#This Row],[Booking Date]]&lt;&gt;"",1,0)</f>
        <v>0</v>
      </c>
      <c r="K763" s="12">
        <f>IF(Table1[[#This Row],[Delivery Date]]&lt;&gt;"",1,0)</f>
        <v>0</v>
      </c>
      <c r="L763" s="3" t="s">
        <v>3</v>
      </c>
      <c r="M763" s="3">
        <f>IF(Table1[[#This Row],[Cancellation Status]]&lt;&gt;"Yes",1,0)</f>
        <v>0</v>
      </c>
      <c r="N763" s="3" t="s">
        <v>37</v>
      </c>
      <c r="T76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63" t="str">
        <f>IF(Table1[[#This Row],[Customer Rating]]&gt;=9,"Promoter",IF(Table1[[#This Row],[Customer Rating]]&gt;=7,"Passive","Detractor"))</f>
        <v>Detractor</v>
      </c>
    </row>
    <row r="764" spans="1:21" ht="14.25" customHeight="1" x14ac:dyDescent="0.3">
      <c r="A764" s="3" t="s">
        <v>799</v>
      </c>
      <c r="B764" s="3" t="s">
        <v>29</v>
      </c>
      <c r="C764" s="3" t="s">
        <v>27</v>
      </c>
      <c r="D764" s="14">
        <v>45938</v>
      </c>
      <c r="E764" s="11">
        <f>1</f>
        <v>1</v>
      </c>
      <c r="F764" s="14">
        <v>45943</v>
      </c>
      <c r="G764" s="11">
        <f>IF(Table1[[#This Row],[Pre-Booking Date]]&lt;&gt;"",1,0)</f>
        <v>1</v>
      </c>
      <c r="H764" s="4">
        <v>45946</v>
      </c>
      <c r="I764" s="11">
        <f>IF(Table1[[#This Row],[Booking Date]]&lt;&gt;"",1,0)</f>
        <v>1</v>
      </c>
      <c r="J764" s="30">
        <v>45953</v>
      </c>
      <c r="K764" s="11">
        <f>IF(Table1[[#This Row],[Delivery Date]]&lt;&gt;"",1,0)</f>
        <v>1</v>
      </c>
      <c r="L764" s="3" t="s">
        <v>2</v>
      </c>
      <c r="M764" s="3">
        <f>IF(Table1[[#This Row],[Cancellation Status]]&lt;&gt;"Yes",1,0)</f>
        <v>1</v>
      </c>
      <c r="O764" s="30">
        <v>45965</v>
      </c>
      <c r="P764" s="3">
        <v>5</v>
      </c>
      <c r="Q764" s="3">
        <v>3</v>
      </c>
      <c r="R764" s="3">
        <v>7</v>
      </c>
      <c r="S764" s="3">
        <v>9</v>
      </c>
      <c r="T76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64" t="str">
        <f>IF(Table1[[#This Row],[Customer Rating]]&gt;=9,"Promoter",IF(Table1[[#This Row],[Customer Rating]]&gt;=7,"Passive","Detractor"))</f>
        <v>Promoter</v>
      </c>
    </row>
    <row r="765" spans="1:21" ht="14.25" customHeight="1" x14ac:dyDescent="0.3">
      <c r="A765" s="3" t="s">
        <v>800</v>
      </c>
      <c r="B765" s="3" t="s">
        <v>39</v>
      </c>
      <c r="C765" s="3" t="s">
        <v>30</v>
      </c>
      <c r="D765" s="14">
        <v>45938</v>
      </c>
      <c r="E765" s="11">
        <f>1</f>
        <v>1</v>
      </c>
      <c r="F765" s="14">
        <v>45943</v>
      </c>
      <c r="G765" s="11">
        <f>IF(Table1[[#This Row],[Pre-Booking Date]]&lt;&gt;"",1,0)</f>
        <v>1</v>
      </c>
      <c r="H765" s="4">
        <v>45947</v>
      </c>
      <c r="I765" s="11">
        <f>IF(Table1[[#This Row],[Booking Date]]&lt;&gt;"",1,0)</f>
        <v>1</v>
      </c>
      <c r="J765" s="30">
        <v>45953</v>
      </c>
      <c r="K765" s="11">
        <f>IF(Table1[[#This Row],[Delivery Date]]&lt;&gt;"",1,0)</f>
        <v>1</v>
      </c>
      <c r="L765" s="3" t="s">
        <v>2</v>
      </c>
      <c r="M765" s="3">
        <f>IF(Table1[[#This Row],[Cancellation Status]]&lt;&gt;"Yes",1,0)</f>
        <v>1</v>
      </c>
      <c r="O765" s="30">
        <v>45966</v>
      </c>
      <c r="P765" s="3">
        <v>5</v>
      </c>
      <c r="Q765" s="3">
        <v>4</v>
      </c>
      <c r="R765" s="3">
        <v>6</v>
      </c>
      <c r="S765" s="3">
        <v>3</v>
      </c>
      <c r="T76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65" t="str">
        <f>IF(Table1[[#This Row],[Customer Rating]]&gt;=9,"Promoter",IF(Table1[[#This Row],[Customer Rating]]&gt;=7,"Passive","Detractor"))</f>
        <v>Detractor</v>
      </c>
    </row>
    <row r="766" spans="1:21" ht="14.25" customHeight="1" x14ac:dyDescent="0.3">
      <c r="A766" s="3" t="s">
        <v>801</v>
      </c>
      <c r="B766" s="3" t="s">
        <v>39</v>
      </c>
      <c r="C766" s="3" t="s">
        <v>27</v>
      </c>
      <c r="D766" s="14">
        <v>45938</v>
      </c>
      <c r="E766" s="11">
        <f>1</f>
        <v>1</v>
      </c>
      <c r="F766" s="14">
        <v>45939</v>
      </c>
      <c r="G766" s="11">
        <f>IF(Table1[[#This Row],[Pre-Booking Date]]&lt;&gt;"",1,0)</f>
        <v>1</v>
      </c>
      <c r="H766" s="4">
        <v>45942</v>
      </c>
      <c r="I766" s="11">
        <f>IF(Table1[[#This Row],[Booking Date]]&lt;&gt;"",1,0)</f>
        <v>1</v>
      </c>
      <c r="J766" s="30">
        <v>45945</v>
      </c>
      <c r="K766" s="11">
        <f>IF(Table1[[#This Row],[Delivery Date]]&lt;&gt;"",1,0)</f>
        <v>1</v>
      </c>
      <c r="L766" s="3" t="s">
        <v>2</v>
      </c>
      <c r="M766" s="3">
        <f>IF(Table1[[#This Row],[Cancellation Status]]&lt;&gt;"Yes",1,0)</f>
        <v>1</v>
      </c>
      <c r="O766" s="30">
        <v>45973</v>
      </c>
      <c r="P766" s="3">
        <v>1</v>
      </c>
      <c r="Q766" s="3">
        <v>3</v>
      </c>
      <c r="R766" s="3">
        <v>3</v>
      </c>
      <c r="S766" s="3">
        <v>8</v>
      </c>
      <c r="T76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66" t="str">
        <f>IF(Table1[[#This Row],[Customer Rating]]&gt;=9,"Promoter",IF(Table1[[#This Row],[Customer Rating]]&gt;=7,"Passive","Detractor"))</f>
        <v>Passive</v>
      </c>
    </row>
    <row r="767" spans="1:21" ht="14.25" customHeight="1" x14ac:dyDescent="0.3">
      <c r="A767" s="3" t="s">
        <v>802</v>
      </c>
      <c r="B767" s="3" t="s">
        <v>26</v>
      </c>
      <c r="C767" s="3" t="s">
        <v>27</v>
      </c>
      <c r="D767" s="14">
        <v>45938</v>
      </c>
      <c r="E767" s="11">
        <f>1</f>
        <v>1</v>
      </c>
      <c r="F767" s="14">
        <v>45940</v>
      </c>
      <c r="G767" s="11">
        <f>IF(Table1[[#This Row],[Pre-Booking Date]]&lt;&gt;"",1,0)</f>
        <v>1</v>
      </c>
      <c r="H767" s="4">
        <v>45943</v>
      </c>
      <c r="I767" s="11">
        <f>IF(Table1[[#This Row],[Booking Date]]&lt;&gt;"",1,0)</f>
        <v>1</v>
      </c>
      <c r="J767" s="30">
        <v>45948</v>
      </c>
      <c r="K767" s="11">
        <f>IF(Table1[[#This Row],[Delivery Date]]&lt;&gt;"",1,0)</f>
        <v>1</v>
      </c>
      <c r="L767" s="3" t="s">
        <v>2</v>
      </c>
      <c r="M767" s="3">
        <f>IF(Table1[[#This Row],[Cancellation Status]]&lt;&gt;"Yes",1,0)</f>
        <v>1</v>
      </c>
      <c r="O767" s="30">
        <v>45959</v>
      </c>
      <c r="P767" s="3">
        <v>2</v>
      </c>
      <c r="Q767" s="3">
        <v>3</v>
      </c>
      <c r="R767" s="3">
        <v>5</v>
      </c>
      <c r="S767" s="3">
        <v>5</v>
      </c>
      <c r="T76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67" t="str">
        <f>IF(Table1[[#This Row],[Customer Rating]]&gt;=9,"Promoter",IF(Table1[[#This Row],[Customer Rating]]&gt;=7,"Passive","Detractor"))</f>
        <v>Detractor</v>
      </c>
    </row>
    <row r="768" spans="1:21" ht="14.25" customHeight="1" x14ac:dyDescent="0.3">
      <c r="A768" s="3" t="s">
        <v>803</v>
      </c>
      <c r="B768" s="3" t="s">
        <v>32</v>
      </c>
      <c r="C768" s="3" t="s">
        <v>33</v>
      </c>
      <c r="D768" s="14">
        <v>45938</v>
      </c>
      <c r="E768" s="11">
        <f>1</f>
        <v>1</v>
      </c>
      <c r="G768" s="12">
        <f>IF(Table1[[#This Row],[Pre-Booking Date]]&lt;&gt;"",1,0)</f>
        <v>0</v>
      </c>
      <c r="I768" s="12">
        <f>IF(Table1[[#This Row],[Booking Date]]&lt;&gt;"",1,0)</f>
        <v>0</v>
      </c>
      <c r="K768" s="12">
        <f>IF(Table1[[#This Row],[Delivery Date]]&lt;&gt;"",1,0)</f>
        <v>0</v>
      </c>
      <c r="L768" s="3" t="s">
        <v>3</v>
      </c>
      <c r="M768" s="3">
        <f>IF(Table1[[#This Row],[Cancellation Status]]&lt;&gt;"Yes",1,0)</f>
        <v>0</v>
      </c>
      <c r="N768" s="3" t="s">
        <v>37</v>
      </c>
      <c r="T76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68" t="str">
        <f>IF(Table1[[#This Row],[Customer Rating]]&gt;=9,"Promoter",IF(Table1[[#This Row],[Customer Rating]]&gt;=7,"Passive","Detractor"))</f>
        <v>Detractor</v>
      </c>
    </row>
    <row r="769" spans="1:21" ht="14.25" customHeight="1" x14ac:dyDescent="0.3">
      <c r="A769" s="3" t="s">
        <v>804</v>
      </c>
      <c r="B769" s="3" t="s">
        <v>32</v>
      </c>
      <c r="C769" s="3" t="s">
        <v>30</v>
      </c>
      <c r="D769" s="14">
        <v>45938</v>
      </c>
      <c r="E769" s="11">
        <f>1</f>
        <v>1</v>
      </c>
      <c r="F769" s="14">
        <v>45942</v>
      </c>
      <c r="G769" s="11">
        <f>IF(Table1[[#This Row],[Pre-Booking Date]]&lt;&gt;"",1,0)</f>
        <v>1</v>
      </c>
      <c r="H769" s="4">
        <v>45945</v>
      </c>
      <c r="I769" s="11">
        <f>IF(Table1[[#This Row],[Booking Date]]&lt;&gt;"",1,0)</f>
        <v>1</v>
      </c>
      <c r="J769" s="30">
        <v>45952</v>
      </c>
      <c r="K769" s="11">
        <f>IF(Table1[[#This Row],[Delivery Date]]&lt;&gt;"",1,0)</f>
        <v>1</v>
      </c>
      <c r="L769" s="3" t="s">
        <v>3</v>
      </c>
      <c r="M769" s="3">
        <f>IF(Table1[[#This Row],[Cancellation Status]]&lt;&gt;"Yes",1,0)</f>
        <v>0</v>
      </c>
      <c r="N769" s="3" t="s">
        <v>37</v>
      </c>
      <c r="P769" s="3">
        <v>4</v>
      </c>
      <c r="Q769" s="3">
        <v>3</v>
      </c>
      <c r="R769" s="3">
        <v>7</v>
      </c>
      <c r="T76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69" t="str">
        <f>IF(Table1[[#This Row],[Customer Rating]]&gt;=9,"Promoter",IF(Table1[[#This Row],[Customer Rating]]&gt;=7,"Passive","Detractor"))</f>
        <v>Detractor</v>
      </c>
    </row>
    <row r="770" spans="1:21" ht="14.25" customHeight="1" x14ac:dyDescent="0.3">
      <c r="A770" s="3" t="s">
        <v>805</v>
      </c>
      <c r="B770" s="3" t="s">
        <v>39</v>
      </c>
      <c r="C770" s="3" t="s">
        <v>30</v>
      </c>
      <c r="D770" s="14">
        <v>45938</v>
      </c>
      <c r="E770" s="11">
        <f>1</f>
        <v>1</v>
      </c>
      <c r="F770" s="14">
        <v>45939</v>
      </c>
      <c r="G770" s="11">
        <f>IF(Table1[[#This Row],[Pre-Booking Date]]&lt;&gt;"",1,0)</f>
        <v>1</v>
      </c>
      <c r="H770" s="4">
        <v>45943</v>
      </c>
      <c r="I770" s="11">
        <f>IF(Table1[[#This Row],[Booking Date]]&lt;&gt;"",1,0)</f>
        <v>1</v>
      </c>
      <c r="J770" s="30">
        <v>45947</v>
      </c>
      <c r="K770" s="11">
        <f>IF(Table1[[#This Row],[Delivery Date]]&lt;&gt;"",1,0)</f>
        <v>1</v>
      </c>
      <c r="L770" s="3" t="s">
        <v>2</v>
      </c>
      <c r="M770" s="3">
        <f>IF(Table1[[#This Row],[Cancellation Status]]&lt;&gt;"Yes",1,0)</f>
        <v>1</v>
      </c>
      <c r="O770" s="30">
        <v>45971</v>
      </c>
      <c r="P770" s="3">
        <v>1</v>
      </c>
      <c r="Q770" s="3">
        <v>4</v>
      </c>
      <c r="R770" s="3">
        <v>4</v>
      </c>
      <c r="S770" s="3">
        <v>8</v>
      </c>
      <c r="T77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70" t="str">
        <f>IF(Table1[[#This Row],[Customer Rating]]&gt;=9,"Promoter",IF(Table1[[#This Row],[Customer Rating]]&gt;=7,"Passive","Detractor"))</f>
        <v>Passive</v>
      </c>
    </row>
    <row r="771" spans="1:21" ht="14.25" customHeight="1" x14ac:dyDescent="0.3">
      <c r="A771" s="3" t="s">
        <v>806</v>
      </c>
      <c r="B771" s="3" t="s">
        <v>32</v>
      </c>
      <c r="C771" s="3" t="s">
        <v>30</v>
      </c>
      <c r="D771" s="14">
        <v>45938</v>
      </c>
      <c r="E771" s="11">
        <f>1</f>
        <v>1</v>
      </c>
      <c r="F771" s="14">
        <v>45942</v>
      </c>
      <c r="G771" s="11">
        <f>IF(Table1[[#This Row],[Pre-Booking Date]]&lt;&gt;"",1,0)</f>
        <v>1</v>
      </c>
      <c r="H771" s="4">
        <v>45943</v>
      </c>
      <c r="I771" s="11">
        <f>IF(Table1[[#This Row],[Booking Date]]&lt;&gt;"",1,0)</f>
        <v>1</v>
      </c>
      <c r="J771" s="30">
        <v>45945</v>
      </c>
      <c r="K771" s="11">
        <f>IF(Table1[[#This Row],[Delivery Date]]&lt;&gt;"",1,0)</f>
        <v>1</v>
      </c>
      <c r="L771" s="3" t="s">
        <v>2</v>
      </c>
      <c r="M771" s="3">
        <f>IF(Table1[[#This Row],[Cancellation Status]]&lt;&gt;"Yes",1,0)</f>
        <v>1</v>
      </c>
      <c r="O771" s="30">
        <v>45967</v>
      </c>
      <c r="P771" s="3">
        <v>4</v>
      </c>
      <c r="Q771" s="3">
        <v>1</v>
      </c>
      <c r="R771" s="3">
        <v>2</v>
      </c>
      <c r="S771" s="3">
        <v>4</v>
      </c>
      <c r="T77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71" t="str">
        <f>IF(Table1[[#This Row],[Customer Rating]]&gt;=9,"Promoter",IF(Table1[[#This Row],[Customer Rating]]&gt;=7,"Passive","Detractor"))</f>
        <v>Detractor</v>
      </c>
    </row>
    <row r="772" spans="1:21" ht="14.25" customHeight="1" x14ac:dyDescent="0.3">
      <c r="A772" s="3" t="s">
        <v>807</v>
      </c>
      <c r="B772" s="3" t="s">
        <v>29</v>
      </c>
      <c r="C772" s="3" t="s">
        <v>27</v>
      </c>
      <c r="D772" s="14">
        <v>45938</v>
      </c>
      <c r="E772" s="11">
        <f>1</f>
        <v>1</v>
      </c>
      <c r="F772" s="14">
        <v>45939</v>
      </c>
      <c r="G772" s="11">
        <f>IF(Table1[[#This Row],[Pre-Booking Date]]&lt;&gt;"",1,0)</f>
        <v>1</v>
      </c>
      <c r="H772" s="4">
        <v>45941</v>
      </c>
      <c r="I772" s="11">
        <f>IF(Table1[[#This Row],[Booking Date]]&lt;&gt;"",1,0)</f>
        <v>1</v>
      </c>
      <c r="J772" s="30">
        <v>45944</v>
      </c>
      <c r="K772" s="11">
        <f>IF(Table1[[#This Row],[Delivery Date]]&lt;&gt;"",1,0)</f>
        <v>1</v>
      </c>
      <c r="L772" s="3" t="s">
        <v>2</v>
      </c>
      <c r="M772" s="3">
        <f>IF(Table1[[#This Row],[Cancellation Status]]&lt;&gt;"Yes",1,0)</f>
        <v>1</v>
      </c>
      <c r="O772" s="30">
        <v>45964</v>
      </c>
      <c r="P772" s="3">
        <v>1</v>
      </c>
      <c r="Q772" s="3">
        <v>2</v>
      </c>
      <c r="R772" s="3">
        <v>3</v>
      </c>
      <c r="S772" s="3">
        <v>9</v>
      </c>
      <c r="T77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72" t="str">
        <f>IF(Table1[[#This Row],[Customer Rating]]&gt;=9,"Promoter",IF(Table1[[#This Row],[Customer Rating]]&gt;=7,"Passive","Detractor"))</f>
        <v>Promoter</v>
      </c>
    </row>
    <row r="773" spans="1:21" ht="14.25" customHeight="1" x14ac:dyDescent="0.3">
      <c r="A773" s="3" t="s">
        <v>808</v>
      </c>
      <c r="B773" s="3" t="s">
        <v>29</v>
      </c>
      <c r="C773" s="3" t="s">
        <v>33</v>
      </c>
      <c r="D773" s="14">
        <v>45938</v>
      </c>
      <c r="E773" s="11">
        <f>1</f>
        <v>1</v>
      </c>
      <c r="G773" s="12">
        <f>IF(Table1[[#This Row],[Pre-Booking Date]]&lt;&gt;"",1,0)</f>
        <v>0</v>
      </c>
      <c r="I773" s="12">
        <f>IF(Table1[[#This Row],[Booking Date]]&lt;&gt;"",1,0)</f>
        <v>0</v>
      </c>
      <c r="K773" s="12">
        <f>IF(Table1[[#This Row],[Delivery Date]]&lt;&gt;"",1,0)</f>
        <v>0</v>
      </c>
      <c r="L773" s="3" t="s">
        <v>3</v>
      </c>
      <c r="M773" s="3">
        <f>IF(Table1[[#This Row],[Cancellation Status]]&lt;&gt;"Yes",1,0)</f>
        <v>0</v>
      </c>
      <c r="N773" s="3" t="s">
        <v>37</v>
      </c>
      <c r="T77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73" t="str">
        <f>IF(Table1[[#This Row],[Customer Rating]]&gt;=9,"Promoter",IF(Table1[[#This Row],[Customer Rating]]&gt;=7,"Passive","Detractor"))</f>
        <v>Detractor</v>
      </c>
    </row>
    <row r="774" spans="1:21" ht="14.25" customHeight="1" x14ac:dyDescent="0.3">
      <c r="A774" s="3" t="s">
        <v>809</v>
      </c>
      <c r="B774" s="3" t="s">
        <v>26</v>
      </c>
      <c r="C774" s="3" t="s">
        <v>27</v>
      </c>
      <c r="D774" s="14">
        <v>45938</v>
      </c>
      <c r="E774" s="11">
        <f>1</f>
        <v>1</v>
      </c>
      <c r="F774" s="14">
        <v>45939</v>
      </c>
      <c r="G774" s="11">
        <f>IF(Table1[[#This Row],[Pre-Booking Date]]&lt;&gt;"",1,0)</f>
        <v>1</v>
      </c>
      <c r="H774" s="4">
        <v>45941</v>
      </c>
      <c r="I774" s="11">
        <f>IF(Table1[[#This Row],[Booking Date]]&lt;&gt;"",1,0)</f>
        <v>1</v>
      </c>
      <c r="J774" s="30">
        <v>45945</v>
      </c>
      <c r="K774" s="11">
        <f>IF(Table1[[#This Row],[Delivery Date]]&lt;&gt;"",1,0)</f>
        <v>1</v>
      </c>
      <c r="L774" s="3" t="s">
        <v>3</v>
      </c>
      <c r="M774" s="3">
        <f>IF(Table1[[#This Row],[Cancellation Status]]&lt;&gt;"Yes",1,0)</f>
        <v>0</v>
      </c>
      <c r="N774" s="3" t="s">
        <v>37</v>
      </c>
      <c r="P774" s="3">
        <v>1</v>
      </c>
      <c r="Q774" s="3">
        <v>2</v>
      </c>
      <c r="R774" s="3">
        <v>4</v>
      </c>
      <c r="T77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74" t="str">
        <f>IF(Table1[[#This Row],[Customer Rating]]&gt;=9,"Promoter",IF(Table1[[#This Row],[Customer Rating]]&gt;=7,"Passive","Detractor"))</f>
        <v>Detractor</v>
      </c>
    </row>
    <row r="775" spans="1:21" ht="14.25" customHeight="1" x14ac:dyDescent="0.3">
      <c r="A775" s="3" t="s">
        <v>810</v>
      </c>
      <c r="B775" s="3" t="s">
        <v>32</v>
      </c>
      <c r="C775" s="3" t="s">
        <v>27</v>
      </c>
      <c r="D775" s="14">
        <v>45938</v>
      </c>
      <c r="E775" s="11">
        <f>1</f>
        <v>1</v>
      </c>
      <c r="F775" s="14">
        <v>45940</v>
      </c>
      <c r="G775" s="11">
        <f>IF(Table1[[#This Row],[Pre-Booking Date]]&lt;&gt;"",1,0)</f>
        <v>1</v>
      </c>
      <c r="H775" s="4">
        <v>45943</v>
      </c>
      <c r="I775" s="11">
        <f>IF(Table1[[#This Row],[Booking Date]]&lt;&gt;"",1,0)</f>
        <v>1</v>
      </c>
      <c r="J775" s="30">
        <v>45950</v>
      </c>
      <c r="K775" s="11">
        <f>IF(Table1[[#This Row],[Delivery Date]]&lt;&gt;"",1,0)</f>
        <v>1</v>
      </c>
      <c r="L775" s="3" t="s">
        <v>3</v>
      </c>
      <c r="M775" s="3">
        <f>IF(Table1[[#This Row],[Cancellation Status]]&lt;&gt;"Yes",1,0)</f>
        <v>0</v>
      </c>
      <c r="N775" s="3" t="s">
        <v>42</v>
      </c>
      <c r="P775" s="3">
        <v>2</v>
      </c>
      <c r="Q775" s="3">
        <v>3</v>
      </c>
      <c r="R775" s="3">
        <v>7</v>
      </c>
      <c r="T77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75" t="str">
        <f>IF(Table1[[#This Row],[Customer Rating]]&gt;=9,"Promoter",IF(Table1[[#This Row],[Customer Rating]]&gt;=7,"Passive","Detractor"))</f>
        <v>Detractor</v>
      </c>
    </row>
    <row r="776" spans="1:21" ht="14.25" customHeight="1" x14ac:dyDescent="0.3">
      <c r="A776" s="3" t="s">
        <v>811</v>
      </c>
      <c r="B776" s="3" t="s">
        <v>26</v>
      </c>
      <c r="C776" s="3" t="s">
        <v>27</v>
      </c>
      <c r="D776" s="14">
        <v>45938</v>
      </c>
      <c r="E776" s="11">
        <f>1</f>
        <v>1</v>
      </c>
      <c r="F776" s="14">
        <v>45943</v>
      </c>
      <c r="G776" s="11">
        <f>IF(Table1[[#This Row],[Pre-Booking Date]]&lt;&gt;"",1,0)</f>
        <v>1</v>
      </c>
      <c r="H776" s="4">
        <v>45944</v>
      </c>
      <c r="I776" s="11">
        <f>IF(Table1[[#This Row],[Booking Date]]&lt;&gt;"",1,0)</f>
        <v>1</v>
      </c>
      <c r="J776" s="30">
        <v>45951</v>
      </c>
      <c r="K776" s="11">
        <f>IF(Table1[[#This Row],[Delivery Date]]&lt;&gt;"",1,0)</f>
        <v>1</v>
      </c>
      <c r="L776" s="3" t="s">
        <v>2</v>
      </c>
      <c r="M776" s="3">
        <f>IF(Table1[[#This Row],[Cancellation Status]]&lt;&gt;"Yes",1,0)</f>
        <v>1</v>
      </c>
      <c r="O776" s="30">
        <v>45976</v>
      </c>
      <c r="P776" s="3">
        <v>5</v>
      </c>
      <c r="Q776" s="3">
        <v>1</v>
      </c>
      <c r="R776" s="3">
        <v>7</v>
      </c>
      <c r="S776" s="3">
        <v>5</v>
      </c>
      <c r="T77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76" t="str">
        <f>IF(Table1[[#This Row],[Customer Rating]]&gt;=9,"Promoter",IF(Table1[[#This Row],[Customer Rating]]&gt;=7,"Passive","Detractor"))</f>
        <v>Detractor</v>
      </c>
    </row>
    <row r="777" spans="1:21" ht="14.25" customHeight="1" x14ac:dyDescent="0.3">
      <c r="A777" s="3" t="s">
        <v>812</v>
      </c>
      <c r="B777" s="3" t="s">
        <v>39</v>
      </c>
      <c r="C777" s="3" t="s">
        <v>27</v>
      </c>
      <c r="D777" s="14">
        <v>45938</v>
      </c>
      <c r="E777" s="11">
        <f>1</f>
        <v>1</v>
      </c>
      <c r="F777" s="14">
        <v>45942</v>
      </c>
      <c r="G777" s="11">
        <f>IF(Table1[[#This Row],[Pre-Booking Date]]&lt;&gt;"",1,0)</f>
        <v>1</v>
      </c>
      <c r="H777" s="4">
        <v>45947</v>
      </c>
      <c r="I777" s="11">
        <f>IF(Table1[[#This Row],[Booking Date]]&lt;&gt;"",1,0)</f>
        <v>1</v>
      </c>
      <c r="J777" s="30">
        <v>45952</v>
      </c>
      <c r="K777" s="11">
        <f>IF(Table1[[#This Row],[Delivery Date]]&lt;&gt;"",1,0)</f>
        <v>1</v>
      </c>
      <c r="L777" s="3" t="s">
        <v>2</v>
      </c>
      <c r="M777" s="3">
        <f>IF(Table1[[#This Row],[Cancellation Status]]&lt;&gt;"Yes",1,0)</f>
        <v>1</v>
      </c>
      <c r="O777" s="30">
        <v>45973</v>
      </c>
      <c r="P777" s="3">
        <v>4</v>
      </c>
      <c r="Q777" s="3">
        <v>5</v>
      </c>
      <c r="R777" s="3">
        <v>5</v>
      </c>
      <c r="S777" s="3">
        <v>6</v>
      </c>
      <c r="T77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77" t="str">
        <f>IF(Table1[[#This Row],[Customer Rating]]&gt;=9,"Promoter",IF(Table1[[#This Row],[Customer Rating]]&gt;=7,"Passive","Detractor"))</f>
        <v>Detractor</v>
      </c>
    </row>
    <row r="778" spans="1:21" ht="14.25" customHeight="1" x14ac:dyDescent="0.3">
      <c r="A778" s="3" t="s">
        <v>813</v>
      </c>
      <c r="B778" s="3" t="s">
        <v>26</v>
      </c>
      <c r="C778" s="3" t="s">
        <v>30</v>
      </c>
      <c r="D778" s="14">
        <v>45938</v>
      </c>
      <c r="E778" s="11">
        <f>1</f>
        <v>1</v>
      </c>
      <c r="F778" s="14">
        <v>45939</v>
      </c>
      <c r="G778" s="11">
        <f>IF(Table1[[#This Row],[Pre-Booking Date]]&lt;&gt;"",1,0)</f>
        <v>1</v>
      </c>
      <c r="H778" s="4">
        <v>45944</v>
      </c>
      <c r="I778" s="11">
        <f>IF(Table1[[#This Row],[Booking Date]]&lt;&gt;"",1,0)</f>
        <v>1</v>
      </c>
      <c r="J778" s="30">
        <v>45948</v>
      </c>
      <c r="K778" s="11">
        <f>IF(Table1[[#This Row],[Delivery Date]]&lt;&gt;"",1,0)</f>
        <v>1</v>
      </c>
      <c r="L778" s="3" t="s">
        <v>2</v>
      </c>
      <c r="M778" s="3">
        <f>IF(Table1[[#This Row],[Cancellation Status]]&lt;&gt;"Yes",1,0)</f>
        <v>1</v>
      </c>
      <c r="O778" s="30">
        <v>45976</v>
      </c>
      <c r="P778" s="3">
        <v>1</v>
      </c>
      <c r="Q778" s="3">
        <v>5</v>
      </c>
      <c r="R778" s="3">
        <v>4</v>
      </c>
      <c r="S778" s="3">
        <v>3</v>
      </c>
      <c r="T77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78" t="str">
        <f>IF(Table1[[#This Row],[Customer Rating]]&gt;=9,"Promoter",IF(Table1[[#This Row],[Customer Rating]]&gt;=7,"Passive","Detractor"))</f>
        <v>Detractor</v>
      </c>
    </row>
    <row r="779" spans="1:21" ht="14.25" customHeight="1" x14ac:dyDescent="0.3">
      <c r="A779" s="3" t="s">
        <v>814</v>
      </c>
      <c r="B779" s="3" t="s">
        <v>29</v>
      </c>
      <c r="C779" s="3" t="s">
        <v>27</v>
      </c>
      <c r="D779" s="14">
        <v>45938</v>
      </c>
      <c r="E779" s="11">
        <f>1</f>
        <v>1</v>
      </c>
      <c r="F779" s="14">
        <v>45940</v>
      </c>
      <c r="G779" s="11">
        <f>IF(Table1[[#This Row],[Pre-Booking Date]]&lt;&gt;"",1,0)</f>
        <v>1</v>
      </c>
      <c r="H779" s="4">
        <v>45941</v>
      </c>
      <c r="I779" s="11">
        <f>IF(Table1[[#This Row],[Booking Date]]&lt;&gt;"",1,0)</f>
        <v>1</v>
      </c>
      <c r="J779" s="30">
        <v>45947</v>
      </c>
      <c r="K779" s="11">
        <f>IF(Table1[[#This Row],[Delivery Date]]&lt;&gt;"",1,0)</f>
        <v>1</v>
      </c>
      <c r="L779" s="3" t="s">
        <v>2</v>
      </c>
      <c r="M779" s="3">
        <f>IF(Table1[[#This Row],[Cancellation Status]]&lt;&gt;"Yes",1,0)</f>
        <v>1</v>
      </c>
      <c r="O779" s="30">
        <v>45969</v>
      </c>
      <c r="P779" s="3">
        <v>2</v>
      </c>
      <c r="Q779" s="3">
        <v>1</v>
      </c>
      <c r="R779" s="3">
        <v>6</v>
      </c>
      <c r="S779" s="3">
        <v>7</v>
      </c>
      <c r="T77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79" t="str">
        <f>IF(Table1[[#This Row],[Customer Rating]]&gt;=9,"Promoter",IF(Table1[[#This Row],[Customer Rating]]&gt;=7,"Passive","Detractor"))</f>
        <v>Passive</v>
      </c>
    </row>
    <row r="780" spans="1:21" ht="14.25" customHeight="1" x14ac:dyDescent="0.3">
      <c r="A780" s="3" t="s">
        <v>815</v>
      </c>
      <c r="B780" s="3" t="s">
        <v>32</v>
      </c>
      <c r="C780" s="3" t="s">
        <v>30</v>
      </c>
      <c r="D780" s="14">
        <v>45938</v>
      </c>
      <c r="E780" s="11">
        <f>1</f>
        <v>1</v>
      </c>
      <c r="F780" s="14">
        <v>45941</v>
      </c>
      <c r="G780" s="11">
        <f>IF(Table1[[#This Row],[Pre-Booking Date]]&lt;&gt;"",1,0)</f>
        <v>1</v>
      </c>
      <c r="H780" s="4">
        <v>45942</v>
      </c>
      <c r="I780" s="11">
        <f>IF(Table1[[#This Row],[Booking Date]]&lt;&gt;"",1,0)</f>
        <v>1</v>
      </c>
      <c r="J780" s="30">
        <v>45945</v>
      </c>
      <c r="K780" s="11">
        <f>IF(Table1[[#This Row],[Delivery Date]]&lt;&gt;"",1,0)</f>
        <v>1</v>
      </c>
      <c r="L780" s="3" t="s">
        <v>3</v>
      </c>
      <c r="M780" s="3">
        <f>IF(Table1[[#This Row],[Cancellation Status]]&lt;&gt;"Yes",1,0)</f>
        <v>0</v>
      </c>
      <c r="N780" s="3" t="s">
        <v>34</v>
      </c>
      <c r="P780" s="3">
        <v>3</v>
      </c>
      <c r="Q780" s="3">
        <v>1</v>
      </c>
      <c r="R780" s="3">
        <v>3</v>
      </c>
      <c r="T78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80" t="str">
        <f>IF(Table1[[#This Row],[Customer Rating]]&gt;=9,"Promoter",IF(Table1[[#This Row],[Customer Rating]]&gt;=7,"Passive","Detractor"))</f>
        <v>Detractor</v>
      </c>
    </row>
    <row r="781" spans="1:21" ht="14.25" customHeight="1" x14ac:dyDescent="0.3">
      <c r="A781" s="3" t="s">
        <v>816</v>
      </c>
      <c r="B781" s="3" t="s">
        <v>39</v>
      </c>
      <c r="C781" s="3" t="s">
        <v>30</v>
      </c>
      <c r="D781" s="14">
        <v>45938</v>
      </c>
      <c r="E781" s="11">
        <f>1</f>
        <v>1</v>
      </c>
      <c r="F781" s="14">
        <v>45941</v>
      </c>
      <c r="G781" s="11">
        <f>IF(Table1[[#This Row],[Pre-Booking Date]]&lt;&gt;"",1,0)</f>
        <v>1</v>
      </c>
      <c r="H781" s="4">
        <v>45946</v>
      </c>
      <c r="I781" s="11">
        <f>IF(Table1[[#This Row],[Booking Date]]&lt;&gt;"",1,0)</f>
        <v>1</v>
      </c>
      <c r="J781" s="30">
        <v>45949</v>
      </c>
      <c r="K781" s="11">
        <f>IF(Table1[[#This Row],[Delivery Date]]&lt;&gt;"",1,0)</f>
        <v>1</v>
      </c>
      <c r="L781" s="3" t="s">
        <v>2</v>
      </c>
      <c r="M781" s="3">
        <f>IF(Table1[[#This Row],[Cancellation Status]]&lt;&gt;"Yes",1,0)</f>
        <v>1</v>
      </c>
      <c r="O781" s="30">
        <v>45961</v>
      </c>
      <c r="P781" s="3">
        <v>3</v>
      </c>
      <c r="Q781" s="3">
        <v>5</v>
      </c>
      <c r="R781" s="3">
        <v>3</v>
      </c>
      <c r="S781" s="3">
        <v>7</v>
      </c>
      <c r="T78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81" t="str">
        <f>IF(Table1[[#This Row],[Customer Rating]]&gt;=9,"Promoter",IF(Table1[[#This Row],[Customer Rating]]&gt;=7,"Passive","Detractor"))</f>
        <v>Passive</v>
      </c>
    </row>
    <row r="782" spans="1:21" ht="14.25" customHeight="1" x14ac:dyDescent="0.3">
      <c r="A782" s="3" t="s">
        <v>817</v>
      </c>
      <c r="B782" s="3" t="s">
        <v>39</v>
      </c>
      <c r="C782" s="3" t="s">
        <v>27</v>
      </c>
      <c r="D782" s="14">
        <v>45938</v>
      </c>
      <c r="E782" s="11">
        <f>1</f>
        <v>1</v>
      </c>
      <c r="F782" s="14">
        <v>45942</v>
      </c>
      <c r="G782" s="11">
        <f>IF(Table1[[#This Row],[Pre-Booking Date]]&lt;&gt;"",1,0)</f>
        <v>1</v>
      </c>
      <c r="H782" s="4">
        <v>45945</v>
      </c>
      <c r="I782" s="11">
        <f>IF(Table1[[#This Row],[Booking Date]]&lt;&gt;"",1,0)</f>
        <v>1</v>
      </c>
      <c r="J782" s="30">
        <v>45949</v>
      </c>
      <c r="K782" s="11">
        <f>IF(Table1[[#This Row],[Delivery Date]]&lt;&gt;"",1,0)</f>
        <v>1</v>
      </c>
      <c r="L782" s="3" t="s">
        <v>2</v>
      </c>
      <c r="M782" s="3">
        <f>IF(Table1[[#This Row],[Cancellation Status]]&lt;&gt;"Yes",1,0)</f>
        <v>1</v>
      </c>
      <c r="O782" s="30">
        <v>45973</v>
      </c>
      <c r="P782" s="3">
        <v>4</v>
      </c>
      <c r="Q782" s="3">
        <v>3</v>
      </c>
      <c r="R782" s="3">
        <v>4</v>
      </c>
      <c r="S782" s="3">
        <v>9</v>
      </c>
      <c r="T78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82" t="str">
        <f>IF(Table1[[#This Row],[Customer Rating]]&gt;=9,"Promoter",IF(Table1[[#This Row],[Customer Rating]]&gt;=7,"Passive","Detractor"))</f>
        <v>Promoter</v>
      </c>
    </row>
    <row r="783" spans="1:21" ht="14.25" customHeight="1" x14ac:dyDescent="0.3">
      <c r="A783" s="3" t="s">
        <v>818</v>
      </c>
      <c r="B783" s="3" t="s">
        <v>26</v>
      </c>
      <c r="C783" s="3" t="s">
        <v>30</v>
      </c>
      <c r="D783" s="14">
        <v>45938</v>
      </c>
      <c r="E783" s="11">
        <f>1</f>
        <v>1</v>
      </c>
      <c r="F783" s="14">
        <v>45939</v>
      </c>
      <c r="G783" s="11">
        <f>IF(Table1[[#This Row],[Pre-Booking Date]]&lt;&gt;"",1,0)</f>
        <v>1</v>
      </c>
      <c r="H783" s="4">
        <v>45941</v>
      </c>
      <c r="I783" s="11">
        <f>IF(Table1[[#This Row],[Booking Date]]&lt;&gt;"",1,0)</f>
        <v>1</v>
      </c>
      <c r="J783" s="30">
        <v>45947</v>
      </c>
      <c r="K783" s="11">
        <f>IF(Table1[[#This Row],[Delivery Date]]&lt;&gt;"",1,0)</f>
        <v>1</v>
      </c>
      <c r="L783" s="3" t="s">
        <v>2</v>
      </c>
      <c r="M783" s="3">
        <f>IF(Table1[[#This Row],[Cancellation Status]]&lt;&gt;"Yes",1,0)</f>
        <v>1</v>
      </c>
      <c r="O783" s="30">
        <v>45977</v>
      </c>
      <c r="P783" s="3">
        <v>1</v>
      </c>
      <c r="Q783" s="3">
        <v>2</v>
      </c>
      <c r="R783" s="3">
        <v>6</v>
      </c>
      <c r="S783" s="3">
        <v>2</v>
      </c>
      <c r="T78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83" t="str">
        <f>IF(Table1[[#This Row],[Customer Rating]]&gt;=9,"Promoter",IF(Table1[[#This Row],[Customer Rating]]&gt;=7,"Passive","Detractor"))</f>
        <v>Detractor</v>
      </c>
    </row>
    <row r="784" spans="1:21" ht="14.25" customHeight="1" x14ac:dyDescent="0.3">
      <c r="A784" s="3" t="s">
        <v>819</v>
      </c>
      <c r="B784" s="3" t="s">
        <v>39</v>
      </c>
      <c r="C784" s="3" t="s">
        <v>27</v>
      </c>
      <c r="D784" s="14">
        <v>45938</v>
      </c>
      <c r="E784" s="11">
        <f>1</f>
        <v>1</v>
      </c>
      <c r="F784" s="14">
        <v>45941</v>
      </c>
      <c r="G784" s="11">
        <f>IF(Table1[[#This Row],[Pre-Booking Date]]&lt;&gt;"",1,0)</f>
        <v>1</v>
      </c>
      <c r="H784" s="4">
        <v>45944</v>
      </c>
      <c r="I784" s="11">
        <f>IF(Table1[[#This Row],[Booking Date]]&lt;&gt;"",1,0)</f>
        <v>1</v>
      </c>
      <c r="J784" s="30">
        <v>45949</v>
      </c>
      <c r="K784" s="11">
        <f>IF(Table1[[#This Row],[Delivery Date]]&lt;&gt;"",1,0)</f>
        <v>1</v>
      </c>
      <c r="L784" s="3" t="s">
        <v>2</v>
      </c>
      <c r="M784" s="3">
        <f>IF(Table1[[#This Row],[Cancellation Status]]&lt;&gt;"Yes",1,0)</f>
        <v>1</v>
      </c>
      <c r="O784" s="30">
        <v>45973</v>
      </c>
      <c r="P784" s="3">
        <v>3</v>
      </c>
      <c r="Q784" s="3">
        <v>3</v>
      </c>
      <c r="R784" s="3">
        <v>5</v>
      </c>
      <c r="S784" s="3">
        <v>6</v>
      </c>
      <c r="T78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84" t="str">
        <f>IF(Table1[[#This Row],[Customer Rating]]&gt;=9,"Promoter",IF(Table1[[#This Row],[Customer Rating]]&gt;=7,"Passive","Detractor"))</f>
        <v>Detractor</v>
      </c>
    </row>
    <row r="785" spans="1:21" ht="14.25" customHeight="1" x14ac:dyDescent="0.3">
      <c r="A785" s="3" t="s">
        <v>820</v>
      </c>
      <c r="B785" s="3" t="s">
        <v>26</v>
      </c>
      <c r="C785" s="3" t="s">
        <v>30</v>
      </c>
      <c r="D785" s="14">
        <v>45938</v>
      </c>
      <c r="E785" s="11">
        <f>1</f>
        <v>1</v>
      </c>
      <c r="F785" s="14">
        <v>45939</v>
      </c>
      <c r="G785" s="11">
        <f>IF(Table1[[#This Row],[Pre-Booking Date]]&lt;&gt;"",1,0)</f>
        <v>1</v>
      </c>
      <c r="H785" s="4">
        <v>45941</v>
      </c>
      <c r="I785" s="11">
        <f>IF(Table1[[#This Row],[Booking Date]]&lt;&gt;"",1,0)</f>
        <v>1</v>
      </c>
      <c r="J785" s="30">
        <v>45947</v>
      </c>
      <c r="K785" s="11">
        <f>IF(Table1[[#This Row],[Delivery Date]]&lt;&gt;"",1,0)</f>
        <v>1</v>
      </c>
      <c r="L785" s="3" t="s">
        <v>2</v>
      </c>
      <c r="M785" s="3">
        <f>IF(Table1[[#This Row],[Cancellation Status]]&lt;&gt;"Yes",1,0)</f>
        <v>1</v>
      </c>
      <c r="O785" s="30">
        <v>45969</v>
      </c>
      <c r="P785" s="3">
        <v>1</v>
      </c>
      <c r="Q785" s="3">
        <v>2</v>
      </c>
      <c r="R785" s="3">
        <v>6</v>
      </c>
      <c r="S785" s="3">
        <v>5</v>
      </c>
      <c r="T78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85" t="str">
        <f>IF(Table1[[#This Row],[Customer Rating]]&gt;=9,"Promoter",IF(Table1[[#This Row],[Customer Rating]]&gt;=7,"Passive","Detractor"))</f>
        <v>Detractor</v>
      </c>
    </row>
    <row r="786" spans="1:21" ht="14.25" customHeight="1" x14ac:dyDescent="0.3">
      <c r="A786" s="3" t="s">
        <v>821</v>
      </c>
      <c r="B786" s="3" t="s">
        <v>26</v>
      </c>
      <c r="C786" s="3" t="s">
        <v>33</v>
      </c>
      <c r="D786" s="14">
        <v>45938</v>
      </c>
      <c r="E786" s="11">
        <f>1</f>
        <v>1</v>
      </c>
      <c r="G786" s="12">
        <f>IF(Table1[[#This Row],[Pre-Booking Date]]&lt;&gt;"",1,0)</f>
        <v>0</v>
      </c>
      <c r="I786" s="12">
        <f>IF(Table1[[#This Row],[Booking Date]]&lt;&gt;"",1,0)</f>
        <v>0</v>
      </c>
      <c r="K786" s="12">
        <f>IF(Table1[[#This Row],[Delivery Date]]&lt;&gt;"",1,0)</f>
        <v>0</v>
      </c>
      <c r="L786" s="3" t="s">
        <v>3</v>
      </c>
      <c r="M786" s="3">
        <f>IF(Table1[[#This Row],[Cancellation Status]]&lt;&gt;"Yes",1,0)</f>
        <v>0</v>
      </c>
      <c r="N786" s="3" t="s">
        <v>37</v>
      </c>
      <c r="T78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86" t="str">
        <f>IF(Table1[[#This Row],[Customer Rating]]&gt;=9,"Promoter",IF(Table1[[#This Row],[Customer Rating]]&gt;=7,"Passive","Detractor"))</f>
        <v>Detractor</v>
      </c>
    </row>
    <row r="787" spans="1:21" ht="14.25" customHeight="1" x14ac:dyDescent="0.3">
      <c r="A787" s="3" t="s">
        <v>822</v>
      </c>
      <c r="B787" s="3" t="s">
        <v>26</v>
      </c>
      <c r="C787" s="3" t="s">
        <v>27</v>
      </c>
      <c r="D787" s="14">
        <v>45938</v>
      </c>
      <c r="E787" s="11">
        <f>1</f>
        <v>1</v>
      </c>
      <c r="F787" s="14">
        <v>45941</v>
      </c>
      <c r="G787" s="11">
        <f>IF(Table1[[#This Row],[Pre-Booking Date]]&lt;&gt;"",1,0)</f>
        <v>1</v>
      </c>
      <c r="H787" s="4">
        <v>45946</v>
      </c>
      <c r="I787" s="11">
        <f>IF(Table1[[#This Row],[Booking Date]]&lt;&gt;"",1,0)</f>
        <v>1</v>
      </c>
      <c r="J787" s="30">
        <v>45952</v>
      </c>
      <c r="K787" s="11">
        <f>IF(Table1[[#This Row],[Delivery Date]]&lt;&gt;"",1,0)</f>
        <v>1</v>
      </c>
      <c r="L787" s="3" t="s">
        <v>2</v>
      </c>
      <c r="M787" s="3">
        <f>IF(Table1[[#This Row],[Cancellation Status]]&lt;&gt;"Yes",1,0)</f>
        <v>1</v>
      </c>
      <c r="O787" s="30">
        <v>45966</v>
      </c>
      <c r="P787" s="3">
        <v>3</v>
      </c>
      <c r="Q787" s="3">
        <v>5</v>
      </c>
      <c r="R787" s="3">
        <v>6</v>
      </c>
      <c r="S787" s="3">
        <v>3</v>
      </c>
      <c r="T78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87" t="str">
        <f>IF(Table1[[#This Row],[Customer Rating]]&gt;=9,"Promoter",IF(Table1[[#This Row],[Customer Rating]]&gt;=7,"Passive","Detractor"))</f>
        <v>Detractor</v>
      </c>
    </row>
    <row r="788" spans="1:21" ht="14.25" customHeight="1" x14ac:dyDescent="0.3">
      <c r="A788" s="3" t="s">
        <v>823</v>
      </c>
      <c r="B788" s="3" t="s">
        <v>32</v>
      </c>
      <c r="C788" s="3" t="s">
        <v>30</v>
      </c>
      <c r="D788" s="14">
        <v>45938</v>
      </c>
      <c r="E788" s="11">
        <f>1</f>
        <v>1</v>
      </c>
      <c r="F788" s="14">
        <v>45941</v>
      </c>
      <c r="G788" s="11">
        <f>IF(Table1[[#This Row],[Pre-Booking Date]]&lt;&gt;"",1,0)</f>
        <v>1</v>
      </c>
      <c r="H788" s="4">
        <v>45942</v>
      </c>
      <c r="I788" s="11">
        <f>IF(Table1[[#This Row],[Booking Date]]&lt;&gt;"",1,0)</f>
        <v>1</v>
      </c>
      <c r="J788" s="30">
        <v>45948</v>
      </c>
      <c r="K788" s="11">
        <f>IF(Table1[[#This Row],[Delivery Date]]&lt;&gt;"",1,0)</f>
        <v>1</v>
      </c>
      <c r="L788" s="3" t="s">
        <v>2</v>
      </c>
      <c r="M788" s="3">
        <f>IF(Table1[[#This Row],[Cancellation Status]]&lt;&gt;"Yes",1,0)</f>
        <v>1</v>
      </c>
      <c r="O788" s="30">
        <v>45966</v>
      </c>
      <c r="P788" s="3">
        <v>3</v>
      </c>
      <c r="Q788" s="3">
        <v>1</v>
      </c>
      <c r="R788" s="3">
        <v>6</v>
      </c>
      <c r="S788" s="3">
        <v>1</v>
      </c>
      <c r="T78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88" t="str">
        <f>IF(Table1[[#This Row],[Customer Rating]]&gt;=9,"Promoter",IF(Table1[[#This Row],[Customer Rating]]&gt;=7,"Passive","Detractor"))</f>
        <v>Detractor</v>
      </c>
    </row>
    <row r="789" spans="1:21" ht="14.25" customHeight="1" x14ac:dyDescent="0.3">
      <c r="A789" s="3" t="s">
        <v>824</v>
      </c>
      <c r="B789" s="3" t="s">
        <v>32</v>
      </c>
      <c r="C789" s="3" t="s">
        <v>30</v>
      </c>
      <c r="D789" s="14">
        <v>45938</v>
      </c>
      <c r="E789" s="11">
        <f>1</f>
        <v>1</v>
      </c>
      <c r="F789" s="14">
        <v>45941</v>
      </c>
      <c r="G789" s="11">
        <f>IF(Table1[[#This Row],[Pre-Booking Date]]&lt;&gt;"",1,0)</f>
        <v>1</v>
      </c>
      <c r="H789" s="4">
        <v>45945</v>
      </c>
      <c r="I789" s="11">
        <f>IF(Table1[[#This Row],[Booking Date]]&lt;&gt;"",1,0)</f>
        <v>1</v>
      </c>
      <c r="J789" s="30">
        <v>45952</v>
      </c>
      <c r="K789" s="11">
        <f>IF(Table1[[#This Row],[Delivery Date]]&lt;&gt;"",1,0)</f>
        <v>1</v>
      </c>
      <c r="L789" s="3" t="s">
        <v>2</v>
      </c>
      <c r="M789" s="3">
        <f>IF(Table1[[#This Row],[Cancellation Status]]&lt;&gt;"Yes",1,0)</f>
        <v>1</v>
      </c>
      <c r="O789" s="30">
        <v>45967</v>
      </c>
      <c r="P789" s="3">
        <v>3</v>
      </c>
      <c r="Q789" s="3">
        <v>4</v>
      </c>
      <c r="R789" s="3">
        <v>7</v>
      </c>
      <c r="S789" s="3">
        <v>0</v>
      </c>
      <c r="T78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89" t="str">
        <f>IF(Table1[[#This Row],[Customer Rating]]&gt;=9,"Promoter",IF(Table1[[#This Row],[Customer Rating]]&gt;=7,"Passive","Detractor"))</f>
        <v>Detractor</v>
      </c>
    </row>
    <row r="790" spans="1:21" ht="14.25" customHeight="1" x14ac:dyDescent="0.3">
      <c r="A790" s="3" t="s">
        <v>825</v>
      </c>
      <c r="B790" s="3" t="s">
        <v>39</v>
      </c>
      <c r="C790" s="3" t="s">
        <v>33</v>
      </c>
      <c r="D790" s="14">
        <v>45938</v>
      </c>
      <c r="E790" s="11">
        <f>1</f>
        <v>1</v>
      </c>
      <c r="G790" s="12">
        <f>IF(Table1[[#This Row],[Pre-Booking Date]]&lt;&gt;"",1,0)</f>
        <v>0</v>
      </c>
      <c r="I790" s="12">
        <f>IF(Table1[[#This Row],[Booking Date]]&lt;&gt;"",1,0)</f>
        <v>0</v>
      </c>
      <c r="K790" s="12">
        <f>IF(Table1[[#This Row],[Delivery Date]]&lt;&gt;"",1,0)</f>
        <v>0</v>
      </c>
      <c r="L790" s="3" t="s">
        <v>3</v>
      </c>
      <c r="M790" s="3">
        <f>IF(Table1[[#This Row],[Cancellation Status]]&lt;&gt;"Yes",1,0)</f>
        <v>0</v>
      </c>
      <c r="N790" s="3" t="s">
        <v>42</v>
      </c>
      <c r="T79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90" t="str">
        <f>IF(Table1[[#This Row],[Customer Rating]]&gt;=9,"Promoter",IF(Table1[[#This Row],[Customer Rating]]&gt;=7,"Passive","Detractor"))</f>
        <v>Detractor</v>
      </c>
    </row>
    <row r="791" spans="1:21" ht="14.25" customHeight="1" x14ac:dyDescent="0.3">
      <c r="A791" s="3" t="s">
        <v>826</v>
      </c>
      <c r="B791" s="3" t="s">
        <v>32</v>
      </c>
      <c r="C791" s="3" t="s">
        <v>27</v>
      </c>
      <c r="D791" s="14">
        <v>45938</v>
      </c>
      <c r="E791" s="11">
        <f>1</f>
        <v>1</v>
      </c>
      <c r="F791" s="14">
        <v>45942</v>
      </c>
      <c r="G791" s="11">
        <f>IF(Table1[[#This Row],[Pre-Booking Date]]&lt;&gt;"",1,0)</f>
        <v>1</v>
      </c>
      <c r="H791" s="4">
        <v>45945</v>
      </c>
      <c r="I791" s="11">
        <f>IF(Table1[[#This Row],[Booking Date]]&lt;&gt;"",1,0)</f>
        <v>1</v>
      </c>
      <c r="J791" s="30">
        <v>45947</v>
      </c>
      <c r="K791" s="11">
        <f>IF(Table1[[#This Row],[Delivery Date]]&lt;&gt;"",1,0)</f>
        <v>1</v>
      </c>
      <c r="L791" s="3" t="s">
        <v>2</v>
      </c>
      <c r="M791" s="3">
        <f>IF(Table1[[#This Row],[Cancellation Status]]&lt;&gt;"Yes",1,0)</f>
        <v>1</v>
      </c>
      <c r="O791" s="30">
        <v>45976</v>
      </c>
      <c r="P791" s="3">
        <v>4</v>
      </c>
      <c r="Q791" s="3">
        <v>3</v>
      </c>
      <c r="R791" s="3">
        <v>2</v>
      </c>
      <c r="S791" s="3">
        <v>10</v>
      </c>
      <c r="T79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91" t="str">
        <f>IF(Table1[[#This Row],[Customer Rating]]&gt;=9,"Promoter",IF(Table1[[#This Row],[Customer Rating]]&gt;=7,"Passive","Detractor"))</f>
        <v>Promoter</v>
      </c>
    </row>
    <row r="792" spans="1:21" ht="14.25" customHeight="1" x14ac:dyDescent="0.3">
      <c r="A792" s="3" t="s">
        <v>827</v>
      </c>
      <c r="B792" s="3" t="s">
        <v>39</v>
      </c>
      <c r="C792" s="3" t="s">
        <v>30</v>
      </c>
      <c r="D792" s="14">
        <v>45938</v>
      </c>
      <c r="E792" s="11">
        <f>1</f>
        <v>1</v>
      </c>
      <c r="F792" s="14">
        <v>45943</v>
      </c>
      <c r="G792" s="11">
        <f>IF(Table1[[#This Row],[Pre-Booking Date]]&lt;&gt;"",1,0)</f>
        <v>1</v>
      </c>
      <c r="H792" s="4">
        <v>45944</v>
      </c>
      <c r="I792" s="11">
        <f>IF(Table1[[#This Row],[Booking Date]]&lt;&gt;"",1,0)</f>
        <v>1</v>
      </c>
      <c r="J792" s="30">
        <v>45946</v>
      </c>
      <c r="K792" s="11">
        <f>IF(Table1[[#This Row],[Delivery Date]]&lt;&gt;"",1,0)</f>
        <v>1</v>
      </c>
      <c r="L792" s="3" t="s">
        <v>2</v>
      </c>
      <c r="M792" s="3">
        <f>IF(Table1[[#This Row],[Cancellation Status]]&lt;&gt;"Yes",1,0)</f>
        <v>1</v>
      </c>
      <c r="O792" s="30">
        <v>45972</v>
      </c>
      <c r="P792" s="3">
        <v>5</v>
      </c>
      <c r="Q792" s="3">
        <v>1</v>
      </c>
      <c r="R792" s="3">
        <v>2</v>
      </c>
      <c r="S792" s="3">
        <v>5</v>
      </c>
      <c r="T79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92" t="str">
        <f>IF(Table1[[#This Row],[Customer Rating]]&gt;=9,"Promoter",IF(Table1[[#This Row],[Customer Rating]]&gt;=7,"Passive","Detractor"))</f>
        <v>Detractor</v>
      </c>
    </row>
    <row r="793" spans="1:21" ht="14.25" customHeight="1" x14ac:dyDescent="0.3">
      <c r="A793" s="3" t="s">
        <v>828</v>
      </c>
      <c r="B793" s="3" t="s">
        <v>39</v>
      </c>
      <c r="C793" s="3" t="s">
        <v>27</v>
      </c>
      <c r="D793" s="14">
        <v>45938</v>
      </c>
      <c r="E793" s="11">
        <f>1</f>
        <v>1</v>
      </c>
      <c r="F793" s="14">
        <v>45940</v>
      </c>
      <c r="G793" s="11">
        <f>IF(Table1[[#This Row],[Pre-Booking Date]]&lt;&gt;"",1,0)</f>
        <v>1</v>
      </c>
      <c r="H793" s="4">
        <v>45944</v>
      </c>
      <c r="I793" s="11">
        <f>IF(Table1[[#This Row],[Booking Date]]&lt;&gt;"",1,0)</f>
        <v>1</v>
      </c>
      <c r="J793" s="30">
        <v>45948</v>
      </c>
      <c r="K793" s="11">
        <f>IF(Table1[[#This Row],[Delivery Date]]&lt;&gt;"",1,0)</f>
        <v>1</v>
      </c>
      <c r="L793" s="3" t="s">
        <v>2</v>
      </c>
      <c r="M793" s="3">
        <f>IF(Table1[[#This Row],[Cancellation Status]]&lt;&gt;"Yes",1,0)</f>
        <v>1</v>
      </c>
      <c r="O793" s="30">
        <v>45977</v>
      </c>
      <c r="P793" s="3">
        <v>2</v>
      </c>
      <c r="Q793" s="3">
        <v>4</v>
      </c>
      <c r="R793" s="3">
        <v>4</v>
      </c>
      <c r="S793" s="3">
        <v>1</v>
      </c>
      <c r="T79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93" t="str">
        <f>IF(Table1[[#This Row],[Customer Rating]]&gt;=9,"Promoter",IF(Table1[[#This Row],[Customer Rating]]&gt;=7,"Passive","Detractor"))</f>
        <v>Detractor</v>
      </c>
    </row>
    <row r="794" spans="1:21" ht="14.25" customHeight="1" x14ac:dyDescent="0.3">
      <c r="A794" s="3" t="s">
        <v>829</v>
      </c>
      <c r="B794" s="3" t="s">
        <v>32</v>
      </c>
      <c r="C794" s="3" t="s">
        <v>33</v>
      </c>
      <c r="D794" s="14">
        <v>45938</v>
      </c>
      <c r="E794" s="11">
        <f>1</f>
        <v>1</v>
      </c>
      <c r="G794" s="12">
        <f>IF(Table1[[#This Row],[Pre-Booking Date]]&lt;&gt;"",1,0)</f>
        <v>0</v>
      </c>
      <c r="I794" s="12">
        <f>IF(Table1[[#This Row],[Booking Date]]&lt;&gt;"",1,0)</f>
        <v>0</v>
      </c>
      <c r="K794" s="12">
        <f>IF(Table1[[#This Row],[Delivery Date]]&lt;&gt;"",1,0)</f>
        <v>0</v>
      </c>
      <c r="L794" s="3" t="s">
        <v>3</v>
      </c>
      <c r="M794" s="3">
        <f>IF(Table1[[#This Row],[Cancellation Status]]&lt;&gt;"Yes",1,0)</f>
        <v>0</v>
      </c>
      <c r="N794" s="3" t="s">
        <v>34</v>
      </c>
      <c r="T79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94" t="str">
        <f>IF(Table1[[#This Row],[Customer Rating]]&gt;=9,"Promoter",IF(Table1[[#This Row],[Customer Rating]]&gt;=7,"Passive","Detractor"))</f>
        <v>Detractor</v>
      </c>
    </row>
    <row r="795" spans="1:21" ht="14.25" customHeight="1" x14ac:dyDescent="0.3">
      <c r="A795" s="3" t="s">
        <v>830</v>
      </c>
      <c r="B795" s="3" t="s">
        <v>26</v>
      </c>
      <c r="C795" s="3" t="s">
        <v>30</v>
      </c>
      <c r="D795" s="14">
        <v>45938</v>
      </c>
      <c r="E795" s="11">
        <f>1</f>
        <v>1</v>
      </c>
      <c r="F795" s="14">
        <v>45941</v>
      </c>
      <c r="G795" s="11">
        <f>IF(Table1[[#This Row],[Pre-Booking Date]]&lt;&gt;"",1,0)</f>
        <v>1</v>
      </c>
      <c r="H795" s="4">
        <v>45945</v>
      </c>
      <c r="I795" s="11">
        <f>IF(Table1[[#This Row],[Booking Date]]&lt;&gt;"",1,0)</f>
        <v>1</v>
      </c>
      <c r="J795" s="30">
        <v>45949</v>
      </c>
      <c r="K795" s="11">
        <f>IF(Table1[[#This Row],[Delivery Date]]&lt;&gt;"",1,0)</f>
        <v>1</v>
      </c>
      <c r="L795" s="3" t="s">
        <v>2</v>
      </c>
      <c r="M795" s="3">
        <f>IF(Table1[[#This Row],[Cancellation Status]]&lt;&gt;"Yes",1,0)</f>
        <v>1</v>
      </c>
      <c r="O795" s="30">
        <v>45962</v>
      </c>
      <c r="P795" s="3">
        <v>3</v>
      </c>
      <c r="Q795" s="3">
        <v>4</v>
      </c>
      <c r="R795" s="3">
        <v>4</v>
      </c>
      <c r="S795" s="3">
        <v>3</v>
      </c>
      <c r="T79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95" t="str">
        <f>IF(Table1[[#This Row],[Customer Rating]]&gt;=9,"Promoter",IF(Table1[[#This Row],[Customer Rating]]&gt;=7,"Passive","Detractor"))</f>
        <v>Detractor</v>
      </c>
    </row>
    <row r="796" spans="1:21" ht="14.25" customHeight="1" x14ac:dyDescent="0.3">
      <c r="A796" s="3" t="s">
        <v>831</v>
      </c>
      <c r="B796" s="3" t="s">
        <v>29</v>
      </c>
      <c r="C796" s="3" t="s">
        <v>27</v>
      </c>
      <c r="D796" s="14">
        <v>45938</v>
      </c>
      <c r="E796" s="11">
        <f>1</f>
        <v>1</v>
      </c>
      <c r="F796" s="14">
        <v>45940</v>
      </c>
      <c r="G796" s="11">
        <f>IF(Table1[[#This Row],[Pre-Booking Date]]&lt;&gt;"",1,0)</f>
        <v>1</v>
      </c>
      <c r="H796" s="4">
        <v>45945</v>
      </c>
      <c r="I796" s="11">
        <f>IF(Table1[[#This Row],[Booking Date]]&lt;&gt;"",1,0)</f>
        <v>1</v>
      </c>
      <c r="J796" s="30">
        <v>45948</v>
      </c>
      <c r="K796" s="11">
        <f>IF(Table1[[#This Row],[Delivery Date]]&lt;&gt;"",1,0)</f>
        <v>1</v>
      </c>
      <c r="L796" s="3" t="s">
        <v>2</v>
      </c>
      <c r="M796" s="3">
        <f>IF(Table1[[#This Row],[Cancellation Status]]&lt;&gt;"Yes",1,0)</f>
        <v>1</v>
      </c>
      <c r="O796" s="30">
        <v>45964</v>
      </c>
      <c r="P796" s="3">
        <v>2</v>
      </c>
      <c r="Q796" s="3">
        <v>5</v>
      </c>
      <c r="R796" s="3">
        <v>3</v>
      </c>
      <c r="S796" s="3">
        <v>0</v>
      </c>
      <c r="T79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96" t="str">
        <f>IF(Table1[[#This Row],[Customer Rating]]&gt;=9,"Promoter",IF(Table1[[#This Row],[Customer Rating]]&gt;=7,"Passive","Detractor"))</f>
        <v>Detractor</v>
      </c>
    </row>
    <row r="797" spans="1:21" ht="14.25" customHeight="1" x14ac:dyDescent="0.3">
      <c r="A797" s="3" t="s">
        <v>832</v>
      </c>
      <c r="B797" s="3" t="s">
        <v>29</v>
      </c>
      <c r="C797" s="3" t="s">
        <v>27</v>
      </c>
      <c r="D797" s="14">
        <v>45938</v>
      </c>
      <c r="E797" s="11">
        <f>1</f>
        <v>1</v>
      </c>
      <c r="F797" s="14">
        <v>45942</v>
      </c>
      <c r="G797" s="11">
        <f>IF(Table1[[#This Row],[Pre-Booking Date]]&lt;&gt;"",1,0)</f>
        <v>1</v>
      </c>
      <c r="H797" s="4">
        <v>45943</v>
      </c>
      <c r="I797" s="11">
        <f>IF(Table1[[#This Row],[Booking Date]]&lt;&gt;"",1,0)</f>
        <v>1</v>
      </c>
      <c r="J797" s="30">
        <v>45946</v>
      </c>
      <c r="K797" s="11">
        <f>IF(Table1[[#This Row],[Delivery Date]]&lt;&gt;"",1,0)</f>
        <v>1</v>
      </c>
      <c r="L797" s="3" t="s">
        <v>2</v>
      </c>
      <c r="M797" s="3">
        <f>IF(Table1[[#This Row],[Cancellation Status]]&lt;&gt;"Yes",1,0)</f>
        <v>1</v>
      </c>
      <c r="O797" s="30">
        <v>45964</v>
      </c>
      <c r="P797" s="3">
        <v>4</v>
      </c>
      <c r="Q797" s="3">
        <v>1</v>
      </c>
      <c r="R797" s="3">
        <v>3</v>
      </c>
      <c r="S797" s="3">
        <v>5</v>
      </c>
      <c r="T79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97" t="str">
        <f>IF(Table1[[#This Row],[Customer Rating]]&gt;=9,"Promoter",IF(Table1[[#This Row],[Customer Rating]]&gt;=7,"Passive","Detractor"))</f>
        <v>Detractor</v>
      </c>
    </row>
    <row r="798" spans="1:21" ht="14.25" customHeight="1" x14ac:dyDescent="0.3">
      <c r="A798" s="3" t="s">
        <v>833</v>
      </c>
      <c r="B798" s="3" t="s">
        <v>26</v>
      </c>
      <c r="C798" s="3" t="s">
        <v>33</v>
      </c>
      <c r="D798" s="14">
        <v>45938</v>
      </c>
      <c r="E798" s="11">
        <f>1</f>
        <v>1</v>
      </c>
      <c r="G798" s="12">
        <f>IF(Table1[[#This Row],[Pre-Booking Date]]&lt;&gt;"",1,0)</f>
        <v>0</v>
      </c>
      <c r="I798" s="12">
        <f>IF(Table1[[#This Row],[Booking Date]]&lt;&gt;"",1,0)</f>
        <v>0</v>
      </c>
      <c r="K798" s="12">
        <f>IF(Table1[[#This Row],[Delivery Date]]&lt;&gt;"",1,0)</f>
        <v>0</v>
      </c>
      <c r="L798" s="3" t="s">
        <v>3</v>
      </c>
      <c r="M798" s="3">
        <f>IF(Table1[[#This Row],[Cancellation Status]]&lt;&gt;"Yes",1,0)</f>
        <v>0</v>
      </c>
      <c r="N798" s="3" t="s">
        <v>42</v>
      </c>
      <c r="T79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798" t="str">
        <f>IF(Table1[[#This Row],[Customer Rating]]&gt;=9,"Promoter",IF(Table1[[#This Row],[Customer Rating]]&gt;=7,"Passive","Detractor"))</f>
        <v>Detractor</v>
      </c>
    </row>
    <row r="799" spans="1:21" ht="14.25" customHeight="1" x14ac:dyDescent="0.3">
      <c r="A799" s="3" t="s">
        <v>834</v>
      </c>
      <c r="B799" s="3" t="s">
        <v>39</v>
      </c>
      <c r="C799" s="3" t="s">
        <v>30</v>
      </c>
      <c r="D799" s="14">
        <v>45938</v>
      </c>
      <c r="E799" s="11">
        <f>1</f>
        <v>1</v>
      </c>
      <c r="F799" s="14">
        <v>45940</v>
      </c>
      <c r="G799" s="11">
        <f>IF(Table1[[#This Row],[Pre-Booking Date]]&lt;&gt;"",1,0)</f>
        <v>1</v>
      </c>
      <c r="H799" s="4">
        <v>45944</v>
      </c>
      <c r="I799" s="11">
        <f>IF(Table1[[#This Row],[Booking Date]]&lt;&gt;"",1,0)</f>
        <v>1</v>
      </c>
      <c r="J799" s="30">
        <v>45951</v>
      </c>
      <c r="K799" s="11">
        <f>IF(Table1[[#This Row],[Delivery Date]]&lt;&gt;"",1,0)</f>
        <v>1</v>
      </c>
      <c r="L799" s="3" t="s">
        <v>2</v>
      </c>
      <c r="M799" s="3">
        <f>IF(Table1[[#This Row],[Cancellation Status]]&lt;&gt;"Yes",1,0)</f>
        <v>1</v>
      </c>
      <c r="O799" s="30">
        <v>45970</v>
      </c>
      <c r="P799" s="3">
        <v>2</v>
      </c>
      <c r="Q799" s="3">
        <v>4</v>
      </c>
      <c r="R799" s="3">
        <v>7</v>
      </c>
      <c r="S799" s="3">
        <v>1</v>
      </c>
      <c r="T79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799" t="str">
        <f>IF(Table1[[#This Row],[Customer Rating]]&gt;=9,"Promoter",IF(Table1[[#This Row],[Customer Rating]]&gt;=7,"Passive","Detractor"))</f>
        <v>Detractor</v>
      </c>
    </row>
    <row r="800" spans="1:21" ht="14.25" customHeight="1" x14ac:dyDescent="0.3">
      <c r="A800" s="3" t="s">
        <v>835</v>
      </c>
      <c r="B800" s="3" t="s">
        <v>39</v>
      </c>
      <c r="C800" s="3" t="s">
        <v>30</v>
      </c>
      <c r="D800" s="14">
        <v>45938</v>
      </c>
      <c r="E800" s="11">
        <f>1</f>
        <v>1</v>
      </c>
      <c r="F800" s="14">
        <v>45939</v>
      </c>
      <c r="G800" s="11">
        <f>IF(Table1[[#This Row],[Pre-Booking Date]]&lt;&gt;"",1,0)</f>
        <v>1</v>
      </c>
      <c r="H800" s="4">
        <v>45944</v>
      </c>
      <c r="I800" s="11">
        <f>IF(Table1[[#This Row],[Booking Date]]&lt;&gt;"",1,0)</f>
        <v>1</v>
      </c>
      <c r="J800" s="30">
        <v>45949</v>
      </c>
      <c r="K800" s="11">
        <f>IF(Table1[[#This Row],[Delivery Date]]&lt;&gt;"",1,0)</f>
        <v>1</v>
      </c>
      <c r="L800" s="3" t="s">
        <v>2</v>
      </c>
      <c r="M800" s="3">
        <f>IF(Table1[[#This Row],[Cancellation Status]]&lt;&gt;"Yes",1,0)</f>
        <v>1</v>
      </c>
      <c r="O800" s="30">
        <v>45973</v>
      </c>
      <c r="P800" s="3">
        <v>1</v>
      </c>
      <c r="Q800" s="3">
        <v>5</v>
      </c>
      <c r="R800" s="3">
        <v>5</v>
      </c>
      <c r="S800" s="3">
        <v>9</v>
      </c>
      <c r="T80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00" t="str">
        <f>IF(Table1[[#This Row],[Customer Rating]]&gt;=9,"Promoter",IF(Table1[[#This Row],[Customer Rating]]&gt;=7,"Passive","Detractor"))</f>
        <v>Promoter</v>
      </c>
    </row>
    <row r="801" spans="1:21" ht="14.25" customHeight="1" x14ac:dyDescent="0.3">
      <c r="A801" s="3" t="s">
        <v>836</v>
      </c>
      <c r="B801" s="3" t="s">
        <v>26</v>
      </c>
      <c r="C801" s="3" t="s">
        <v>27</v>
      </c>
      <c r="D801" s="14">
        <v>45938</v>
      </c>
      <c r="E801" s="11">
        <f>1</f>
        <v>1</v>
      </c>
      <c r="F801" s="14">
        <v>45943</v>
      </c>
      <c r="G801" s="11">
        <f>IF(Table1[[#This Row],[Pre-Booking Date]]&lt;&gt;"",1,0)</f>
        <v>1</v>
      </c>
      <c r="H801" s="4">
        <v>45945</v>
      </c>
      <c r="I801" s="11">
        <f>IF(Table1[[#This Row],[Booking Date]]&lt;&gt;"",1,0)</f>
        <v>1</v>
      </c>
      <c r="J801" s="30">
        <v>45948</v>
      </c>
      <c r="K801" s="11">
        <f>IF(Table1[[#This Row],[Delivery Date]]&lt;&gt;"",1,0)</f>
        <v>1</v>
      </c>
      <c r="L801" s="3" t="s">
        <v>2</v>
      </c>
      <c r="M801" s="3">
        <f>IF(Table1[[#This Row],[Cancellation Status]]&lt;&gt;"Yes",1,0)</f>
        <v>1</v>
      </c>
      <c r="O801" s="30">
        <v>45974</v>
      </c>
      <c r="P801" s="3">
        <v>5</v>
      </c>
      <c r="Q801" s="3">
        <v>2</v>
      </c>
      <c r="R801" s="3">
        <v>3</v>
      </c>
      <c r="S801" s="3">
        <v>4</v>
      </c>
      <c r="T80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01" t="str">
        <f>IF(Table1[[#This Row],[Customer Rating]]&gt;=9,"Promoter",IF(Table1[[#This Row],[Customer Rating]]&gt;=7,"Passive","Detractor"))</f>
        <v>Detractor</v>
      </c>
    </row>
    <row r="802" spans="1:21" ht="14.25" customHeight="1" x14ac:dyDescent="0.3">
      <c r="A802" s="3" t="s">
        <v>837</v>
      </c>
      <c r="B802" s="3" t="s">
        <v>29</v>
      </c>
      <c r="C802" s="3" t="s">
        <v>27</v>
      </c>
      <c r="D802" s="14">
        <v>45937</v>
      </c>
      <c r="E802" s="11">
        <f>1</f>
        <v>1</v>
      </c>
      <c r="F802" s="14">
        <v>45941</v>
      </c>
      <c r="G802" s="11">
        <f>IF(Table1[[#This Row],[Pre-Booking Date]]&lt;&gt;"",1,0)</f>
        <v>1</v>
      </c>
      <c r="H802" s="4">
        <v>45944</v>
      </c>
      <c r="I802" s="11">
        <f>IF(Table1[[#This Row],[Booking Date]]&lt;&gt;"",1,0)</f>
        <v>1</v>
      </c>
      <c r="J802" s="30">
        <v>45948</v>
      </c>
      <c r="K802" s="11">
        <f>IF(Table1[[#This Row],[Delivery Date]]&lt;&gt;"",1,0)</f>
        <v>1</v>
      </c>
      <c r="L802" s="3" t="s">
        <v>2</v>
      </c>
      <c r="M802" s="3">
        <f>IF(Table1[[#This Row],[Cancellation Status]]&lt;&gt;"Yes",1,0)</f>
        <v>1</v>
      </c>
      <c r="O802" s="30">
        <v>45975</v>
      </c>
      <c r="P802" s="3">
        <v>4</v>
      </c>
      <c r="Q802" s="3">
        <v>3</v>
      </c>
      <c r="R802" s="3">
        <v>4</v>
      </c>
      <c r="S802" s="3">
        <v>2</v>
      </c>
      <c r="T80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02" t="str">
        <f>IF(Table1[[#This Row],[Customer Rating]]&gt;=9,"Promoter",IF(Table1[[#This Row],[Customer Rating]]&gt;=7,"Passive","Detractor"))</f>
        <v>Detractor</v>
      </c>
    </row>
    <row r="803" spans="1:21" ht="14.25" customHeight="1" x14ac:dyDescent="0.3">
      <c r="A803" s="3" t="s">
        <v>838</v>
      </c>
      <c r="B803" s="3" t="s">
        <v>29</v>
      </c>
      <c r="C803" s="3" t="s">
        <v>27</v>
      </c>
      <c r="D803" s="14">
        <v>45937</v>
      </c>
      <c r="E803" s="11">
        <f>1</f>
        <v>1</v>
      </c>
      <c r="F803" s="14">
        <v>45940</v>
      </c>
      <c r="G803" s="11">
        <f>IF(Table1[[#This Row],[Pre-Booking Date]]&lt;&gt;"",1,0)</f>
        <v>1</v>
      </c>
      <c r="H803" s="4">
        <v>45943</v>
      </c>
      <c r="I803" s="11">
        <f>IF(Table1[[#This Row],[Booking Date]]&lt;&gt;"",1,0)</f>
        <v>1</v>
      </c>
      <c r="J803" s="30">
        <v>45947</v>
      </c>
      <c r="K803" s="11">
        <f>IF(Table1[[#This Row],[Delivery Date]]&lt;&gt;"",1,0)</f>
        <v>1</v>
      </c>
      <c r="L803" s="3" t="s">
        <v>2</v>
      </c>
      <c r="M803" s="3">
        <f>IF(Table1[[#This Row],[Cancellation Status]]&lt;&gt;"Yes",1,0)</f>
        <v>1</v>
      </c>
      <c r="O803" s="30">
        <v>45975</v>
      </c>
      <c r="P803" s="3">
        <v>3</v>
      </c>
      <c r="Q803" s="3">
        <v>3</v>
      </c>
      <c r="R803" s="3">
        <v>4</v>
      </c>
      <c r="S803" s="3">
        <v>0</v>
      </c>
      <c r="T80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03" t="str">
        <f>IF(Table1[[#This Row],[Customer Rating]]&gt;=9,"Promoter",IF(Table1[[#This Row],[Customer Rating]]&gt;=7,"Passive","Detractor"))</f>
        <v>Detractor</v>
      </c>
    </row>
    <row r="804" spans="1:21" ht="14.25" customHeight="1" x14ac:dyDescent="0.3">
      <c r="A804" s="3" t="s">
        <v>839</v>
      </c>
      <c r="B804" s="3" t="s">
        <v>32</v>
      </c>
      <c r="C804" s="3" t="s">
        <v>27</v>
      </c>
      <c r="D804" s="14">
        <v>45937</v>
      </c>
      <c r="E804" s="11">
        <f>1</f>
        <v>1</v>
      </c>
      <c r="F804" s="14">
        <v>45940</v>
      </c>
      <c r="G804" s="11">
        <f>IF(Table1[[#This Row],[Pre-Booking Date]]&lt;&gt;"",1,0)</f>
        <v>1</v>
      </c>
      <c r="H804" s="4">
        <v>45942</v>
      </c>
      <c r="I804" s="11">
        <f>IF(Table1[[#This Row],[Booking Date]]&lt;&gt;"",1,0)</f>
        <v>1</v>
      </c>
      <c r="J804" s="30">
        <v>45947</v>
      </c>
      <c r="K804" s="11">
        <f>IF(Table1[[#This Row],[Delivery Date]]&lt;&gt;"",1,0)</f>
        <v>1</v>
      </c>
      <c r="L804" s="3" t="s">
        <v>2</v>
      </c>
      <c r="M804" s="3">
        <f>IF(Table1[[#This Row],[Cancellation Status]]&lt;&gt;"Yes",1,0)</f>
        <v>1</v>
      </c>
      <c r="O804" s="30">
        <v>45965</v>
      </c>
      <c r="P804" s="3">
        <v>3</v>
      </c>
      <c r="Q804" s="3">
        <v>2</v>
      </c>
      <c r="R804" s="3">
        <v>5</v>
      </c>
      <c r="S804" s="3">
        <v>5</v>
      </c>
      <c r="T80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04" t="str">
        <f>IF(Table1[[#This Row],[Customer Rating]]&gt;=9,"Promoter",IF(Table1[[#This Row],[Customer Rating]]&gt;=7,"Passive","Detractor"))</f>
        <v>Detractor</v>
      </c>
    </row>
    <row r="805" spans="1:21" ht="14.25" customHeight="1" x14ac:dyDescent="0.3">
      <c r="A805" s="3" t="s">
        <v>840</v>
      </c>
      <c r="B805" s="3" t="s">
        <v>39</v>
      </c>
      <c r="C805" s="3" t="s">
        <v>33</v>
      </c>
      <c r="D805" s="14">
        <v>45937</v>
      </c>
      <c r="E805" s="11">
        <f>1</f>
        <v>1</v>
      </c>
      <c r="G805" s="12">
        <f>IF(Table1[[#This Row],[Pre-Booking Date]]&lt;&gt;"",1,0)</f>
        <v>0</v>
      </c>
      <c r="I805" s="12">
        <f>IF(Table1[[#This Row],[Booking Date]]&lt;&gt;"",1,0)</f>
        <v>0</v>
      </c>
      <c r="K805" s="12">
        <f>IF(Table1[[#This Row],[Delivery Date]]&lt;&gt;"",1,0)</f>
        <v>0</v>
      </c>
      <c r="L805" s="3" t="s">
        <v>3</v>
      </c>
      <c r="M805" s="3">
        <f>IF(Table1[[#This Row],[Cancellation Status]]&lt;&gt;"Yes",1,0)</f>
        <v>0</v>
      </c>
      <c r="N805" s="3" t="s">
        <v>37</v>
      </c>
      <c r="T80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05" t="str">
        <f>IF(Table1[[#This Row],[Customer Rating]]&gt;=9,"Promoter",IF(Table1[[#This Row],[Customer Rating]]&gt;=7,"Passive","Detractor"))</f>
        <v>Detractor</v>
      </c>
    </row>
    <row r="806" spans="1:21" ht="14.25" customHeight="1" x14ac:dyDescent="0.3">
      <c r="A806" s="3" t="s">
        <v>841</v>
      </c>
      <c r="B806" s="3" t="s">
        <v>29</v>
      </c>
      <c r="C806" s="3" t="s">
        <v>30</v>
      </c>
      <c r="D806" s="14">
        <v>45937</v>
      </c>
      <c r="E806" s="11">
        <f>1</f>
        <v>1</v>
      </c>
      <c r="F806" s="14">
        <v>45939</v>
      </c>
      <c r="G806" s="11">
        <f>IF(Table1[[#This Row],[Pre-Booking Date]]&lt;&gt;"",1,0)</f>
        <v>1</v>
      </c>
      <c r="H806" s="4">
        <v>45944</v>
      </c>
      <c r="I806" s="11">
        <f>IF(Table1[[#This Row],[Booking Date]]&lt;&gt;"",1,0)</f>
        <v>1</v>
      </c>
      <c r="J806" s="30">
        <v>45949</v>
      </c>
      <c r="K806" s="11">
        <f>IF(Table1[[#This Row],[Delivery Date]]&lt;&gt;"",1,0)</f>
        <v>1</v>
      </c>
      <c r="L806" s="3" t="s">
        <v>2</v>
      </c>
      <c r="M806" s="3">
        <f>IF(Table1[[#This Row],[Cancellation Status]]&lt;&gt;"Yes",1,0)</f>
        <v>1</v>
      </c>
      <c r="O806" s="30">
        <v>45960</v>
      </c>
      <c r="P806" s="3">
        <v>2</v>
      </c>
      <c r="Q806" s="3">
        <v>5</v>
      </c>
      <c r="R806" s="3">
        <v>5</v>
      </c>
      <c r="S806" s="3">
        <v>4</v>
      </c>
      <c r="T80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06" t="str">
        <f>IF(Table1[[#This Row],[Customer Rating]]&gt;=9,"Promoter",IF(Table1[[#This Row],[Customer Rating]]&gt;=7,"Passive","Detractor"))</f>
        <v>Detractor</v>
      </c>
    </row>
    <row r="807" spans="1:21" ht="14.25" customHeight="1" x14ac:dyDescent="0.3">
      <c r="A807" s="3" t="s">
        <v>842</v>
      </c>
      <c r="B807" s="3" t="s">
        <v>29</v>
      </c>
      <c r="C807" s="3" t="s">
        <v>27</v>
      </c>
      <c r="D807" s="14">
        <v>45937</v>
      </c>
      <c r="E807" s="11">
        <f>1</f>
        <v>1</v>
      </c>
      <c r="F807" s="14">
        <v>45942</v>
      </c>
      <c r="G807" s="11">
        <f>IF(Table1[[#This Row],[Pre-Booking Date]]&lt;&gt;"",1,0)</f>
        <v>1</v>
      </c>
      <c r="H807" s="4">
        <v>45943</v>
      </c>
      <c r="I807" s="11">
        <f>IF(Table1[[#This Row],[Booking Date]]&lt;&gt;"",1,0)</f>
        <v>1</v>
      </c>
      <c r="J807" s="30">
        <v>45946</v>
      </c>
      <c r="K807" s="11">
        <f>IF(Table1[[#This Row],[Delivery Date]]&lt;&gt;"",1,0)</f>
        <v>1</v>
      </c>
      <c r="L807" s="3" t="s">
        <v>2</v>
      </c>
      <c r="M807" s="3">
        <f>IF(Table1[[#This Row],[Cancellation Status]]&lt;&gt;"Yes",1,0)</f>
        <v>1</v>
      </c>
      <c r="O807" s="30">
        <v>45971</v>
      </c>
      <c r="P807" s="3">
        <v>5</v>
      </c>
      <c r="Q807" s="3">
        <v>1</v>
      </c>
      <c r="R807" s="3">
        <v>3</v>
      </c>
      <c r="S807" s="3">
        <v>0</v>
      </c>
      <c r="T80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07" t="str">
        <f>IF(Table1[[#This Row],[Customer Rating]]&gt;=9,"Promoter",IF(Table1[[#This Row],[Customer Rating]]&gt;=7,"Passive","Detractor"))</f>
        <v>Detractor</v>
      </c>
    </row>
    <row r="808" spans="1:21" ht="14.25" customHeight="1" x14ac:dyDescent="0.3">
      <c r="A808" s="3" t="s">
        <v>843</v>
      </c>
      <c r="B808" s="3" t="s">
        <v>29</v>
      </c>
      <c r="C808" s="3" t="s">
        <v>27</v>
      </c>
      <c r="D808" s="14">
        <v>45937</v>
      </c>
      <c r="E808" s="11">
        <f>1</f>
        <v>1</v>
      </c>
      <c r="F808" s="14">
        <v>45940</v>
      </c>
      <c r="G808" s="11">
        <f>IF(Table1[[#This Row],[Pre-Booking Date]]&lt;&gt;"",1,0)</f>
        <v>1</v>
      </c>
      <c r="H808" s="4">
        <v>45944</v>
      </c>
      <c r="I808" s="11">
        <f>IF(Table1[[#This Row],[Booking Date]]&lt;&gt;"",1,0)</f>
        <v>1</v>
      </c>
      <c r="J808" s="30">
        <v>45948</v>
      </c>
      <c r="K808" s="11">
        <f>IF(Table1[[#This Row],[Delivery Date]]&lt;&gt;"",1,0)</f>
        <v>1</v>
      </c>
      <c r="L808" s="3" t="s">
        <v>3</v>
      </c>
      <c r="M808" s="3">
        <f>IF(Table1[[#This Row],[Cancellation Status]]&lt;&gt;"Yes",1,0)</f>
        <v>0</v>
      </c>
      <c r="N808" s="3" t="s">
        <v>52</v>
      </c>
      <c r="P808" s="3">
        <v>3</v>
      </c>
      <c r="Q808" s="3">
        <v>4</v>
      </c>
      <c r="R808" s="3">
        <v>4</v>
      </c>
      <c r="T80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08" t="str">
        <f>IF(Table1[[#This Row],[Customer Rating]]&gt;=9,"Promoter",IF(Table1[[#This Row],[Customer Rating]]&gt;=7,"Passive","Detractor"))</f>
        <v>Detractor</v>
      </c>
    </row>
    <row r="809" spans="1:21" ht="14.25" customHeight="1" x14ac:dyDescent="0.3">
      <c r="A809" s="3" t="s">
        <v>844</v>
      </c>
      <c r="B809" s="3" t="s">
        <v>29</v>
      </c>
      <c r="C809" s="3" t="s">
        <v>30</v>
      </c>
      <c r="D809" s="14">
        <v>45937</v>
      </c>
      <c r="E809" s="11">
        <f>1</f>
        <v>1</v>
      </c>
      <c r="F809" s="14">
        <v>45940</v>
      </c>
      <c r="G809" s="11">
        <f>IF(Table1[[#This Row],[Pre-Booking Date]]&lt;&gt;"",1,0)</f>
        <v>1</v>
      </c>
      <c r="H809" s="4">
        <v>45943</v>
      </c>
      <c r="I809" s="11">
        <f>IF(Table1[[#This Row],[Booking Date]]&lt;&gt;"",1,0)</f>
        <v>1</v>
      </c>
      <c r="J809" s="30">
        <v>45949</v>
      </c>
      <c r="K809" s="11">
        <f>IF(Table1[[#This Row],[Delivery Date]]&lt;&gt;"",1,0)</f>
        <v>1</v>
      </c>
      <c r="L809" s="3" t="s">
        <v>2</v>
      </c>
      <c r="M809" s="3">
        <f>IF(Table1[[#This Row],[Cancellation Status]]&lt;&gt;"Yes",1,0)</f>
        <v>1</v>
      </c>
      <c r="O809" s="30">
        <v>45960</v>
      </c>
      <c r="P809" s="3">
        <v>3</v>
      </c>
      <c r="Q809" s="3">
        <v>3</v>
      </c>
      <c r="R809" s="3">
        <v>6</v>
      </c>
      <c r="S809" s="3">
        <v>4</v>
      </c>
      <c r="T80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09" t="str">
        <f>IF(Table1[[#This Row],[Customer Rating]]&gt;=9,"Promoter",IF(Table1[[#This Row],[Customer Rating]]&gt;=7,"Passive","Detractor"))</f>
        <v>Detractor</v>
      </c>
    </row>
    <row r="810" spans="1:21" ht="14.25" customHeight="1" x14ac:dyDescent="0.3">
      <c r="A810" s="3" t="s">
        <v>845</v>
      </c>
      <c r="B810" s="3" t="s">
        <v>39</v>
      </c>
      <c r="C810" s="3" t="s">
        <v>27</v>
      </c>
      <c r="D810" s="14">
        <v>45937</v>
      </c>
      <c r="E810" s="11">
        <f>1</f>
        <v>1</v>
      </c>
      <c r="F810" s="14">
        <v>45938</v>
      </c>
      <c r="G810" s="11">
        <f>IF(Table1[[#This Row],[Pre-Booking Date]]&lt;&gt;"",1,0)</f>
        <v>1</v>
      </c>
      <c r="H810" s="4">
        <v>45941</v>
      </c>
      <c r="I810" s="11">
        <f>IF(Table1[[#This Row],[Booking Date]]&lt;&gt;"",1,0)</f>
        <v>1</v>
      </c>
      <c r="J810" s="30">
        <v>45946</v>
      </c>
      <c r="K810" s="11">
        <f>IF(Table1[[#This Row],[Delivery Date]]&lt;&gt;"",1,0)</f>
        <v>1</v>
      </c>
      <c r="L810" s="3" t="s">
        <v>2</v>
      </c>
      <c r="M810" s="3">
        <f>IF(Table1[[#This Row],[Cancellation Status]]&lt;&gt;"Yes",1,0)</f>
        <v>1</v>
      </c>
      <c r="O810" s="30">
        <v>45968</v>
      </c>
      <c r="P810" s="3">
        <v>1</v>
      </c>
      <c r="Q810" s="3">
        <v>3</v>
      </c>
      <c r="R810" s="3">
        <v>5</v>
      </c>
      <c r="S810" s="3">
        <v>7</v>
      </c>
      <c r="T81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10" t="str">
        <f>IF(Table1[[#This Row],[Customer Rating]]&gt;=9,"Promoter",IF(Table1[[#This Row],[Customer Rating]]&gt;=7,"Passive","Detractor"))</f>
        <v>Passive</v>
      </c>
    </row>
    <row r="811" spans="1:21" ht="14.25" customHeight="1" x14ac:dyDescent="0.3">
      <c r="A811" s="3" t="s">
        <v>846</v>
      </c>
      <c r="B811" s="3" t="s">
        <v>32</v>
      </c>
      <c r="C811" s="3" t="s">
        <v>27</v>
      </c>
      <c r="D811" s="14">
        <v>45937</v>
      </c>
      <c r="E811" s="11">
        <f>1</f>
        <v>1</v>
      </c>
      <c r="F811" s="14">
        <v>45939</v>
      </c>
      <c r="G811" s="11">
        <f>IF(Table1[[#This Row],[Pre-Booking Date]]&lt;&gt;"",1,0)</f>
        <v>1</v>
      </c>
      <c r="H811" s="4">
        <v>45944</v>
      </c>
      <c r="I811" s="11">
        <f>IF(Table1[[#This Row],[Booking Date]]&lt;&gt;"",1,0)</f>
        <v>1</v>
      </c>
      <c r="J811" s="30">
        <v>45949</v>
      </c>
      <c r="K811" s="11">
        <f>IF(Table1[[#This Row],[Delivery Date]]&lt;&gt;"",1,0)</f>
        <v>1</v>
      </c>
      <c r="L811" s="3" t="s">
        <v>2</v>
      </c>
      <c r="M811" s="3">
        <f>IF(Table1[[#This Row],[Cancellation Status]]&lt;&gt;"Yes",1,0)</f>
        <v>1</v>
      </c>
      <c r="O811" s="30">
        <v>45962</v>
      </c>
      <c r="P811" s="3">
        <v>2</v>
      </c>
      <c r="Q811" s="3">
        <v>5</v>
      </c>
      <c r="R811" s="3">
        <v>5</v>
      </c>
      <c r="S811" s="3">
        <v>1</v>
      </c>
      <c r="T81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11" t="str">
        <f>IF(Table1[[#This Row],[Customer Rating]]&gt;=9,"Promoter",IF(Table1[[#This Row],[Customer Rating]]&gt;=7,"Passive","Detractor"))</f>
        <v>Detractor</v>
      </c>
    </row>
    <row r="812" spans="1:21" ht="14.25" customHeight="1" x14ac:dyDescent="0.3">
      <c r="A812" s="3" t="s">
        <v>847</v>
      </c>
      <c r="B812" s="3" t="s">
        <v>26</v>
      </c>
      <c r="C812" s="3" t="s">
        <v>30</v>
      </c>
      <c r="D812" s="14">
        <v>45937</v>
      </c>
      <c r="E812" s="11">
        <f>1</f>
        <v>1</v>
      </c>
      <c r="F812" s="14">
        <v>45942</v>
      </c>
      <c r="G812" s="11">
        <f>IF(Table1[[#This Row],[Pre-Booking Date]]&lt;&gt;"",1,0)</f>
        <v>1</v>
      </c>
      <c r="H812" s="4">
        <v>45943</v>
      </c>
      <c r="I812" s="11">
        <f>IF(Table1[[#This Row],[Booking Date]]&lt;&gt;"",1,0)</f>
        <v>1</v>
      </c>
      <c r="J812" s="30">
        <v>45945</v>
      </c>
      <c r="K812" s="11">
        <f>IF(Table1[[#This Row],[Delivery Date]]&lt;&gt;"",1,0)</f>
        <v>1</v>
      </c>
      <c r="L812" s="3" t="s">
        <v>2</v>
      </c>
      <c r="M812" s="3">
        <f>IF(Table1[[#This Row],[Cancellation Status]]&lt;&gt;"Yes",1,0)</f>
        <v>1</v>
      </c>
      <c r="O812" s="30">
        <v>45975</v>
      </c>
      <c r="P812" s="3">
        <v>5</v>
      </c>
      <c r="Q812" s="3">
        <v>1</v>
      </c>
      <c r="R812" s="3">
        <v>2</v>
      </c>
      <c r="S812" s="3">
        <v>1</v>
      </c>
      <c r="T81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12" t="str">
        <f>IF(Table1[[#This Row],[Customer Rating]]&gt;=9,"Promoter",IF(Table1[[#This Row],[Customer Rating]]&gt;=7,"Passive","Detractor"))</f>
        <v>Detractor</v>
      </c>
    </row>
    <row r="813" spans="1:21" ht="14.25" customHeight="1" x14ac:dyDescent="0.3">
      <c r="A813" s="3" t="s">
        <v>848</v>
      </c>
      <c r="B813" s="3" t="s">
        <v>29</v>
      </c>
      <c r="C813" s="3" t="s">
        <v>30</v>
      </c>
      <c r="D813" s="14">
        <v>45937</v>
      </c>
      <c r="E813" s="11">
        <f>1</f>
        <v>1</v>
      </c>
      <c r="F813" s="14">
        <v>45938</v>
      </c>
      <c r="G813" s="11">
        <f>IF(Table1[[#This Row],[Pre-Booking Date]]&lt;&gt;"",1,0)</f>
        <v>1</v>
      </c>
      <c r="H813" s="4">
        <v>45943</v>
      </c>
      <c r="I813" s="11">
        <f>IF(Table1[[#This Row],[Booking Date]]&lt;&gt;"",1,0)</f>
        <v>1</v>
      </c>
      <c r="J813" s="30">
        <v>45945</v>
      </c>
      <c r="K813" s="11">
        <f>IF(Table1[[#This Row],[Delivery Date]]&lt;&gt;"",1,0)</f>
        <v>1</v>
      </c>
      <c r="L813" s="3" t="s">
        <v>2</v>
      </c>
      <c r="M813" s="3">
        <f>IF(Table1[[#This Row],[Cancellation Status]]&lt;&gt;"Yes",1,0)</f>
        <v>1</v>
      </c>
      <c r="O813" s="30">
        <v>45968</v>
      </c>
      <c r="P813" s="3">
        <v>1</v>
      </c>
      <c r="Q813" s="3">
        <v>5</v>
      </c>
      <c r="R813" s="3">
        <v>2</v>
      </c>
      <c r="S813" s="3">
        <v>1</v>
      </c>
      <c r="T81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13" t="str">
        <f>IF(Table1[[#This Row],[Customer Rating]]&gt;=9,"Promoter",IF(Table1[[#This Row],[Customer Rating]]&gt;=7,"Passive","Detractor"))</f>
        <v>Detractor</v>
      </c>
    </row>
    <row r="814" spans="1:21" ht="14.25" customHeight="1" x14ac:dyDescent="0.3">
      <c r="A814" s="3" t="s">
        <v>849</v>
      </c>
      <c r="B814" s="3" t="s">
        <v>29</v>
      </c>
      <c r="C814" s="3" t="s">
        <v>27</v>
      </c>
      <c r="D814" s="14">
        <v>45937</v>
      </c>
      <c r="E814" s="11">
        <f>1</f>
        <v>1</v>
      </c>
      <c r="F814" s="14">
        <v>45941</v>
      </c>
      <c r="G814" s="11">
        <f>IF(Table1[[#This Row],[Pre-Booking Date]]&lt;&gt;"",1,0)</f>
        <v>1</v>
      </c>
      <c r="H814" s="4">
        <v>45942</v>
      </c>
      <c r="I814" s="11">
        <f>IF(Table1[[#This Row],[Booking Date]]&lt;&gt;"",1,0)</f>
        <v>1</v>
      </c>
      <c r="J814" s="30">
        <v>45944</v>
      </c>
      <c r="K814" s="11">
        <f>IF(Table1[[#This Row],[Delivery Date]]&lt;&gt;"",1,0)</f>
        <v>1</v>
      </c>
      <c r="L814" s="3" t="s">
        <v>2</v>
      </c>
      <c r="M814" s="3">
        <f>IF(Table1[[#This Row],[Cancellation Status]]&lt;&gt;"Yes",1,0)</f>
        <v>1</v>
      </c>
      <c r="O814" s="30">
        <v>45965</v>
      </c>
      <c r="P814" s="3">
        <v>4</v>
      </c>
      <c r="Q814" s="3">
        <v>1</v>
      </c>
      <c r="R814" s="3">
        <v>2</v>
      </c>
      <c r="S814" s="3">
        <v>6</v>
      </c>
      <c r="T81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14" t="str">
        <f>IF(Table1[[#This Row],[Customer Rating]]&gt;=9,"Promoter",IF(Table1[[#This Row],[Customer Rating]]&gt;=7,"Passive","Detractor"))</f>
        <v>Detractor</v>
      </c>
    </row>
    <row r="815" spans="1:21" ht="14.25" customHeight="1" x14ac:dyDescent="0.3">
      <c r="A815" s="3" t="s">
        <v>850</v>
      </c>
      <c r="B815" s="3" t="s">
        <v>32</v>
      </c>
      <c r="C815" s="3" t="s">
        <v>33</v>
      </c>
      <c r="D815" s="14">
        <v>45937</v>
      </c>
      <c r="E815" s="11">
        <f>1</f>
        <v>1</v>
      </c>
      <c r="G815" s="12">
        <f>IF(Table1[[#This Row],[Pre-Booking Date]]&lt;&gt;"",1,0)</f>
        <v>0</v>
      </c>
      <c r="I815" s="12">
        <f>IF(Table1[[#This Row],[Booking Date]]&lt;&gt;"",1,0)</f>
        <v>0</v>
      </c>
      <c r="K815" s="12">
        <f>IF(Table1[[#This Row],[Delivery Date]]&lt;&gt;"",1,0)</f>
        <v>0</v>
      </c>
      <c r="L815" s="3" t="s">
        <v>3</v>
      </c>
      <c r="M815" s="3">
        <f>IF(Table1[[#This Row],[Cancellation Status]]&lt;&gt;"Yes",1,0)</f>
        <v>0</v>
      </c>
      <c r="N815" s="3" t="s">
        <v>55</v>
      </c>
      <c r="T81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15" t="str">
        <f>IF(Table1[[#This Row],[Customer Rating]]&gt;=9,"Promoter",IF(Table1[[#This Row],[Customer Rating]]&gt;=7,"Passive","Detractor"))</f>
        <v>Detractor</v>
      </c>
    </row>
    <row r="816" spans="1:21" ht="14.25" customHeight="1" x14ac:dyDescent="0.3">
      <c r="A816" s="3" t="s">
        <v>851</v>
      </c>
      <c r="B816" s="3" t="s">
        <v>39</v>
      </c>
      <c r="C816" s="3" t="s">
        <v>27</v>
      </c>
      <c r="D816" s="14">
        <v>45937</v>
      </c>
      <c r="E816" s="11">
        <f>1</f>
        <v>1</v>
      </c>
      <c r="F816" s="14">
        <v>45942</v>
      </c>
      <c r="G816" s="11">
        <f>IF(Table1[[#This Row],[Pre-Booking Date]]&lt;&gt;"",1,0)</f>
        <v>1</v>
      </c>
      <c r="H816" s="4">
        <v>45943</v>
      </c>
      <c r="I816" s="11">
        <f>IF(Table1[[#This Row],[Booking Date]]&lt;&gt;"",1,0)</f>
        <v>1</v>
      </c>
      <c r="J816" s="30">
        <v>45948</v>
      </c>
      <c r="K816" s="11">
        <f>IF(Table1[[#This Row],[Delivery Date]]&lt;&gt;"",1,0)</f>
        <v>1</v>
      </c>
      <c r="L816" s="3" t="s">
        <v>2</v>
      </c>
      <c r="M816" s="3">
        <f>IF(Table1[[#This Row],[Cancellation Status]]&lt;&gt;"Yes",1,0)</f>
        <v>1</v>
      </c>
      <c r="O816" s="30">
        <v>45973</v>
      </c>
      <c r="P816" s="3">
        <v>5</v>
      </c>
      <c r="Q816" s="3">
        <v>1</v>
      </c>
      <c r="R816" s="3">
        <v>5</v>
      </c>
      <c r="S816" s="3">
        <v>9</v>
      </c>
      <c r="T81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16" t="str">
        <f>IF(Table1[[#This Row],[Customer Rating]]&gt;=9,"Promoter",IF(Table1[[#This Row],[Customer Rating]]&gt;=7,"Passive","Detractor"))</f>
        <v>Promoter</v>
      </c>
    </row>
    <row r="817" spans="1:21" ht="14.25" customHeight="1" x14ac:dyDescent="0.3">
      <c r="A817" s="3" t="s">
        <v>852</v>
      </c>
      <c r="B817" s="3" t="s">
        <v>32</v>
      </c>
      <c r="C817" s="3" t="s">
        <v>27</v>
      </c>
      <c r="D817" s="14">
        <v>45937</v>
      </c>
      <c r="E817" s="11">
        <f>1</f>
        <v>1</v>
      </c>
      <c r="F817" s="14">
        <v>45939</v>
      </c>
      <c r="G817" s="11">
        <f>IF(Table1[[#This Row],[Pre-Booking Date]]&lt;&gt;"",1,0)</f>
        <v>1</v>
      </c>
      <c r="H817" s="4">
        <v>45942</v>
      </c>
      <c r="I817" s="11">
        <f>IF(Table1[[#This Row],[Booking Date]]&lt;&gt;"",1,0)</f>
        <v>1</v>
      </c>
      <c r="J817" s="30">
        <v>45949</v>
      </c>
      <c r="K817" s="11">
        <f>IF(Table1[[#This Row],[Delivery Date]]&lt;&gt;"",1,0)</f>
        <v>1</v>
      </c>
      <c r="L817" s="3" t="s">
        <v>2</v>
      </c>
      <c r="M817" s="3">
        <f>IF(Table1[[#This Row],[Cancellation Status]]&lt;&gt;"Yes",1,0)</f>
        <v>1</v>
      </c>
      <c r="O817" s="30">
        <v>45964</v>
      </c>
      <c r="P817" s="3">
        <v>2</v>
      </c>
      <c r="Q817" s="3">
        <v>3</v>
      </c>
      <c r="R817" s="3">
        <v>7</v>
      </c>
      <c r="S817" s="3">
        <v>8</v>
      </c>
      <c r="T81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17" t="str">
        <f>IF(Table1[[#This Row],[Customer Rating]]&gt;=9,"Promoter",IF(Table1[[#This Row],[Customer Rating]]&gt;=7,"Passive","Detractor"))</f>
        <v>Passive</v>
      </c>
    </row>
    <row r="818" spans="1:21" ht="14.25" customHeight="1" x14ac:dyDescent="0.3">
      <c r="A818" s="3" t="s">
        <v>853</v>
      </c>
      <c r="B818" s="3" t="s">
        <v>32</v>
      </c>
      <c r="C818" s="3" t="s">
        <v>30</v>
      </c>
      <c r="D818" s="14">
        <v>45937</v>
      </c>
      <c r="E818" s="11">
        <f>1</f>
        <v>1</v>
      </c>
      <c r="F818" s="14">
        <v>45940</v>
      </c>
      <c r="G818" s="11">
        <f>IF(Table1[[#This Row],[Pre-Booking Date]]&lt;&gt;"",1,0)</f>
        <v>1</v>
      </c>
      <c r="H818" s="4">
        <v>45941</v>
      </c>
      <c r="I818" s="11">
        <f>IF(Table1[[#This Row],[Booking Date]]&lt;&gt;"",1,0)</f>
        <v>1</v>
      </c>
      <c r="J818" s="30">
        <v>45947</v>
      </c>
      <c r="K818" s="11">
        <f>IF(Table1[[#This Row],[Delivery Date]]&lt;&gt;"",1,0)</f>
        <v>1</v>
      </c>
      <c r="L818" s="3" t="s">
        <v>2</v>
      </c>
      <c r="M818" s="3">
        <f>IF(Table1[[#This Row],[Cancellation Status]]&lt;&gt;"Yes",1,0)</f>
        <v>1</v>
      </c>
      <c r="O818" s="30">
        <v>45965</v>
      </c>
      <c r="P818" s="3">
        <v>3</v>
      </c>
      <c r="Q818" s="3">
        <v>1</v>
      </c>
      <c r="R818" s="3">
        <v>6</v>
      </c>
      <c r="S818" s="3">
        <v>6</v>
      </c>
      <c r="T81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18" t="str">
        <f>IF(Table1[[#This Row],[Customer Rating]]&gt;=9,"Promoter",IF(Table1[[#This Row],[Customer Rating]]&gt;=7,"Passive","Detractor"))</f>
        <v>Detractor</v>
      </c>
    </row>
    <row r="819" spans="1:21" ht="14.25" customHeight="1" x14ac:dyDescent="0.3">
      <c r="A819" s="3" t="s">
        <v>854</v>
      </c>
      <c r="B819" s="3" t="s">
        <v>32</v>
      </c>
      <c r="C819" s="3" t="s">
        <v>30</v>
      </c>
      <c r="D819" s="14">
        <v>45937</v>
      </c>
      <c r="E819" s="11">
        <f>1</f>
        <v>1</v>
      </c>
      <c r="F819" s="14">
        <v>45941</v>
      </c>
      <c r="G819" s="11">
        <f>IF(Table1[[#This Row],[Pre-Booking Date]]&lt;&gt;"",1,0)</f>
        <v>1</v>
      </c>
      <c r="H819" s="4">
        <v>45946</v>
      </c>
      <c r="I819" s="11">
        <f>IF(Table1[[#This Row],[Booking Date]]&lt;&gt;"",1,0)</f>
        <v>1</v>
      </c>
      <c r="J819" s="30">
        <v>45949</v>
      </c>
      <c r="K819" s="11">
        <f>IF(Table1[[#This Row],[Delivery Date]]&lt;&gt;"",1,0)</f>
        <v>1</v>
      </c>
      <c r="L819" s="3" t="s">
        <v>2</v>
      </c>
      <c r="M819" s="3">
        <f>IF(Table1[[#This Row],[Cancellation Status]]&lt;&gt;"Yes",1,0)</f>
        <v>1</v>
      </c>
      <c r="O819" s="30">
        <v>45978</v>
      </c>
      <c r="P819" s="3">
        <v>4</v>
      </c>
      <c r="Q819" s="3">
        <v>5</v>
      </c>
      <c r="R819" s="3">
        <v>3</v>
      </c>
      <c r="S819" s="3">
        <v>7</v>
      </c>
      <c r="T81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19" t="str">
        <f>IF(Table1[[#This Row],[Customer Rating]]&gt;=9,"Promoter",IF(Table1[[#This Row],[Customer Rating]]&gt;=7,"Passive","Detractor"))</f>
        <v>Passive</v>
      </c>
    </row>
    <row r="820" spans="1:21" ht="14.25" customHeight="1" x14ac:dyDescent="0.3">
      <c r="A820" s="3" t="s">
        <v>855</v>
      </c>
      <c r="B820" s="3" t="s">
        <v>39</v>
      </c>
      <c r="C820" s="3" t="s">
        <v>30</v>
      </c>
      <c r="D820" s="14">
        <v>45937</v>
      </c>
      <c r="E820" s="11">
        <f>1</f>
        <v>1</v>
      </c>
      <c r="F820" s="14">
        <v>45939</v>
      </c>
      <c r="G820" s="11">
        <f>IF(Table1[[#This Row],[Pre-Booking Date]]&lt;&gt;"",1,0)</f>
        <v>1</v>
      </c>
      <c r="H820" s="4">
        <v>45944</v>
      </c>
      <c r="I820" s="11">
        <f>IF(Table1[[#This Row],[Booking Date]]&lt;&gt;"",1,0)</f>
        <v>1</v>
      </c>
      <c r="J820" s="30">
        <v>45948</v>
      </c>
      <c r="K820" s="11">
        <f>IF(Table1[[#This Row],[Delivery Date]]&lt;&gt;"",1,0)</f>
        <v>1</v>
      </c>
      <c r="L820" s="3" t="s">
        <v>2</v>
      </c>
      <c r="M820" s="3">
        <f>IF(Table1[[#This Row],[Cancellation Status]]&lt;&gt;"Yes",1,0)</f>
        <v>1</v>
      </c>
      <c r="O820" s="30">
        <v>45967</v>
      </c>
      <c r="P820" s="3">
        <v>2</v>
      </c>
      <c r="Q820" s="3">
        <v>5</v>
      </c>
      <c r="R820" s="3">
        <v>4</v>
      </c>
      <c r="S820" s="3">
        <v>4</v>
      </c>
      <c r="T82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20" t="str">
        <f>IF(Table1[[#This Row],[Customer Rating]]&gt;=9,"Promoter",IF(Table1[[#This Row],[Customer Rating]]&gt;=7,"Passive","Detractor"))</f>
        <v>Detractor</v>
      </c>
    </row>
    <row r="821" spans="1:21" ht="14.25" customHeight="1" x14ac:dyDescent="0.3">
      <c r="A821" s="3" t="s">
        <v>856</v>
      </c>
      <c r="B821" s="3" t="s">
        <v>39</v>
      </c>
      <c r="C821" s="3" t="s">
        <v>27</v>
      </c>
      <c r="D821" s="14">
        <v>45937</v>
      </c>
      <c r="E821" s="11">
        <f>1</f>
        <v>1</v>
      </c>
      <c r="F821" s="14">
        <v>45939</v>
      </c>
      <c r="G821" s="11">
        <f>IF(Table1[[#This Row],[Pre-Booking Date]]&lt;&gt;"",1,0)</f>
        <v>1</v>
      </c>
      <c r="H821" s="4">
        <v>45944</v>
      </c>
      <c r="I821" s="11">
        <f>IF(Table1[[#This Row],[Booking Date]]&lt;&gt;"",1,0)</f>
        <v>1</v>
      </c>
      <c r="J821" s="30">
        <v>45946</v>
      </c>
      <c r="K821" s="11">
        <f>IF(Table1[[#This Row],[Delivery Date]]&lt;&gt;"",1,0)</f>
        <v>1</v>
      </c>
      <c r="L821" s="3" t="s">
        <v>2</v>
      </c>
      <c r="M821" s="3">
        <f>IF(Table1[[#This Row],[Cancellation Status]]&lt;&gt;"Yes",1,0)</f>
        <v>1</v>
      </c>
      <c r="O821" s="30">
        <v>45969</v>
      </c>
      <c r="P821" s="3">
        <v>2</v>
      </c>
      <c r="Q821" s="3">
        <v>5</v>
      </c>
      <c r="R821" s="3">
        <v>2</v>
      </c>
      <c r="S821" s="3">
        <v>2</v>
      </c>
      <c r="T82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21" t="str">
        <f>IF(Table1[[#This Row],[Customer Rating]]&gt;=9,"Promoter",IF(Table1[[#This Row],[Customer Rating]]&gt;=7,"Passive","Detractor"))</f>
        <v>Detractor</v>
      </c>
    </row>
    <row r="822" spans="1:21" ht="14.25" customHeight="1" x14ac:dyDescent="0.3">
      <c r="A822" s="3" t="s">
        <v>857</v>
      </c>
      <c r="B822" s="3" t="s">
        <v>29</v>
      </c>
      <c r="C822" s="3" t="s">
        <v>33</v>
      </c>
      <c r="D822" s="14">
        <v>45937</v>
      </c>
      <c r="E822" s="11">
        <f>1</f>
        <v>1</v>
      </c>
      <c r="G822" s="12">
        <f>IF(Table1[[#This Row],[Pre-Booking Date]]&lt;&gt;"",1,0)</f>
        <v>0</v>
      </c>
      <c r="I822" s="12">
        <f>IF(Table1[[#This Row],[Booking Date]]&lt;&gt;"",1,0)</f>
        <v>0</v>
      </c>
      <c r="K822" s="12">
        <f>IF(Table1[[#This Row],[Delivery Date]]&lt;&gt;"",1,0)</f>
        <v>0</v>
      </c>
      <c r="L822" s="3" t="s">
        <v>3</v>
      </c>
      <c r="M822" s="3">
        <f>IF(Table1[[#This Row],[Cancellation Status]]&lt;&gt;"Yes",1,0)</f>
        <v>0</v>
      </c>
      <c r="N822" s="3" t="s">
        <v>37</v>
      </c>
      <c r="T82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22" t="str">
        <f>IF(Table1[[#This Row],[Customer Rating]]&gt;=9,"Promoter",IF(Table1[[#This Row],[Customer Rating]]&gt;=7,"Passive","Detractor"))</f>
        <v>Detractor</v>
      </c>
    </row>
    <row r="823" spans="1:21" ht="14.25" customHeight="1" x14ac:dyDescent="0.3">
      <c r="A823" s="3" t="s">
        <v>858</v>
      </c>
      <c r="B823" s="3" t="s">
        <v>29</v>
      </c>
      <c r="C823" s="3" t="s">
        <v>33</v>
      </c>
      <c r="D823" s="14">
        <v>45937</v>
      </c>
      <c r="E823" s="11">
        <f>1</f>
        <v>1</v>
      </c>
      <c r="G823" s="12">
        <f>IF(Table1[[#This Row],[Pre-Booking Date]]&lt;&gt;"",1,0)</f>
        <v>0</v>
      </c>
      <c r="I823" s="12">
        <f>IF(Table1[[#This Row],[Booking Date]]&lt;&gt;"",1,0)</f>
        <v>0</v>
      </c>
      <c r="K823" s="12">
        <f>IF(Table1[[#This Row],[Delivery Date]]&lt;&gt;"",1,0)</f>
        <v>0</v>
      </c>
      <c r="L823" s="3" t="s">
        <v>3</v>
      </c>
      <c r="M823" s="3">
        <f>IF(Table1[[#This Row],[Cancellation Status]]&lt;&gt;"Yes",1,0)</f>
        <v>0</v>
      </c>
      <c r="N823" s="3" t="s">
        <v>55</v>
      </c>
      <c r="T82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23" t="str">
        <f>IF(Table1[[#This Row],[Customer Rating]]&gt;=9,"Promoter",IF(Table1[[#This Row],[Customer Rating]]&gt;=7,"Passive","Detractor"))</f>
        <v>Detractor</v>
      </c>
    </row>
    <row r="824" spans="1:21" ht="14.25" customHeight="1" x14ac:dyDescent="0.3">
      <c r="A824" s="3" t="s">
        <v>859</v>
      </c>
      <c r="B824" s="3" t="s">
        <v>39</v>
      </c>
      <c r="C824" s="3" t="s">
        <v>30</v>
      </c>
      <c r="D824" s="14">
        <v>45937</v>
      </c>
      <c r="E824" s="11">
        <f>1</f>
        <v>1</v>
      </c>
      <c r="F824" s="14">
        <v>45940</v>
      </c>
      <c r="G824" s="11">
        <f>IF(Table1[[#This Row],[Pre-Booking Date]]&lt;&gt;"",1,0)</f>
        <v>1</v>
      </c>
      <c r="H824" s="4">
        <v>45945</v>
      </c>
      <c r="I824" s="11">
        <f>IF(Table1[[#This Row],[Booking Date]]&lt;&gt;"",1,0)</f>
        <v>1</v>
      </c>
      <c r="J824" s="30">
        <v>45951</v>
      </c>
      <c r="K824" s="11">
        <f>IF(Table1[[#This Row],[Delivery Date]]&lt;&gt;"",1,0)</f>
        <v>1</v>
      </c>
      <c r="L824" s="3" t="s">
        <v>2</v>
      </c>
      <c r="M824" s="3">
        <f>IF(Table1[[#This Row],[Cancellation Status]]&lt;&gt;"Yes",1,0)</f>
        <v>1</v>
      </c>
      <c r="O824" s="30">
        <v>45979</v>
      </c>
      <c r="P824" s="3">
        <v>3</v>
      </c>
      <c r="Q824" s="3">
        <v>5</v>
      </c>
      <c r="R824" s="3">
        <v>6</v>
      </c>
      <c r="S824" s="3">
        <v>5</v>
      </c>
      <c r="T82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24" t="str">
        <f>IF(Table1[[#This Row],[Customer Rating]]&gt;=9,"Promoter",IF(Table1[[#This Row],[Customer Rating]]&gt;=7,"Passive","Detractor"))</f>
        <v>Detractor</v>
      </c>
    </row>
    <row r="825" spans="1:21" ht="14.25" customHeight="1" x14ac:dyDescent="0.3">
      <c r="A825" s="3" t="s">
        <v>860</v>
      </c>
      <c r="B825" s="3" t="s">
        <v>29</v>
      </c>
      <c r="C825" s="3" t="s">
        <v>27</v>
      </c>
      <c r="D825" s="14">
        <v>45936</v>
      </c>
      <c r="E825" s="11">
        <f>1</f>
        <v>1</v>
      </c>
      <c r="F825" s="14">
        <v>45937</v>
      </c>
      <c r="G825" s="11">
        <f>IF(Table1[[#This Row],[Pre-Booking Date]]&lt;&gt;"",1,0)</f>
        <v>1</v>
      </c>
      <c r="H825" s="4">
        <v>45942</v>
      </c>
      <c r="I825" s="11">
        <f>IF(Table1[[#This Row],[Booking Date]]&lt;&gt;"",1,0)</f>
        <v>1</v>
      </c>
      <c r="J825" s="30">
        <v>45947</v>
      </c>
      <c r="K825" s="11">
        <f>IF(Table1[[#This Row],[Delivery Date]]&lt;&gt;"",1,0)</f>
        <v>1</v>
      </c>
      <c r="L825" s="3" t="s">
        <v>2</v>
      </c>
      <c r="M825" s="3">
        <f>IF(Table1[[#This Row],[Cancellation Status]]&lt;&gt;"Yes",1,0)</f>
        <v>1</v>
      </c>
      <c r="O825" s="30">
        <v>45972</v>
      </c>
      <c r="P825" s="3">
        <v>1</v>
      </c>
      <c r="Q825" s="3">
        <v>5</v>
      </c>
      <c r="R825" s="3">
        <v>5</v>
      </c>
      <c r="S825" s="3">
        <v>5</v>
      </c>
      <c r="T82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25" t="str">
        <f>IF(Table1[[#This Row],[Customer Rating]]&gt;=9,"Promoter",IF(Table1[[#This Row],[Customer Rating]]&gt;=7,"Passive","Detractor"))</f>
        <v>Detractor</v>
      </c>
    </row>
    <row r="826" spans="1:21" ht="14.25" customHeight="1" x14ac:dyDescent="0.3">
      <c r="A826" s="3" t="s">
        <v>861</v>
      </c>
      <c r="B826" s="3" t="s">
        <v>29</v>
      </c>
      <c r="C826" s="3" t="s">
        <v>30</v>
      </c>
      <c r="D826" s="14">
        <v>45936</v>
      </c>
      <c r="E826" s="11">
        <f>1</f>
        <v>1</v>
      </c>
      <c r="F826" s="14">
        <v>45941</v>
      </c>
      <c r="G826" s="11">
        <f>IF(Table1[[#This Row],[Pre-Booking Date]]&lt;&gt;"",1,0)</f>
        <v>1</v>
      </c>
      <c r="H826" s="4">
        <v>45946</v>
      </c>
      <c r="I826" s="11">
        <f>IF(Table1[[#This Row],[Booking Date]]&lt;&gt;"",1,0)</f>
        <v>1</v>
      </c>
      <c r="J826" s="30">
        <v>45953</v>
      </c>
      <c r="K826" s="11">
        <f>IF(Table1[[#This Row],[Delivery Date]]&lt;&gt;"",1,0)</f>
        <v>1</v>
      </c>
      <c r="L826" s="3" t="s">
        <v>2</v>
      </c>
      <c r="M826" s="3">
        <f>IF(Table1[[#This Row],[Cancellation Status]]&lt;&gt;"Yes",1,0)</f>
        <v>1</v>
      </c>
      <c r="O826" s="30">
        <v>45968</v>
      </c>
      <c r="P826" s="3">
        <v>5</v>
      </c>
      <c r="Q826" s="3">
        <v>5</v>
      </c>
      <c r="R826" s="3">
        <v>7</v>
      </c>
      <c r="S826" s="3">
        <v>1</v>
      </c>
      <c r="T82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26" t="str">
        <f>IF(Table1[[#This Row],[Customer Rating]]&gt;=9,"Promoter",IF(Table1[[#This Row],[Customer Rating]]&gt;=7,"Passive","Detractor"))</f>
        <v>Detractor</v>
      </c>
    </row>
    <row r="827" spans="1:21" ht="14.25" customHeight="1" x14ac:dyDescent="0.3">
      <c r="A827" s="3" t="s">
        <v>862</v>
      </c>
      <c r="B827" s="3" t="s">
        <v>32</v>
      </c>
      <c r="C827" s="3" t="s">
        <v>27</v>
      </c>
      <c r="D827" s="14">
        <v>45936</v>
      </c>
      <c r="E827" s="11">
        <f>1</f>
        <v>1</v>
      </c>
      <c r="F827" s="14">
        <v>45939</v>
      </c>
      <c r="G827" s="11">
        <f>IF(Table1[[#This Row],[Pre-Booking Date]]&lt;&gt;"",1,0)</f>
        <v>1</v>
      </c>
      <c r="H827" s="4">
        <v>45944</v>
      </c>
      <c r="I827" s="11">
        <f>IF(Table1[[#This Row],[Booking Date]]&lt;&gt;"",1,0)</f>
        <v>1</v>
      </c>
      <c r="J827" s="30">
        <v>45949</v>
      </c>
      <c r="K827" s="11">
        <f>IF(Table1[[#This Row],[Delivery Date]]&lt;&gt;"",1,0)</f>
        <v>1</v>
      </c>
      <c r="L827" s="3" t="s">
        <v>2</v>
      </c>
      <c r="M827" s="3">
        <f>IF(Table1[[#This Row],[Cancellation Status]]&lt;&gt;"Yes",1,0)</f>
        <v>1</v>
      </c>
      <c r="O827" s="30">
        <v>45959</v>
      </c>
      <c r="P827" s="3">
        <v>3</v>
      </c>
      <c r="Q827" s="3">
        <v>5</v>
      </c>
      <c r="R827" s="3">
        <v>5</v>
      </c>
      <c r="S827" s="3">
        <v>4</v>
      </c>
      <c r="T82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27" t="str">
        <f>IF(Table1[[#This Row],[Customer Rating]]&gt;=9,"Promoter",IF(Table1[[#This Row],[Customer Rating]]&gt;=7,"Passive","Detractor"))</f>
        <v>Detractor</v>
      </c>
    </row>
    <row r="828" spans="1:21" ht="14.25" customHeight="1" x14ac:dyDescent="0.3">
      <c r="A828" s="3" t="s">
        <v>863</v>
      </c>
      <c r="B828" s="3" t="s">
        <v>29</v>
      </c>
      <c r="C828" s="3" t="s">
        <v>30</v>
      </c>
      <c r="D828" s="14">
        <v>45936</v>
      </c>
      <c r="E828" s="11">
        <f>1</f>
        <v>1</v>
      </c>
      <c r="F828" s="14">
        <v>45939</v>
      </c>
      <c r="G828" s="11">
        <f>IF(Table1[[#This Row],[Pre-Booking Date]]&lt;&gt;"",1,0)</f>
        <v>1</v>
      </c>
      <c r="H828" s="4">
        <v>45942</v>
      </c>
      <c r="I828" s="11">
        <f>IF(Table1[[#This Row],[Booking Date]]&lt;&gt;"",1,0)</f>
        <v>1</v>
      </c>
      <c r="J828" s="30">
        <v>45944</v>
      </c>
      <c r="K828" s="11">
        <f>IF(Table1[[#This Row],[Delivery Date]]&lt;&gt;"",1,0)</f>
        <v>1</v>
      </c>
      <c r="L828" s="3" t="s">
        <v>2</v>
      </c>
      <c r="M828" s="3">
        <f>IF(Table1[[#This Row],[Cancellation Status]]&lt;&gt;"Yes",1,0)</f>
        <v>1</v>
      </c>
      <c r="O828" s="30">
        <v>45971</v>
      </c>
      <c r="P828" s="3">
        <v>3</v>
      </c>
      <c r="Q828" s="3">
        <v>3</v>
      </c>
      <c r="R828" s="3">
        <v>2</v>
      </c>
      <c r="S828" s="3">
        <v>6</v>
      </c>
      <c r="T82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28" t="str">
        <f>IF(Table1[[#This Row],[Customer Rating]]&gt;=9,"Promoter",IF(Table1[[#This Row],[Customer Rating]]&gt;=7,"Passive","Detractor"))</f>
        <v>Detractor</v>
      </c>
    </row>
    <row r="829" spans="1:21" ht="14.25" customHeight="1" x14ac:dyDescent="0.3">
      <c r="A829" s="3" t="s">
        <v>864</v>
      </c>
      <c r="B829" s="3" t="s">
        <v>39</v>
      </c>
      <c r="C829" s="3" t="s">
        <v>30</v>
      </c>
      <c r="D829" s="14">
        <v>45936</v>
      </c>
      <c r="E829" s="11">
        <f>1</f>
        <v>1</v>
      </c>
      <c r="F829" s="14">
        <v>45940</v>
      </c>
      <c r="G829" s="11">
        <f>IF(Table1[[#This Row],[Pre-Booking Date]]&lt;&gt;"",1,0)</f>
        <v>1</v>
      </c>
      <c r="H829" s="4">
        <v>45942</v>
      </c>
      <c r="I829" s="11">
        <f>IF(Table1[[#This Row],[Booking Date]]&lt;&gt;"",1,0)</f>
        <v>1</v>
      </c>
      <c r="J829" s="30">
        <v>45946</v>
      </c>
      <c r="K829" s="11">
        <f>IF(Table1[[#This Row],[Delivery Date]]&lt;&gt;"",1,0)</f>
        <v>1</v>
      </c>
      <c r="L829" s="3" t="s">
        <v>2</v>
      </c>
      <c r="M829" s="3">
        <f>IF(Table1[[#This Row],[Cancellation Status]]&lt;&gt;"Yes",1,0)</f>
        <v>1</v>
      </c>
      <c r="O829" s="30">
        <v>45961</v>
      </c>
      <c r="P829" s="3">
        <v>4</v>
      </c>
      <c r="Q829" s="3">
        <v>2</v>
      </c>
      <c r="R829" s="3">
        <v>4</v>
      </c>
      <c r="S829" s="3">
        <v>1</v>
      </c>
      <c r="T82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29" t="str">
        <f>IF(Table1[[#This Row],[Customer Rating]]&gt;=9,"Promoter",IF(Table1[[#This Row],[Customer Rating]]&gt;=7,"Passive","Detractor"))</f>
        <v>Detractor</v>
      </c>
    </row>
    <row r="830" spans="1:21" ht="14.25" customHeight="1" x14ac:dyDescent="0.3">
      <c r="A830" s="3" t="s">
        <v>865</v>
      </c>
      <c r="B830" s="3" t="s">
        <v>26</v>
      </c>
      <c r="C830" s="3" t="s">
        <v>27</v>
      </c>
      <c r="D830" s="14">
        <v>45936</v>
      </c>
      <c r="E830" s="11">
        <f>1</f>
        <v>1</v>
      </c>
      <c r="F830" s="14">
        <v>45941</v>
      </c>
      <c r="G830" s="11">
        <f>IF(Table1[[#This Row],[Pre-Booking Date]]&lt;&gt;"",1,0)</f>
        <v>1</v>
      </c>
      <c r="H830" s="4">
        <v>45942</v>
      </c>
      <c r="I830" s="11">
        <f>IF(Table1[[#This Row],[Booking Date]]&lt;&gt;"",1,0)</f>
        <v>1</v>
      </c>
      <c r="J830" s="30">
        <v>45949</v>
      </c>
      <c r="K830" s="11">
        <f>IF(Table1[[#This Row],[Delivery Date]]&lt;&gt;"",1,0)</f>
        <v>1</v>
      </c>
      <c r="L830" s="3" t="s">
        <v>2</v>
      </c>
      <c r="M830" s="3">
        <f>IF(Table1[[#This Row],[Cancellation Status]]&lt;&gt;"Yes",1,0)</f>
        <v>1</v>
      </c>
      <c r="O830" s="30">
        <v>45972</v>
      </c>
      <c r="P830" s="3">
        <v>5</v>
      </c>
      <c r="Q830" s="3">
        <v>1</v>
      </c>
      <c r="R830" s="3">
        <v>7</v>
      </c>
      <c r="S830" s="3">
        <v>8</v>
      </c>
      <c r="T83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30" t="str">
        <f>IF(Table1[[#This Row],[Customer Rating]]&gt;=9,"Promoter",IF(Table1[[#This Row],[Customer Rating]]&gt;=7,"Passive","Detractor"))</f>
        <v>Passive</v>
      </c>
    </row>
    <row r="831" spans="1:21" ht="14.25" customHeight="1" x14ac:dyDescent="0.3">
      <c r="A831" s="3" t="s">
        <v>866</v>
      </c>
      <c r="B831" s="3" t="s">
        <v>26</v>
      </c>
      <c r="C831" s="3" t="s">
        <v>30</v>
      </c>
      <c r="D831" s="14">
        <v>45936</v>
      </c>
      <c r="E831" s="11">
        <f>1</f>
        <v>1</v>
      </c>
      <c r="F831" s="14">
        <v>45941</v>
      </c>
      <c r="G831" s="11">
        <f>IF(Table1[[#This Row],[Pre-Booking Date]]&lt;&gt;"",1,0)</f>
        <v>1</v>
      </c>
      <c r="H831" s="4">
        <v>45943</v>
      </c>
      <c r="I831" s="11">
        <f>IF(Table1[[#This Row],[Booking Date]]&lt;&gt;"",1,0)</f>
        <v>1</v>
      </c>
      <c r="J831" s="30">
        <v>45947</v>
      </c>
      <c r="K831" s="11">
        <f>IF(Table1[[#This Row],[Delivery Date]]&lt;&gt;"",1,0)</f>
        <v>1</v>
      </c>
      <c r="L831" s="3" t="s">
        <v>2</v>
      </c>
      <c r="M831" s="3">
        <f>IF(Table1[[#This Row],[Cancellation Status]]&lt;&gt;"Yes",1,0)</f>
        <v>1</v>
      </c>
      <c r="O831" s="30">
        <v>45959</v>
      </c>
      <c r="P831" s="3">
        <v>5</v>
      </c>
      <c r="Q831" s="3">
        <v>2</v>
      </c>
      <c r="R831" s="3">
        <v>4</v>
      </c>
      <c r="S831" s="3">
        <v>9</v>
      </c>
      <c r="T83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31" t="str">
        <f>IF(Table1[[#This Row],[Customer Rating]]&gt;=9,"Promoter",IF(Table1[[#This Row],[Customer Rating]]&gt;=7,"Passive","Detractor"))</f>
        <v>Promoter</v>
      </c>
    </row>
    <row r="832" spans="1:21" ht="14.25" customHeight="1" x14ac:dyDescent="0.3">
      <c r="A832" s="3" t="s">
        <v>867</v>
      </c>
      <c r="B832" s="3" t="s">
        <v>32</v>
      </c>
      <c r="C832" s="3" t="s">
        <v>30</v>
      </c>
      <c r="D832" s="14">
        <v>45936</v>
      </c>
      <c r="E832" s="11">
        <f>1</f>
        <v>1</v>
      </c>
      <c r="F832" s="14">
        <v>45939</v>
      </c>
      <c r="G832" s="11">
        <f>IF(Table1[[#This Row],[Pre-Booking Date]]&lt;&gt;"",1,0)</f>
        <v>1</v>
      </c>
      <c r="H832" s="4">
        <v>45941</v>
      </c>
      <c r="I832" s="11">
        <f>IF(Table1[[#This Row],[Booking Date]]&lt;&gt;"",1,0)</f>
        <v>1</v>
      </c>
      <c r="J832" s="30">
        <v>45947</v>
      </c>
      <c r="K832" s="11">
        <f>IF(Table1[[#This Row],[Delivery Date]]&lt;&gt;"",1,0)</f>
        <v>1</v>
      </c>
      <c r="L832" s="3" t="s">
        <v>2</v>
      </c>
      <c r="M832" s="3">
        <f>IF(Table1[[#This Row],[Cancellation Status]]&lt;&gt;"Yes",1,0)</f>
        <v>1</v>
      </c>
      <c r="O832" s="30">
        <v>45976</v>
      </c>
      <c r="P832" s="3">
        <v>3</v>
      </c>
      <c r="Q832" s="3">
        <v>2</v>
      </c>
      <c r="R832" s="3">
        <v>6</v>
      </c>
      <c r="S832" s="3">
        <v>7</v>
      </c>
      <c r="T83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32" t="str">
        <f>IF(Table1[[#This Row],[Customer Rating]]&gt;=9,"Promoter",IF(Table1[[#This Row],[Customer Rating]]&gt;=7,"Passive","Detractor"))</f>
        <v>Passive</v>
      </c>
    </row>
    <row r="833" spans="1:21" ht="14.25" customHeight="1" x14ac:dyDescent="0.3">
      <c r="A833" s="3" t="s">
        <v>868</v>
      </c>
      <c r="B833" s="3" t="s">
        <v>39</v>
      </c>
      <c r="C833" s="3" t="s">
        <v>27</v>
      </c>
      <c r="D833" s="14">
        <v>45936</v>
      </c>
      <c r="E833" s="11">
        <f>1</f>
        <v>1</v>
      </c>
      <c r="F833" s="14">
        <v>45940</v>
      </c>
      <c r="G833" s="11">
        <f>IF(Table1[[#This Row],[Pre-Booking Date]]&lt;&gt;"",1,0)</f>
        <v>1</v>
      </c>
      <c r="H833" s="4">
        <v>45944</v>
      </c>
      <c r="I833" s="11">
        <f>IF(Table1[[#This Row],[Booking Date]]&lt;&gt;"",1,0)</f>
        <v>1</v>
      </c>
      <c r="J833" s="30">
        <v>45948</v>
      </c>
      <c r="K833" s="11">
        <f>IF(Table1[[#This Row],[Delivery Date]]&lt;&gt;"",1,0)</f>
        <v>1</v>
      </c>
      <c r="L833" s="3" t="s">
        <v>2</v>
      </c>
      <c r="M833" s="3">
        <f>IF(Table1[[#This Row],[Cancellation Status]]&lt;&gt;"Yes",1,0)</f>
        <v>1</v>
      </c>
      <c r="O833" s="30">
        <v>45966</v>
      </c>
      <c r="P833" s="3">
        <v>4</v>
      </c>
      <c r="Q833" s="3">
        <v>4</v>
      </c>
      <c r="R833" s="3">
        <v>4</v>
      </c>
      <c r="S833" s="3">
        <v>1</v>
      </c>
      <c r="T83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33" t="str">
        <f>IF(Table1[[#This Row],[Customer Rating]]&gt;=9,"Promoter",IF(Table1[[#This Row],[Customer Rating]]&gt;=7,"Passive","Detractor"))</f>
        <v>Detractor</v>
      </c>
    </row>
    <row r="834" spans="1:21" ht="14.25" customHeight="1" x14ac:dyDescent="0.3">
      <c r="A834" s="3" t="s">
        <v>869</v>
      </c>
      <c r="B834" s="3" t="s">
        <v>32</v>
      </c>
      <c r="C834" s="3" t="s">
        <v>27</v>
      </c>
      <c r="D834" s="14">
        <v>45936</v>
      </c>
      <c r="E834" s="11">
        <f>1</f>
        <v>1</v>
      </c>
      <c r="F834" s="14">
        <v>45939</v>
      </c>
      <c r="G834" s="11">
        <f>IF(Table1[[#This Row],[Pre-Booking Date]]&lt;&gt;"",1,0)</f>
        <v>1</v>
      </c>
      <c r="H834" s="4">
        <v>45940</v>
      </c>
      <c r="I834" s="11">
        <f>IF(Table1[[#This Row],[Booking Date]]&lt;&gt;"",1,0)</f>
        <v>1</v>
      </c>
      <c r="J834" s="30">
        <v>45945</v>
      </c>
      <c r="K834" s="11">
        <f>IF(Table1[[#This Row],[Delivery Date]]&lt;&gt;"",1,0)</f>
        <v>1</v>
      </c>
      <c r="L834" s="3" t="s">
        <v>2</v>
      </c>
      <c r="M834" s="3">
        <f>IF(Table1[[#This Row],[Cancellation Status]]&lt;&gt;"Yes",1,0)</f>
        <v>1</v>
      </c>
      <c r="O834" s="30">
        <v>45959</v>
      </c>
      <c r="P834" s="3">
        <v>3</v>
      </c>
      <c r="Q834" s="3">
        <v>1</v>
      </c>
      <c r="R834" s="3">
        <v>5</v>
      </c>
      <c r="S834" s="3">
        <v>7</v>
      </c>
      <c r="T83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34" t="str">
        <f>IF(Table1[[#This Row],[Customer Rating]]&gt;=9,"Promoter",IF(Table1[[#This Row],[Customer Rating]]&gt;=7,"Passive","Detractor"))</f>
        <v>Passive</v>
      </c>
    </row>
    <row r="835" spans="1:21" ht="14.25" customHeight="1" x14ac:dyDescent="0.3">
      <c r="A835" s="3" t="s">
        <v>870</v>
      </c>
      <c r="B835" s="3" t="s">
        <v>26</v>
      </c>
      <c r="C835" s="3" t="s">
        <v>30</v>
      </c>
      <c r="D835" s="14">
        <v>45936</v>
      </c>
      <c r="E835" s="11">
        <f>1</f>
        <v>1</v>
      </c>
      <c r="F835" s="14">
        <v>45939</v>
      </c>
      <c r="G835" s="11">
        <f>IF(Table1[[#This Row],[Pre-Booking Date]]&lt;&gt;"",1,0)</f>
        <v>1</v>
      </c>
      <c r="H835" s="4">
        <v>45940</v>
      </c>
      <c r="I835" s="11">
        <f>IF(Table1[[#This Row],[Booking Date]]&lt;&gt;"",1,0)</f>
        <v>1</v>
      </c>
      <c r="J835" s="30">
        <v>45947</v>
      </c>
      <c r="K835" s="11">
        <f>IF(Table1[[#This Row],[Delivery Date]]&lt;&gt;"",1,0)</f>
        <v>1</v>
      </c>
      <c r="L835" s="3" t="s">
        <v>2</v>
      </c>
      <c r="M835" s="3">
        <f>IF(Table1[[#This Row],[Cancellation Status]]&lt;&gt;"Yes",1,0)</f>
        <v>1</v>
      </c>
      <c r="O835" s="30">
        <v>45961</v>
      </c>
      <c r="P835" s="3">
        <v>3</v>
      </c>
      <c r="Q835" s="3">
        <v>1</v>
      </c>
      <c r="R835" s="3">
        <v>7</v>
      </c>
      <c r="S835" s="3">
        <v>1</v>
      </c>
      <c r="T83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35" t="str">
        <f>IF(Table1[[#This Row],[Customer Rating]]&gt;=9,"Promoter",IF(Table1[[#This Row],[Customer Rating]]&gt;=7,"Passive","Detractor"))</f>
        <v>Detractor</v>
      </c>
    </row>
    <row r="836" spans="1:21" ht="14.25" customHeight="1" x14ac:dyDescent="0.3">
      <c r="A836" s="3" t="s">
        <v>871</v>
      </c>
      <c r="B836" s="3" t="s">
        <v>32</v>
      </c>
      <c r="C836" s="3" t="s">
        <v>27</v>
      </c>
      <c r="D836" s="14">
        <v>45936</v>
      </c>
      <c r="E836" s="11">
        <f>1</f>
        <v>1</v>
      </c>
      <c r="F836" s="14">
        <v>45941</v>
      </c>
      <c r="G836" s="11">
        <f>IF(Table1[[#This Row],[Pre-Booking Date]]&lt;&gt;"",1,0)</f>
        <v>1</v>
      </c>
      <c r="H836" s="4">
        <v>45942</v>
      </c>
      <c r="I836" s="11">
        <f>IF(Table1[[#This Row],[Booking Date]]&lt;&gt;"",1,0)</f>
        <v>1</v>
      </c>
      <c r="J836" s="30">
        <v>45945</v>
      </c>
      <c r="K836" s="11">
        <f>IF(Table1[[#This Row],[Delivery Date]]&lt;&gt;"",1,0)</f>
        <v>1</v>
      </c>
      <c r="L836" s="3" t="s">
        <v>2</v>
      </c>
      <c r="M836" s="3">
        <f>IF(Table1[[#This Row],[Cancellation Status]]&lt;&gt;"Yes",1,0)</f>
        <v>1</v>
      </c>
      <c r="O836" s="30">
        <v>45957</v>
      </c>
      <c r="P836" s="3">
        <v>5</v>
      </c>
      <c r="Q836" s="3">
        <v>1</v>
      </c>
      <c r="R836" s="3">
        <v>3</v>
      </c>
      <c r="S836" s="3">
        <v>6</v>
      </c>
      <c r="T83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36" t="str">
        <f>IF(Table1[[#This Row],[Customer Rating]]&gt;=9,"Promoter",IF(Table1[[#This Row],[Customer Rating]]&gt;=7,"Passive","Detractor"))</f>
        <v>Detractor</v>
      </c>
    </row>
    <row r="837" spans="1:21" ht="14.25" customHeight="1" x14ac:dyDescent="0.3">
      <c r="A837" s="3" t="s">
        <v>872</v>
      </c>
      <c r="B837" s="3" t="s">
        <v>29</v>
      </c>
      <c r="C837" s="3" t="s">
        <v>33</v>
      </c>
      <c r="D837" s="14">
        <v>45936</v>
      </c>
      <c r="E837" s="11">
        <f>1</f>
        <v>1</v>
      </c>
      <c r="G837" s="12">
        <f>IF(Table1[[#This Row],[Pre-Booking Date]]&lt;&gt;"",1,0)</f>
        <v>0</v>
      </c>
      <c r="I837" s="12">
        <f>IF(Table1[[#This Row],[Booking Date]]&lt;&gt;"",1,0)</f>
        <v>0</v>
      </c>
      <c r="K837" s="12">
        <f>IF(Table1[[#This Row],[Delivery Date]]&lt;&gt;"",1,0)</f>
        <v>0</v>
      </c>
      <c r="L837" s="3" t="s">
        <v>3</v>
      </c>
      <c r="M837" s="3">
        <f>IF(Table1[[#This Row],[Cancellation Status]]&lt;&gt;"Yes",1,0)</f>
        <v>0</v>
      </c>
      <c r="N837" s="3" t="s">
        <v>52</v>
      </c>
      <c r="T83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37" t="str">
        <f>IF(Table1[[#This Row],[Customer Rating]]&gt;=9,"Promoter",IF(Table1[[#This Row],[Customer Rating]]&gt;=7,"Passive","Detractor"))</f>
        <v>Detractor</v>
      </c>
    </row>
    <row r="838" spans="1:21" ht="14.25" customHeight="1" x14ac:dyDescent="0.3">
      <c r="A838" s="3" t="s">
        <v>873</v>
      </c>
      <c r="B838" s="3" t="s">
        <v>29</v>
      </c>
      <c r="C838" s="3" t="s">
        <v>27</v>
      </c>
      <c r="D838" s="14">
        <v>45936</v>
      </c>
      <c r="E838" s="11">
        <f>1</f>
        <v>1</v>
      </c>
      <c r="F838" s="14">
        <v>45940</v>
      </c>
      <c r="G838" s="11">
        <f>IF(Table1[[#This Row],[Pre-Booking Date]]&lt;&gt;"",1,0)</f>
        <v>1</v>
      </c>
      <c r="H838" s="4">
        <v>45944</v>
      </c>
      <c r="I838" s="11">
        <f>IF(Table1[[#This Row],[Booking Date]]&lt;&gt;"",1,0)</f>
        <v>1</v>
      </c>
      <c r="J838" s="30">
        <v>45951</v>
      </c>
      <c r="K838" s="11">
        <f>IF(Table1[[#This Row],[Delivery Date]]&lt;&gt;"",1,0)</f>
        <v>1</v>
      </c>
      <c r="L838" s="3" t="s">
        <v>2</v>
      </c>
      <c r="M838" s="3">
        <f>IF(Table1[[#This Row],[Cancellation Status]]&lt;&gt;"Yes",1,0)</f>
        <v>1</v>
      </c>
      <c r="O838" s="30">
        <v>45970</v>
      </c>
      <c r="P838" s="3">
        <v>4</v>
      </c>
      <c r="Q838" s="3">
        <v>4</v>
      </c>
      <c r="R838" s="3">
        <v>7</v>
      </c>
      <c r="S838" s="3">
        <v>7</v>
      </c>
      <c r="T83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38" t="str">
        <f>IF(Table1[[#This Row],[Customer Rating]]&gt;=9,"Promoter",IF(Table1[[#This Row],[Customer Rating]]&gt;=7,"Passive","Detractor"))</f>
        <v>Passive</v>
      </c>
    </row>
    <row r="839" spans="1:21" ht="14.25" customHeight="1" x14ac:dyDescent="0.3">
      <c r="A839" s="3" t="s">
        <v>874</v>
      </c>
      <c r="B839" s="3" t="s">
        <v>29</v>
      </c>
      <c r="C839" s="3" t="s">
        <v>27</v>
      </c>
      <c r="D839" s="14">
        <v>45936</v>
      </c>
      <c r="E839" s="11">
        <f>1</f>
        <v>1</v>
      </c>
      <c r="F839" s="14">
        <v>45937</v>
      </c>
      <c r="G839" s="11">
        <f>IF(Table1[[#This Row],[Pre-Booking Date]]&lt;&gt;"",1,0)</f>
        <v>1</v>
      </c>
      <c r="H839" s="4">
        <v>45938</v>
      </c>
      <c r="I839" s="11">
        <f>IF(Table1[[#This Row],[Booking Date]]&lt;&gt;"",1,0)</f>
        <v>1</v>
      </c>
      <c r="J839" s="30">
        <v>45940</v>
      </c>
      <c r="K839" s="11">
        <f>IF(Table1[[#This Row],[Delivery Date]]&lt;&gt;"",1,0)</f>
        <v>1</v>
      </c>
      <c r="L839" s="3" t="s">
        <v>3</v>
      </c>
      <c r="M839" s="3">
        <f>IF(Table1[[#This Row],[Cancellation Status]]&lt;&gt;"Yes",1,0)</f>
        <v>0</v>
      </c>
      <c r="N839" s="3" t="s">
        <v>52</v>
      </c>
      <c r="P839" s="3">
        <v>1</v>
      </c>
      <c r="Q839" s="3">
        <v>1</v>
      </c>
      <c r="R839" s="3">
        <v>2</v>
      </c>
      <c r="T83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39" t="str">
        <f>IF(Table1[[#This Row],[Customer Rating]]&gt;=9,"Promoter",IF(Table1[[#This Row],[Customer Rating]]&gt;=7,"Passive","Detractor"))</f>
        <v>Detractor</v>
      </c>
    </row>
    <row r="840" spans="1:21" ht="14.25" customHeight="1" x14ac:dyDescent="0.3">
      <c r="A840" s="3" t="s">
        <v>875</v>
      </c>
      <c r="B840" s="3" t="s">
        <v>32</v>
      </c>
      <c r="C840" s="3" t="s">
        <v>27</v>
      </c>
      <c r="D840" s="14">
        <v>45936</v>
      </c>
      <c r="E840" s="11">
        <f>1</f>
        <v>1</v>
      </c>
      <c r="F840" s="14">
        <v>45938</v>
      </c>
      <c r="G840" s="11">
        <f>IF(Table1[[#This Row],[Pre-Booking Date]]&lt;&gt;"",1,0)</f>
        <v>1</v>
      </c>
      <c r="H840" s="4">
        <v>45940</v>
      </c>
      <c r="I840" s="11">
        <f>IF(Table1[[#This Row],[Booking Date]]&lt;&gt;"",1,0)</f>
        <v>1</v>
      </c>
      <c r="J840" s="30">
        <v>45944</v>
      </c>
      <c r="K840" s="11">
        <f>IF(Table1[[#This Row],[Delivery Date]]&lt;&gt;"",1,0)</f>
        <v>1</v>
      </c>
      <c r="L840" s="3" t="s">
        <v>2</v>
      </c>
      <c r="M840" s="3">
        <f>IF(Table1[[#This Row],[Cancellation Status]]&lt;&gt;"Yes",1,0)</f>
        <v>1</v>
      </c>
      <c r="O840" s="30">
        <v>45958</v>
      </c>
      <c r="P840" s="3">
        <v>2</v>
      </c>
      <c r="Q840" s="3">
        <v>2</v>
      </c>
      <c r="R840" s="3">
        <v>4</v>
      </c>
      <c r="S840" s="3">
        <v>3</v>
      </c>
      <c r="T84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40" t="str">
        <f>IF(Table1[[#This Row],[Customer Rating]]&gt;=9,"Promoter",IF(Table1[[#This Row],[Customer Rating]]&gt;=7,"Passive","Detractor"))</f>
        <v>Detractor</v>
      </c>
    </row>
    <row r="841" spans="1:21" ht="14.25" customHeight="1" x14ac:dyDescent="0.3">
      <c r="A841" s="3" t="s">
        <v>876</v>
      </c>
      <c r="B841" s="3" t="s">
        <v>26</v>
      </c>
      <c r="C841" s="3" t="s">
        <v>27</v>
      </c>
      <c r="D841" s="14">
        <v>45936</v>
      </c>
      <c r="E841" s="11">
        <f>1</f>
        <v>1</v>
      </c>
      <c r="F841" s="14">
        <v>45939</v>
      </c>
      <c r="G841" s="11">
        <f>IF(Table1[[#This Row],[Pre-Booking Date]]&lt;&gt;"",1,0)</f>
        <v>1</v>
      </c>
      <c r="H841" s="4">
        <v>45940</v>
      </c>
      <c r="I841" s="11">
        <f>IF(Table1[[#This Row],[Booking Date]]&lt;&gt;"",1,0)</f>
        <v>1</v>
      </c>
      <c r="J841" s="30">
        <v>45945</v>
      </c>
      <c r="K841" s="11">
        <f>IF(Table1[[#This Row],[Delivery Date]]&lt;&gt;"",1,0)</f>
        <v>1</v>
      </c>
      <c r="L841" s="3" t="s">
        <v>2</v>
      </c>
      <c r="M841" s="3">
        <f>IF(Table1[[#This Row],[Cancellation Status]]&lt;&gt;"Yes",1,0)</f>
        <v>1</v>
      </c>
      <c r="O841" s="30">
        <v>45971</v>
      </c>
      <c r="P841" s="3">
        <v>3</v>
      </c>
      <c r="Q841" s="3">
        <v>1</v>
      </c>
      <c r="R841" s="3">
        <v>5</v>
      </c>
      <c r="S841" s="3">
        <v>1</v>
      </c>
      <c r="T84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41" t="str">
        <f>IF(Table1[[#This Row],[Customer Rating]]&gt;=9,"Promoter",IF(Table1[[#This Row],[Customer Rating]]&gt;=7,"Passive","Detractor"))</f>
        <v>Detractor</v>
      </c>
    </row>
    <row r="842" spans="1:21" ht="14.25" customHeight="1" x14ac:dyDescent="0.3">
      <c r="A842" s="3" t="s">
        <v>877</v>
      </c>
      <c r="B842" s="3" t="s">
        <v>29</v>
      </c>
      <c r="C842" s="3" t="s">
        <v>30</v>
      </c>
      <c r="D842" s="14">
        <v>45936</v>
      </c>
      <c r="E842" s="11">
        <f>1</f>
        <v>1</v>
      </c>
      <c r="F842" s="14">
        <v>45938</v>
      </c>
      <c r="G842" s="11">
        <f>IF(Table1[[#This Row],[Pre-Booking Date]]&lt;&gt;"",1,0)</f>
        <v>1</v>
      </c>
      <c r="H842" s="4">
        <v>45942</v>
      </c>
      <c r="I842" s="11">
        <f>IF(Table1[[#This Row],[Booking Date]]&lt;&gt;"",1,0)</f>
        <v>1</v>
      </c>
      <c r="J842" s="30">
        <v>45949</v>
      </c>
      <c r="K842" s="11">
        <f>IF(Table1[[#This Row],[Delivery Date]]&lt;&gt;"",1,0)</f>
        <v>1</v>
      </c>
      <c r="L842" s="3" t="s">
        <v>2</v>
      </c>
      <c r="M842" s="3">
        <f>IF(Table1[[#This Row],[Cancellation Status]]&lt;&gt;"Yes",1,0)</f>
        <v>1</v>
      </c>
      <c r="O842" s="30">
        <v>45976</v>
      </c>
      <c r="P842" s="3">
        <v>2</v>
      </c>
      <c r="Q842" s="3">
        <v>4</v>
      </c>
      <c r="R842" s="3">
        <v>7</v>
      </c>
      <c r="S842" s="3">
        <v>0</v>
      </c>
      <c r="T84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42" t="str">
        <f>IF(Table1[[#This Row],[Customer Rating]]&gt;=9,"Promoter",IF(Table1[[#This Row],[Customer Rating]]&gt;=7,"Passive","Detractor"))</f>
        <v>Detractor</v>
      </c>
    </row>
    <row r="843" spans="1:21" ht="14.25" customHeight="1" x14ac:dyDescent="0.3">
      <c r="A843" s="3" t="s">
        <v>878</v>
      </c>
      <c r="B843" s="3" t="s">
        <v>32</v>
      </c>
      <c r="C843" s="3" t="s">
        <v>30</v>
      </c>
      <c r="D843" s="14">
        <v>45936</v>
      </c>
      <c r="E843" s="11">
        <f>1</f>
        <v>1</v>
      </c>
      <c r="F843" s="14">
        <v>45937</v>
      </c>
      <c r="G843" s="11">
        <f>IF(Table1[[#This Row],[Pre-Booking Date]]&lt;&gt;"",1,0)</f>
        <v>1</v>
      </c>
      <c r="H843" s="4">
        <v>45942</v>
      </c>
      <c r="I843" s="11">
        <f>IF(Table1[[#This Row],[Booking Date]]&lt;&gt;"",1,0)</f>
        <v>1</v>
      </c>
      <c r="J843" s="30">
        <v>45946</v>
      </c>
      <c r="K843" s="11">
        <f>IF(Table1[[#This Row],[Delivery Date]]&lt;&gt;"",1,0)</f>
        <v>1</v>
      </c>
      <c r="L843" s="3" t="s">
        <v>2</v>
      </c>
      <c r="M843" s="3">
        <f>IF(Table1[[#This Row],[Cancellation Status]]&lt;&gt;"Yes",1,0)</f>
        <v>1</v>
      </c>
      <c r="O843" s="30">
        <v>45976</v>
      </c>
      <c r="P843" s="3">
        <v>1</v>
      </c>
      <c r="Q843" s="3">
        <v>5</v>
      </c>
      <c r="R843" s="3">
        <v>4</v>
      </c>
      <c r="S843" s="3">
        <v>5</v>
      </c>
      <c r="T84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43" t="str">
        <f>IF(Table1[[#This Row],[Customer Rating]]&gt;=9,"Promoter",IF(Table1[[#This Row],[Customer Rating]]&gt;=7,"Passive","Detractor"))</f>
        <v>Detractor</v>
      </c>
    </row>
    <row r="844" spans="1:21" ht="14.25" customHeight="1" x14ac:dyDescent="0.3">
      <c r="A844" s="3" t="s">
        <v>879</v>
      </c>
      <c r="B844" s="3" t="s">
        <v>39</v>
      </c>
      <c r="C844" s="3" t="s">
        <v>30</v>
      </c>
      <c r="D844" s="14">
        <v>45936</v>
      </c>
      <c r="E844" s="11">
        <f>1</f>
        <v>1</v>
      </c>
      <c r="F844" s="14">
        <v>45939</v>
      </c>
      <c r="G844" s="11">
        <f>IF(Table1[[#This Row],[Pre-Booking Date]]&lt;&gt;"",1,0)</f>
        <v>1</v>
      </c>
      <c r="H844" s="4">
        <v>45942</v>
      </c>
      <c r="I844" s="11">
        <f>IF(Table1[[#This Row],[Booking Date]]&lt;&gt;"",1,0)</f>
        <v>1</v>
      </c>
      <c r="J844" s="30">
        <v>45945</v>
      </c>
      <c r="K844" s="11">
        <f>IF(Table1[[#This Row],[Delivery Date]]&lt;&gt;"",1,0)</f>
        <v>1</v>
      </c>
      <c r="L844" s="3" t="s">
        <v>2</v>
      </c>
      <c r="M844" s="3">
        <f>IF(Table1[[#This Row],[Cancellation Status]]&lt;&gt;"Yes",1,0)</f>
        <v>1</v>
      </c>
      <c r="O844" s="30">
        <v>45970</v>
      </c>
      <c r="P844" s="3">
        <v>3</v>
      </c>
      <c r="Q844" s="3">
        <v>3</v>
      </c>
      <c r="R844" s="3">
        <v>3</v>
      </c>
      <c r="S844" s="3">
        <v>10</v>
      </c>
      <c r="T84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44" t="str">
        <f>IF(Table1[[#This Row],[Customer Rating]]&gt;=9,"Promoter",IF(Table1[[#This Row],[Customer Rating]]&gt;=7,"Passive","Detractor"))</f>
        <v>Promoter</v>
      </c>
    </row>
    <row r="845" spans="1:21" ht="14.25" customHeight="1" x14ac:dyDescent="0.3">
      <c r="A845" s="3" t="s">
        <v>880</v>
      </c>
      <c r="B845" s="3" t="s">
        <v>32</v>
      </c>
      <c r="C845" s="3" t="s">
        <v>27</v>
      </c>
      <c r="D845" s="14">
        <v>45936</v>
      </c>
      <c r="E845" s="11">
        <f>1</f>
        <v>1</v>
      </c>
      <c r="F845" s="14">
        <v>45940</v>
      </c>
      <c r="G845" s="11">
        <f>IF(Table1[[#This Row],[Pre-Booking Date]]&lt;&gt;"",1,0)</f>
        <v>1</v>
      </c>
      <c r="H845" s="4">
        <v>45944</v>
      </c>
      <c r="I845" s="11">
        <f>IF(Table1[[#This Row],[Booking Date]]&lt;&gt;"",1,0)</f>
        <v>1</v>
      </c>
      <c r="J845" s="30">
        <v>45948</v>
      </c>
      <c r="K845" s="11">
        <f>IF(Table1[[#This Row],[Delivery Date]]&lt;&gt;"",1,0)</f>
        <v>1</v>
      </c>
      <c r="L845" s="3" t="s">
        <v>2</v>
      </c>
      <c r="M845" s="3">
        <f>IF(Table1[[#This Row],[Cancellation Status]]&lt;&gt;"Yes",1,0)</f>
        <v>1</v>
      </c>
      <c r="O845" s="30">
        <v>45962</v>
      </c>
      <c r="P845" s="3">
        <v>4</v>
      </c>
      <c r="Q845" s="3">
        <v>4</v>
      </c>
      <c r="R845" s="3">
        <v>4</v>
      </c>
      <c r="S845" s="3">
        <v>0</v>
      </c>
      <c r="T84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45" t="str">
        <f>IF(Table1[[#This Row],[Customer Rating]]&gt;=9,"Promoter",IF(Table1[[#This Row],[Customer Rating]]&gt;=7,"Passive","Detractor"))</f>
        <v>Detractor</v>
      </c>
    </row>
    <row r="846" spans="1:21" ht="14.25" customHeight="1" x14ac:dyDescent="0.3">
      <c r="A846" s="3" t="s">
        <v>881</v>
      </c>
      <c r="B846" s="3" t="s">
        <v>29</v>
      </c>
      <c r="C846" s="3" t="s">
        <v>30</v>
      </c>
      <c r="D846" s="14">
        <v>45936</v>
      </c>
      <c r="E846" s="11">
        <f>1</f>
        <v>1</v>
      </c>
      <c r="F846" s="14">
        <v>45937</v>
      </c>
      <c r="G846" s="11">
        <f>IF(Table1[[#This Row],[Pre-Booking Date]]&lt;&gt;"",1,0)</f>
        <v>1</v>
      </c>
      <c r="H846" s="4">
        <v>45942</v>
      </c>
      <c r="I846" s="11">
        <f>IF(Table1[[#This Row],[Booking Date]]&lt;&gt;"",1,0)</f>
        <v>1</v>
      </c>
      <c r="J846" s="30">
        <v>45948</v>
      </c>
      <c r="K846" s="11">
        <f>IF(Table1[[#This Row],[Delivery Date]]&lt;&gt;"",1,0)</f>
        <v>1</v>
      </c>
      <c r="L846" s="3" t="s">
        <v>2</v>
      </c>
      <c r="M846" s="3">
        <f>IF(Table1[[#This Row],[Cancellation Status]]&lt;&gt;"Yes",1,0)</f>
        <v>1</v>
      </c>
      <c r="O846" s="30">
        <v>45961</v>
      </c>
      <c r="P846" s="3">
        <v>1</v>
      </c>
      <c r="Q846" s="3">
        <v>5</v>
      </c>
      <c r="R846" s="3">
        <v>6</v>
      </c>
      <c r="S846" s="3">
        <v>1</v>
      </c>
      <c r="T84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46" t="str">
        <f>IF(Table1[[#This Row],[Customer Rating]]&gt;=9,"Promoter",IF(Table1[[#This Row],[Customer Rating]]&gt;=7,"Passive","Detractor"))</f>
        <v>Detractor</v>
      </c>
    </row>
    <row r="847" spans="1:21" ht="14.25" customHeight="1" x14ac:dyDescent="0.3">
      <c r="A847" s="3" t="s">
        <v>882</v>
      </c>
      <c r="B847" s="3" t="s">
        <v>26</v>
      </c>
      <c r="C847" s="3" t="s">
        <v>30</v>
      </c>
      <c r="D847" s="14">
        <v>45935</v>
      </c>
      <c r="E847" s="11">
        <f>1</f>
        <v>1</v>
      </c>
      <c r="F847" s="14">
        <v>45936</v>
      </c>
      <c r="G847" s="11">
        <f>IF(Table1[[#This Row],[Pre-Booking Date]]&lt;&gt;"",1,0)</f>
        <v>1</v>
      </c>
      <c r="H847" s="4">
        <v>45940</v>
      </c>
      <c r="I847" s="11">
        <f>IF(Table1[[#This Row],[Booking Date]]&lt;&gt;"",1,0)</f>
        <v>1</v>
      </c>
      <c r="J847" s="30">
        <v>45946</v>
      </c>
      <c r="K847" s="11">
        <f>IF(Table1[[#This Row],[Delivery Date]]&lt;&gt;"",1,0)</f>
        <v>1</v>
      </c>
      <c r="L847" s="3" t="s">
        <v>2</v>
      </c>
      <c r="M847" s="3">
        <f>IF(Table1[[#This Row],[Cancellation Status]]&lt;&gt;"Yes",1,0)</f>
        <v>1</v>
      </c>
      <c r="O847" s="30">
        <v>45956</v>
      </c>
      <c r="P847" s="3">
        <v>1</v>
      </c>
      <c r="Q847" s="3">
        <v>4</v>
      </c>
      <c r="R847" s="3">
        <v>6</v>
      </c>
      <c r="S847" s="3">
        <v>2</v>
      </c>
      <c r="T84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47" t="str">
        <f>IF(Table1[[#This Row],[Customer Rating]]&gt;=9,"Promoter",IF(Table1[[#This Row],[Customer Rating]]&gt;=7,"Passive","Detractor"))</f>
        <v>Detractor</v>
      </c>
    </row>
    <row r="848" spans="1:21" ht="14.25" customHeight="1" x14ac:dyDescent="0.3">
      <c r="A848" s="3" t="s">
        <v>883</v>
      </c>
      <c r="B848" s="3" t="s">
        <v>39</v>
      </c>
      <c r="C848" s="3" t="s">
        <v>27</v>
      </c>
      <c r="D848" s="14">
        <v>45935</v>
      </c>
      <c r="E848" s="11">
        <f>1</f>
        <v>1</v>
      </c>
      <c r="F848" s="14">
        <v>45940</v>
      </c>
      <c r="G848" s="11">
        <f>IF(Table1[[#This Row],[Pre-Booking Date]]&lt;&gt;"",1,0)</f>
        <v>1</v>
      </c>
      <c r="H848" s="4">
        <v>45941</v>
      </c>
      <c r="I848" s="11">
        <f>IF(Table1[[#This Row],[Booking Date]]&lt;&gt;"",1,0)</f>
        <v>1</v>
      </c>
      <c r="J848" s="30">
        <v>45945</v>
      </c>
      <c r="K848" s="11">
        <f>IF(Table1[[#This Row],[Delivery Date]]&lt;&gt;"",1,0)</f>
        <v>1</v>
      </c>
      <c r="L848" s="3" t="s">
        <v>2</v>
      </c>
      <c r="M848" s="3">
        <f>IF(Table1[[#This Row],[Cancellation Status]]&lt;&gt;"Yes",1,0)</f>
        <v>1</v>
      </c>
      <c r="O848" s="30">
        <v>45973</v>
      </c>
      <c r="P848" s="3">
        <v>5</v>
      </c>
      <c r="Q848" s="3">
        <v>1</v>
      </c>
      <c r="R848" s="3">
        <v>4</v>
      </c>
      <c r="S848" s="3">
        <v>4</v>
      </c>
      <c r="T84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48" t="str">
        <f>IF(Table1[[#This Row],[Customer Rating]]&gt;=9,"Promoter",IF(Table1[[#This Row],[Customer Rating]]&gt;=7,"Passive","Detractor"))</f>
        <v>Detractor</v>
      </c>
    </row>
    <row r="849" spans="1:21" ht="14.25" customHeight="1" x14ac:dyDescent="0.3">
      <c r="A849" s="3" t="s">
        <v>884</v>
      </c>
      <c r="B849" s="3" t="s">
        <v>26</v>
      </c>
      <c r="C849" s="3" t="s">
        <v>30</v>
      </c>
      <c r="D849" s="14">
        <v>45935</v>
      </c>
      <c r="E849" s="11">
        <f>1</f>
        <v>1</v>
      </c>
      <c r="F849" s="14">
        <v>45938</v>
      </c>
      <c r="G849" s="11">
        <f>IF(Table1[[#This Row],[Pre-Booking Date]]&lt;&gt;"",1,0)</f>
        <v>1</v>
      </c>
      <c r="H849" s="4">
        <v>45942</v>
      </c>
      <c r="I849" s="11">
        <f>IF(Table1[[#This Row],[Booking Date]]&lt;&gt;"",1,0)</f>
        <v>1</v>
      </c>
      <c r="J849" s="30">
        <v>45945</v>
      </c>
      <c r="K849" s="11">
        <f>IF(Table1[[#This Row],[Delivery Date]]&lt;&gt;"",1,0)</f>
        <v>1</v>
      </c>
      <c r="L849" s="3" t="s">
        <v>2</v>
      </c>
      <c r="M849" s="3">
        <f>IF(Table1[[#This Row],[Cancellation Status]]&lt;&gt;"Yes",1,0)</f>
        <v>1</v>
      </c>
      <c r="O849" s="30">
        <v>45969</v>
      </c>
      <c r="P849" s="3">
        <v>3</v>
      </c>
      <c r="Q849" s="3">
        <v>4</v>
      </c>
      <c r="R849" s="3">
        <v>3</v>
      </c>
      <c r="S849" s="3">
        <v>8</v>
      </c>
      <c r="T84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49" t="str">
        <f>IF(Table1[[#This Row],[Customer Rating]]&gt;=9,"Promoter",IF(Table1[[#This Row],[Customer Rating]]&gt;=7,"Passive","Detractor"))</f>
        <v>Passive</v>
      </c>
    </row>
    <row r="850" spans="1:21" ht="14.25" customHeight="1" x14ac:dyDescent="0.3">
      <c r="A850" s="3" t="s">
        <v>885</v>
      </c>
      <c r="B850" s="3" t="s">
        <v>29</v>
      </c>
      <c r="C850" s="3" t="s">
        <v>30</v>
      </c>
      <c r="D850" s="14">
        <v>45935</v>
      </c>
      <c r="E850" s="11">
        <f>1</f>
        <v>1</v>
      </c>
      <c r="F850" s="14">
        <v>45939</v>
      </c>
      <c r="G850" s="11">
        <f>IF(Table1[[#This Row],[Pre-Booking Date]]&lt;&gt;"",1,0)</f>
        <v>1</v>
      </c>
      <c r="H850" s="4">
        <v>45942</v>
      </c>
      <c r="I850" s="11">
        <f>IF(Table1[[#This Row],[Booking Date]]&lt;&gt;"",1,0)</f>
        <v>1</v>
      </c>
      <c r="J850" s="30">
        <v>45946</v>
      </c>
      <c r="K850" s="11">
        <f>IF(Table1[[#This Row],[Delivery Date]]&lt;&gt;"",1,0)</f>
        <v>1</v>
      </c>
      <c r="L850" s="3" t="s">
        <v>2</v>
      </c>
      <c r="M850" s="3">
        <f>IF(Table1[[#This Row],[Cancellation Status]]&lt;&gt;"Yes",1,0)</f>
        <v>1</v>
      </c>
      <c r="O850" s="30">
        <v>45969</v>
      </c>
      <c r="P850" s="3">
        <v>4</v>
      </c>
      <c r="Q850" s="3">
        <v>3</v>
      </c>
      <c r="R850" s="3">
        <v>4</v>
      </c>
      <c r="S850" s="3">
        <v>9</v>
      </c>
      <c r="T85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50" t="str">
        <f>IF(Table1[[#This Row],[Customer Rating]]&gt;=9,"Promoter",IF(Table1[[#This Row],[Customer Rating]]&gt;=7,"Passive","Detractor"))</f>
        <v>Promoter</v>
      </c>
    </row>
    <row r="851" spans="1:21" ht="14.25" customHeight="1" x14ac:dyDescent="0.3">
      <c r="A851" s="3" t="s">
        <v>886</v>
      </c>
      <c r="B851" s="3" t="s">
        <v>29</v>
      </c>
      <c r="C851" s="3" t="s">
        <v>33</v>
      </c>
      <c r="D851" s="14">
        <v>45935</v>
      </c>
      <c r="E851" s="11">
        <f>1</f>
        <v>1</v>
      </c>
      <c r="G851" s="12">
        <f>IF(Table1[[#This Row],[Pre-Booking Date]]&lt;&gt;"",1,0)</f>
        <v>0</v>
      </c>
      <c r="I851" s="12">
        <f>IF(Table1[[#This Row],[Booking Date]]&lt;&gt;"",1,0)</f>
        <v>0</v>
      </c>
      <c r="K851" s="12">
        <f>IF(Table1[[#This Row],[Delivery Date]]&lt;&gt;"",1,0)</f>
        <v>0</v>
      </c>
      <c r="L851" s="3" t="s">
        <v>3</v>
      </c>
      <c r="M851" s="3">
        <f>IF(Table1[[#This Row],[Cancellation Status]]&lt;&gt;"Yes",1,0)</f>
        <v>0</v>
      </c>
      <c r="N851" s="3" t="s">
        <v>55</v>
      </c>
      <c r="T85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51" t="str">
        <f>IF(Table1[[#This Row],[Customer Rating]]&gt;=9,"Promoter",IF(Table1[[#This Row],[Customer Rating]]&gt;=7,"Passive","Detractor"))</f>
        <v>Detractor</v>
      </c>
    </row>
    <row r="852" spans="1:21" ht="14.25" customHeight="1" x14ac:dyDescent="0.3">
      <c r="A852" s="3" t="s">
        <v>887</v>
      </c>
      <c r="B852" s="3" t="s">
        <v>26</v>
      </c>
      <c r="C852" s="3" t="s">
        <v>30</v>
      </c>
      <c r="D852" s="14">
        <v>45935</v>
      </c>
      <c r="E852" s="11">
        <f>1</f>
        <v>1</v>
      </c>
      <c r="F852" s="14">
        <v>45938</v>
      </c>
      <c r="G852" s="11">
        <f>IF(Table1[[#This Row],[Pre-Booking Date]]&lt;&gt;"",1,0)</f>
        <v>1</v>
      </c>
      <c r="H852" s="4">
        <v>45940</v>
      </c>
      <c r="I852" s="11">
        <f>IF(Table1[[#This Row],[Booking Date]]&lt;&gt;"",1,0)</f>
        <v>1</v>
      </c>
      <c r="J852" s="30">
        <v>45947</v>
      </c>
      <c r="K852" s="11">
        <f>IF(Table1[[#This Row],[Delivery Date]]&lt;&gt;"",1,0)</f>
        <v>1</v>
      </c>
      <c r="L852" s="3" t="s">
        <v>2</v>
      </c>
      <c r="M852" s="3">
        <f>IF(Table1[[#This Row],[Cancellation Status]]&lt;&gt;"Yes",1,0)</f>
        <v>1</v>
      </c>
      <c r="O852" s="30">
        <v>45968</v>
      </c>
      <c r="P852" s="3">
        <v>3</v>
      </c>
      <c r="Q852" s="3">
        <v>2</v>
      </c>
      <c r="R852" s="3">
        <v>7</v>
      </c>
      <c r="S852" s="3">
        <v>5</v>
      </c>
      <c r="T85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52" t="str">
        <f>IF(Table1[[#This Row],[Customer Rating]]&gt;=9,"Promoter",IF(Table1[[#This Row],[Customer Rating]]&gt;=7,"Passive","Detractor"))</f>
        <v>Detractor</v>
      </c>
    </row>
    <row r="853" spans="1:21" ht="14.25" customHeight="1" x14ac:dyDescent="0.3">
      <c r="A853" s="3" t="s">
        <v>888</v>
      </c>
      <c r="B853" s="3" t="s">
        <v>32</v>
      </c>
      <c r="C853" s="3" t="s">
        <v>27</v>
      </c>
      <c r="D853" s="14">
        <v>45935</v>
      </c>
      <c r="E853" s="11">
        <f>1</f>
        <v>1</v>
      </c>
      <c r="F853" s="14">
        <v>45940</v>
      </c>
      <c r="G853" s="11">
        <f>IF(Table1[[#This Row],[Pre-Booking Date]]&lt;&gt;"",1,0)</f>
        <v>1</v>
      </c>
      <c r="H853" s="4">
        <v>45944</v>
      </c>
      <c r="I853" s="11">
        <f>IF(Table1[[#This Row],[Booking Date]]&lt;&gt;"",1,0)</f>
        <v>1</v>
      </c>
      <c r="J853" s="30">
        <v>45951</v>
      </c>
      <c r="K853" s="11">
        <f>IF(Table1[[#This Row],[Delivery Date]]&lt;&gt;"",1,0)</f>
        <v>1</v>
      </c>
      <c r="L853" s="3" t="s">
        <v>2</v>
      </c>
      <c r="M853" s="3">
        <f>IF(Table1[[#This Row],[Cancellation Status]]&lt;&gt;"Yes",1,0)</f>
        <v>1</v>
      </c>
      <c r="O853" s="30">
        <v>45969</v>
      </c>
      <c r="P853" s="3">
        <v>5</v>
      </c>
      <c r="Q853" s="3">
        <v>4</v>
      </c>
      <c r="R853" s="3">
        <v>7</v>
      </c>
      <c r="S853" s="3">
        <v>3</v>
      </c>
      <c r="T85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53" t="str">
        <f>IF(Table1[[#This Row],[Customer Rating]]&gt;=9,"Promoter",IF(Table1[[#This Row],[Customer Rating]]&gt;=7,"Passive","Detractor"))</f>
        <v>Detractor</v>
      </c>
    </row>
    <row r="854" spans="1:21" ht="14.25" customHeight="1" x14ac:dyDescent="0.3">
      <c r="A854" s="3" t="s">
        <v>889</v>
      </c>
      <c r="B854" s="3" t="s">
        <v>32</v>
      </c>
      <c r="C854" s="3" t="s">
        <v>33</v>
      </c>
      <c r="D854" s="14">
        <v>45935</v>
      </c>
      <c r="E854" s="11">
        <f>1</f>
        <v>1</v>
      </c>
      <c r="G854" s="12">
        <f>IF(Table1[[#This Row],[Pre-Booking Date]]&lt;&gt;"",1,0)</f>
        <v>0</v>
      </c>
      <c r="I854" s="12">
        <f>IF(Table1[[#This Row],[Booking Date]]&lt;&gt;"",1,0)</f>
        <v>0</v>
      </c>
      <c r="K854" s="12">
        <f>IF(Table1[[#This Row],[Delivery Date]]&lt;&gt;"",1,0)</f>
        <v>0</v>
      </c>
      <c r="L854" s="3" t="s">
        <v>3</v>
      </c>
      <c r="M854" s="3">
        <f>IF(Table1[[#This Row],[Cancellation Status]]&lt;&gt;"Yes",1,0)</f>
        <v>0</v>
      </c>
      <c r="N854" s="3" t="s">
        <v>52</v>
      </c>
      <c r="T85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54" t="str">
        <f>IF(Table1[[#This Row],[Customer Rating]]&gt;=9,"Promoter",IF(Table1[[#This Row],[Customer Rating]]&gt;=7,"Passive","Detractor"))</f>
        <v>Detractor</v>
      </c>
    </row>
    <row r="855" spans="1:21" ht="14.25" customHeight="1" x14ac:dyDescent="0.3">
      <c r="A855" s="3" t="s">
        <v>890</v>
      </c>
      <c r="B855" s="3" t="s">
        <v>39</v>
      </c>
      <c r="C855" s="3" t="s">
        <v>33</v>
      </c>
      <c r="D855" s="14">
        <v>45935</v>
      </c>
      <c r="E855" s="11">
        <f>1</f>
        <v>1</v>
      </c>
      <c r="G855" s="12">
        <f>IF(Table1[[#This Row],[Pre-Booking Date]]&lt;&gt;"",1,0)</f>
        <v>0</v>
      </c>
      <c r="I855" s="12">
        <f>IF(Table1[[#This Row],[Booking Date]]&lt;&gt;"",1,0)</f>
        <v>0</v>
      </c>
      <c r="K855" s="12">
        <f>IF(Table1[[#This Row],[Delivery Date]]&lt;&gt;"",1,0)</f>
        <v>0</v>
      </c>
      <c r="L855" s="3" t="s">
        <v>3</v>
      </c>
      <c r="M855" s="3">
        <f>IF(Table1[[#This Row],[Cancellation Status]]&lt;&gt;"Yes",1,0)</f>
        <v>0</v>
      </c>
      <c r="N855" s="3" t="s">
        <v>34</v>
      </c>
      <c r="T85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55" t="str">
        <f>IF(Table1[[#This Row],[Customer Rating]]&gt;=9,"Promoter",IF(Table1[[#This Row],[Customer Rating]]&gt;=7,"Passive","Detractor"))</f>
        <v>Detractor</v>
      </c>
    </row>
    <row r="856" spans="1:21" ht="14.25" customHeight="1" x14ac:dyDescent="0.3">
      <c r="A856" s="3" t="s">
        <v>891</v>
      </c>
      <c r="B856" s="3" t="s">
        <v>39</v>
      </c>
      <c r="C856" s="3" t="s">
        <v>30</v>
      </c>
      <c r="D856" s="14">
        <v>45935</v>
      </c>
      <c r="E856" s="11">
        <f>1</f>
        <v>1</v>
      </c>
      <c r="F856" s="14">
        <v>45940</v>
      </c>
      <c r="G856" s="11">
        <f>IF(Table1[[#This Row],[Pre-Booking Date]]&lt;&gt;"",1,0)</f>
        <v>1</v>
      </c>
      <c r="H856" s="4">
        <v>45944</v>
      </c>
      <c r="I856" s="11">
        <f>IF(Table1[[#This Row],[Booking Date]]&lt;&gt;"",1,0)</f>
        <v>1</v>
      </c>
      <c r="J856" s="30">
        <v>45951</v>
      </c>
      <c r="K856" s="11">
        <f>IF(Table1[[#This Row],[Delivery Date]]&lt;&gt;"",1,0)</f>
        <v>1</v>
      </c>
      <c r="L856" s="3" t="s">
        <v>2</v>
      </c>
      <c r="M856" s="3">
        <f>IF(Table1[[#This Row],[Cancellation Status]]&lt;&gt;"Yes",1,0)</f>
        <v>1</v>
      </c>
      <c r="O856" s="30">
        <v>45967</v>
      </c>
      <c r="P856" s="3">
        <v>5</v>
      </c>
      <c r="Q856" s="3">
        <v>4</v>
      </c>
      <c r="R856" s="3">
        <v>7</v>
      </c>
      <c r="S856" s="3">
        <v>7</v>
      </c>
      <c r="T85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56" t="str">
        <f>IF(Table1[[#This Row],[Customer Rating]]&gt;=9,"Promoter",IF(Table1[[#This Row],[Customer Rating]]&gt;=7,"Passive","Detractor"))</f>
        <v>Passive</v>
      </c>
    </row>
    <row r="857" spans="1:21" ht="14.25" customHeight="1" x14ac:dyDescent="0.3">
      <c r="A857" s="3" t="s">
        <v>892</v>
      </c>
      <c r="B857" s="3" t="s">
        <v>39</v>
      </c>
      <c r="C857" s="3" t="s">
        <v>33</v>
      </c>
      <c r="D857" s="14">
        <v>45935</v>
      </c>
      <c r="E857" s="11">
        <f>1</f>
        <v>1</v>
      </c>
      <c r="G857" s="12">
        <f>IF(Table1[[#This Row],[Pre-Booking Date]]&lt;&gt;"",1,0)</f>
        <v>0</v>
      </c>
      <c r="I857" s="12">
        <f>IF(Table1[[#This Row],[Booking Date]]&lt;&gt;"",1,0)</f>
        <v>0</v>
      </c>
      <c r="K857" s="12">
        <f>IF(Table1[[#This Row],[Delivery Date]]&lt;&gt;"",1,0)</f>
        <v>0</v>
      </c>
      <c r="L857" s="3" t="s">
        <v>3</v>
      </c>
      <c r="M857" s="3">
        <f>IF(Table1[[#This Row],[Cancellation Status]]&lt;&gt;"Yes",1,0)</f>
        <v>0</v>
      </c>
      <c r="N857" s="3" t="s">
        <v>34</v>
      </c>
      <c r="T85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57" t="str">
        <f>IF(Table1[[#This Row],[Customer Rating]]&gt;=9,"Promoter",IF(Table1[[#This Row],[Customer Rating]]&gt;=7,"Passive","Detractor"))</f>
        <v>Detractor</v>
      </c>
    </row>
    <row r="858" spans="1:21" ht="14.25" customHeight="1" x14ac:dyDescent="0.3">
      <c r="A858" s="3" t="s">
        <v>893</v>
      </c>
      <c r="B858" s="3" t="s">
        <v>29</v>
      </c>
      <c r="C858" s="3" t="s">
        <v>27</v>
      </c>
      <c r="D858" s="14">
        <v>45935</v>
      </c>
      <c r="E858" s="11">
        <f>1</f>
        <v>1</v>
      </c>
      <c r="F858" s="14">
        <v>45936</v>
      </c>
      <c r="G858" s="11">
        <f>IF(Table1[[#This Row],[Pre-Booking Date]]&lt;&gt;"",1,0)</f>
        <v>1</v>
      </c>
      <c r="H858" s="4">
        <v>45941</v>
      </c>
      <c r="I858" s="11">
        <f>IF(Table1[[#This Row],[Booking Date]]&lt;&gt;"",1,0)</f>
        <v>1</v>
      </c>
      <c r="J858" s="30">
        <v>45943</v>
      </c>
      <c r="K858" s="11">
        <f>IF(Table1[[#This Row],[Delivery Date]]&lt;&gt;"",1,0)</f>
        <v>1</v>
      </c>
      <c r="L858" s="3" t="s">
        <v>2</v>
      </c>
      <c r="M858" s="3">
        <f>IF(Table1[[#This Row],[Cancellation Status]]&lt;&gt;"Yes",1,0)</f>
        <v>1</v>
      </c>
      <c r="O858" s="30">
        <v>45954</v>
      </c>
      <c r="P858" s="3">
        <v>1</v>
      </c>
      <c r="Q858" s="3">
        <v>5</v>
      </c>
      <c r="R858" s="3">
        <v>2</v>
      </c>
      <c r="S858" s="3">
        <v>7</v>
      </c>
      <c r="T85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58" t="str">
        <f>IF(Table1[[#This Row],[Customer Rating]]&gt;=9,"Promoter",IF(Table1[[#This Row],[Customer Rating]]&gt;=7,"Passive","Detractor"))</f>
        <v>Passive</v>
      </c>
    </row>
    <row r="859" spans="1:21" ht="14.25" customHeight="1" x14ac:dyDescent="0.3">
      <c r="A859" s="3" t="s">
        <v>894</v>
      </c>
      <c r="B859" s="3" t="s">
        <v>26</v>
      </c>
      <c r="C859" s="3" t="s">
        <v>27</v>
      </c>
      <c r="D859" s="14">
        <v>45935</v>
      </c>
      <c r="E859" s="11">
        <f>1</f>
        <v>1</v>
      </c>
      <c r="F859" s="14">
        <v>45938</v>
      </c>
      <c r="G859" s="11">
        <f>IF(Table1[[#This Row],[Pre-Booking Date]]&lt;&gt;"",1,0)</f>
        <v>1</v>
      </c>
      <c r="H859" s="4">
        <v>45940</v>
      </c>
      <c r="I859" s="11">
        <f>IF(Table1[[#This Row],[Booking Date]]&lt;&gt;"",1,0)</f>
        <v>1</v>
      </c>
      <c r="J859" s="30">
        <v>45943</v>
      </c>
      <c r="K859" s="11">
        <f>IF(Table1[[#This Row],[Delivery Date]]&lt;&gt;"",1,0)</f>
        <v>1</v>
      </c>
      <c r="L859" s="3" t="s">
        <v>2</v>
      </c>
      <c r="M859" s="3">
        <f>IF(Table1[[#This Row],[Cancellation Status]]&lt;&gt;"Yes",1,0)</f>
        <v>1</v>
      </c>
      <c r="O859" s="30">
        <v>45964</v>
      </c>
      <c r="P859" s="3">
        <v>3</v>
      </c>
      <c r="Q859" s="3">
        <v>2</v>
      </c>
      <c r="R859" s="3">
        <v>3</v>
      </c>
      <c r="S859" s="3">
        <v>5</v>
      </c>
      <c r="T85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59" t="str">
        <f>IF(Table1[[#This Row],[Customer Rating]]&gt;=9,"Promoter",IF(Table1[[#This Row],[Customer Rating]]&gt;=7,"Passive","Detractor"))</f>
        <v>Detractor</v>
      </c>
    </row>
    <row r="860" spans="1:21" ht="14.25" customHeight="1" x14ac:dyDescent="0.3">
      <c r="A860" s="3" t="s">
        <v>895</v>
      </c>
      <c r="B860" s="3" t="s">
        <v>29</v>
      </c>
      <c r="C860" s="3" t="s">
        <v>33</v>
      </c>
      <c r="D860" s="14">
        <v>45935</v>
      </c>
      <c r="E860" s="11">
        <f>1</f>
        <v>1</v>
      </c>
      <c r="G860" s="12">
        <f>IF(Table1[[#This Row],[Pre-Booking Date]]&lt;&gt;"",1,0)</f>
        <v>0</v>
      </c>
      <c r="I860" s="12">
        <f>IF(Table1[[#This Row],[Booking Date]]&lt;&gt;"",1,0)</f>
        <v>0</v>
      </c>
      <c r="K860" s="12">
        <f>IF(Table1[[#This Row],[Delivery Date]]&lt;&gt;"",1,0)</f>
        <v>0</v>
      </c>
      <c r="L860" s="3" t="s">
        <v>3</v>
      </c>
      <c r="M860" s="3">
        <f>IF(Table1[[#This Row],[Cancellation Status]]&lt;&gt;"Yes",1,0)</f>
        <v>0</v>
      </c>
      <c r="N860" s="3" t="s">
        <v>42</v>
      </c>
      <c r="T86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60" t="str">
        <f>IF(Table1[[#This Row],[Customer Rating]]&gt;=9,"Promoter",IF(Table1[[#This Row],[Customer Rating]]&gt;=7,"Passive","Detractor"))</f>
        <v>Detractor</v>
      </c>
    </row>
    <row r="861" spans="1:21" ht="14.25" customHeight="1" x14ac:dyDescent="0.3">
      <c r="A861" s="3" t="s">
        <v>896</v>
      </c>
      <c r="B861" s="3" t="s">
        <v>32</v>
      </c>
      <c r="C861" s="3" t="s">
        <v>27</v>
      </c>
      <c r="D861" s="14">
        <v>45935</v>
      </c>
      <c r="E861" s="11">
        <f>1</f>
        <v>1</v>
      </c>
      <c r="F861" s="14">
        <v>45937</v>
      </c>
      <c r="G861" s="11">
        <f>IF(Table1[[#This Row],[Pre-Booking Date]]&lt;&gt;"",1,0)</f>
        <v>1</v>
      </c>
      <c r="H861" s="4">
        <v>45941</v>
      </c>
      <c r="I861" s="11">
        <f>IF(Table1[[#This Row],[Booking Date]]&lt;&gt;"",1,0)</f>
        <v>1</v>
      </c>
      <c r="J861" s="30">
        <v>45947</v>
      </c>
      <c r="K861" s="11">
        <f>IF(Table1[[#This Row],[Delivery Date]]&lt;&gt;"",1,0)</f>
        <v>1</v>
      </c>
      <c r="L861" s="3" t="s">
        <v>2</v>
      </c>
      <c r="M861" s="3">
        <f>IF(Table1[[#This Row],[Cancellation Status]]&lt;&gt;"Yes",1,0)</f>
        <v>1</v>
      </c>
      <c r="O861" s="30">
        <v>45963</v>
      </c>
      <c r="P861" s="3">
        <v>2</v>
      </c>
      <c r="Q861" s="3">
        <v>4</v>
      </c>
      <c r="R861" s="3">
        <v>6</v>
      </c>
      <c r="S861" s="3">
        <v>6</v>
      </c>
      <c r="T86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61" t="str">
        <f>IF(Table1[[#This Row],[Customer Rating]]&gt;=9,"Promoter",IF(Table1[[#This Row],[Customer Rating]]&gt;=7,"Passive","Detractor"))</f>
        <v>Detractor</v>
      </c>
    </row>
    <row r="862" spans="1:21" ht="14.25" customHeight="1" x14ac:dyDescent="0.3">
      <c r="A862" s="3" t="s">
        <v>897</v>
      </c>
      <c r="B862" s="3" t="s">
        <v>26</v>
      </c>
      <c r="C862" s="3" t="s">
        <v>27</v>
      </c>
      <c r="D862" s="14">
        <v>45935</v>
      </c>
      <c r="E862" s="11">
        <f>1</f>
        <v>1</v>
      </c>
      <c r="F862" s="14">
        <v>45939</v>
      </c>
      <c r="G862" s="11">
        <f>IF(Table1[[#This Row],[Pre-Booking Date]]&lt;&gt;"",1,0)</f>
        <v>1</v>
      </c>
      <c r="H862" s="4">
        <v>45944</v>
      </c>
      <c r="I862" s="11">
        <f>IF(Table1[[#This Row],[Booking Date]]&lt;&gt;"",1,0)</f>
        <v>1</v>
      </c>
      <c r="J862" s="30">
        <v>45947</v>
      </c>
      <c r="K862" s="11">
        <f>IF(Table1[[#This Row],[Delivery Date]]&lt;&gt;"",1,0)</f>
        <v>1</v>
      </c>
      <c r="L862" s="3" t="s">
        <v>2</v>
      </c>
      <c r="M862" s="3">
        <f>IF(Table1[[#This Row],[Cancellation Status]]&lt;&gt;"Yes",1,0)</f>
        <v>1</v>
      </c>
      <c r="O862" s="30">
        <v>45977</v>
      </c>
      <c r="P862" s="3">
        <v>4</v>
      </c>
      <c r="Q862" s="3">
        <v>5</v>
      </c>
      <c r="R862" s="3">
        <v>3</v>
      </c>
      <c r="S862" s="3">
        <v>2</v>
      </c>
      <c r="T86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62" t="str">
        <f>IF(Table1[[#This Row],[Customer Rating]]&gt;=9,"Promoter",IF(Table1[[#This Row],[Customer Rating]]&gt;=7,"Passive","Detractor"))</f>
        <v>Detractor</v>
      </c>
    </row>
    <row r="863" spans="1:21" ht="14.25" customHeight="1" x14ac:dyDescent="0.3">
      <c r="A863" s="3" t="s">
        <v>898</v>
      </c>
      <c r="B863" s="3" t="s">
        <v>39</v>
      </c>
      <c r="C863" s="3" t="s">
        <v>27</v>
      </c>
      <c r="D863" s="14">
        <v>45935</v>
      </c>
      <c r="E863" s="11">
        <f>1</f>
        <v>1</v>
      </c>
      <c r="F863" s="14">
        <v>45938</v>
      </c>
      <c r="G863" s="11">
        <f>IF(Table1[[#This Row],[Pre-Booking Date]]&lt;&gt;"",1,0)</f>
        <v>1</v>
      </c>
      <c r="H863" s="4">
        <v>45939</v>
      </c>
      <c r="I863" s="11">
        <f>IF(Table1[[#This Row],[Booking Date]]&lt;&gt;"",1,0)</f>
        <v>1</v>
      </c>
      <c r="J863" s="30">
        <v>45943</v>
      </c>
      <c r="K863" s="11">
        <f>IF(Table1[[#This Row],[Delivery Date]]&lt;&gt;"",1,0)</f>
        <v>1</v>
      </c>
      <c r="L863" s="3" t="s">
        <v>2</v>
      </c>
      <c r="M863" s="3">
        <f>IF(Table1[[#This Row],[Cancellation Status]]&lt;&gt;"Yes",1,0)</f>
        <v>1</v>
      </c>
      <c r="O863" s="30">
        <v>45961</v>
      </c>
      <c r="P863" s="3">
        <v>3</v>
      </c>
      <c r="Q863" s="3">
        <v>1</v>
      </c>
      <c r="R863" s="3">
        <v>4</v>
      </c>
      <c r="S863" s="3">
        <v>9</v>
      </c>
      <c r="T86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63" t="str">
        <f>IF(Table1[[#This Row],[Customer Rating]]&gt;=9,"Promoter",IF(Table1[[#This Row],[Customer Rating]]&gt;=7,"Passive","Detractor"))</f>
        <v>Promoter</v>
      </c>
    </row>
    <row r="864" spans="1:21" ht="14.25" customHeight="1" x14ac:dyDescent="0.3">
      <c r="A864" s="3" t="s">
        <v>899</v>
      </c>
      <c r="B864" s="3" t="s">
        <v>29</v>
      </c>
      <c r="C864" s="3" t="s">
        <v>30</v>
      </c>
      <c r="D864" s="14">
        <v>45935</v>
      </c>
      <c r="E864" s="11">
        <f>1</f>
        <v>1</v>
      </c>
      <c r="F864" s="14">
        <v>45939</v>
      </c>
      <c r="G864" s="11">
        <f>IF(Table1[[#This Row],[Pre-Booking Date]]&lt;&gt;"",1,0)</f>
        <v>1</v>
      </c>
      <c r="H864" s="4">
        <v>45940</v>
      </c>
      <c r="I864" s="11">
        <f>IF(Table1[[#This Row],[Booking Date]]&lt;&gt;"",1,0)</f>
        <v>1</v>
      </c>
      <c r="J864" s="30">
        <v>45945</v>
      </c>
      <c r="K864" s="11">
        <f>IF(Table1[[#This Row],[Delivery Date]]&lt;&gt;"",1,0)</f>
        <v>1</v>
      </c>
      <c r="L864" s="3" t="s">
        <v>2</v>
      </c>
      <c r="M864" s="3">
        <f>IF(Table1[[#This Row],[Cancellation Status]]&lt;&gt;"Yes",1,0)</f>
        <v>1</v>
      </c>
      <c r="O864" s="30">
        <v>45964</v>
      </c>
      <c r="P864" s="3">
        <v>4</v>
      </c>
      <c r="Q864" s="3">
        <v>1</v>
      </c>
      <c r="R864" s="3">
        <v>5</v>
      </c>
      <c r="S864" s="3">
        <v>1</v>
      </c>
      <c r="T86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64" t="str">
        <f>IF(Table1[[#This Row],[Customer Rating]]&gt;=9,"Promoter",IF(Table1[[#This Row],[Customer Rating]]&gt;=7,"Passive","Detractor"))</f>
        <v>Detractor</v>
      </c>
    </row>
    <row r="865" spans="1:21" ht="14.25" customHeight="1" x14ac:dyDescent="0.3">
      <c r="A865" s="3" t="s">
        <v>900</v>
      </c>
      <c r="B865" s="3" t="s">
        <v>26</v>
      </c>
      <c r="C865" s="3" t="s">
        <v>27</v>
      </c>
      <c r="D865" s="14">
        <v>45935</v>
      </c>
      <c r="E865" s="11">
        <f>1</f>
        <v>1</v>
      </c>
      <c r="F865" s="14">
        <v>45938</v>
      </c>
      <c r="G865" s="11">
        <f>IF(Table1[[#This Row],[Pre-Booking Date]]&lt;&gt;"",1,0)</f>
        <v>1</v>
      </c>
      <c r="H865" s="4">
        <v>45941</v>
      </c>
      <c r="I865" s="11">
        <f>IF(Table1[[#This Row],[Booking Date]]&lt;&gt;"",1,0)</f>
        <v>1</v>
      </c>
      <c r="J865" s="30">
        <v>45945</v>
      </c>
      <c r="K865" s="11">
        <f>IF(Table1[[#This Row],[Delivery Date]]&lt;&gt;"",1,0)</f>
        <v>1</v>
      </c>
      <c r="L865" s="3" t="s">
        <v>2</v>
      </c>
      <c r="M865" s="3">
        <f>IF(Table1[[#This Row],[Cancellation Status]]&lt;&gt;"Yes",1,0)</f>
        <v>1</v>
      </c>
      <c r="O865" s="30">
        <v>45964</v>
      </c>
      <c r="P865" s="3">
        <v>3</v>
      </c>
      <c r="Q865" s="3">
        <v>3</v>
      </c>
      <c r="R865" s="3">
        <v>4</v>
      </c>
      <c r="S865" s="3">
        <v>3</v>
      </c>
      <c r="T86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65" t="str">
        <f>IF(Table1[[#This Row],[Customer Rating]]&gt;=9,"Promoter",IF(Table1[[#This Row],[Customer Rating]]&gt;=7,"Passive","Detractor"))</f>
        <v>Detractor</v>
      </c>
    </row>
    <row r="866" spans="1:21" ht="14.25" customHeight="1" x14ac:dyDescent="0.3">
      <c r="A866" s="3" t="s">
        <v>901</v>
      </c>
      <c r="B866" s="3" t="s">
        <v>39</v>
      </c>
      <c r="C866" s="3" t="s">
        <v>27</v>
      </c>
      <c r="D866" s="14">
        <v>45935</v>
      </c>
      <c r="E866" s="11">
        <f>1</f>
        <v>1</v>
      </c>
      <c r="F866" s="14">
        <v>45938</v>
      </c>
      <c r="G866" s="11">
        <f>IF(Table1[[#This Row],[Pre-Booking Date]]&lt;&gt;"",1,0)</f>
        <v>1</v>
      </c>
      <c r="H866" s="4">
        <v>45943</v>
      </c>
      <c r="I866" s="11">
        <f>IF(Table1[[#This Row],[Booking Date]]&lt;&gt;"",1,0)</f>
        <v>1</v>
      </c>
      <c r="J866" s="30">
        <v>45946</v>
      </c>
      <c r="K866" s="11">
        <f>IF(Table1[[#This Row],[Delivery Date]]&lt;&gt;"",1,0)</f>
        <v>1</v>
      </c>
      <c r="L866" s="3" t="s">
        <v>2</v>
      </c>
      <c r="M866" s="3">
        <f>IF(Table1[[#This Row],[Cancellation Status]]&lt;&gt;"Yes",1,0)</f>
        <v>1</v>
      </c>
      <c r="O866" s="30">
        <v>45960</v>
      </c>
      <c r="P866" s="3">
        <v>3</v>
      </c>
      <c r="Q866" s="3">
        <v>5</v>
      </c>
      <c r="R866" s="3">
        <v>3</v>
      </c>
      <c r="S866" s="3">
        <v>2</v>
      </c>
      <c r="T86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66" t="str">
        <f>IF(Table1[[#This Row],[Customer Rating]]&gt;=9,"Promoter",IF(Table1[[#This Row],[Customer Rating]]&gt;=7,"Passive","Detractor"))</f>
        <v>Detractor</v>
      </c>
    </row>
    <row r="867" spans="1:21" ht="14.25" customHeight="1" x14ac:dyDescent="0.3">
      <c r="A867" s="3" t="s">
        <v>902</v>
      </c>
      <c r="B867" s="3" t="s">
        <v>32</v>
      </c>
      <c r="C867" s="3" t="s">
        <v>30</v>
      </c>
      <c r="D867" s="14">
        <v>45935</v>
      </c>
      <c r="E867" s="11">
        <f>1</f>
        <v>1</v>
      </c>
      <c r="F867" s="14">
        <v>45936</v>
      </c>
      <c r="G867" s="11">
        <f>IF(Table1[[#This Row],[Pre-Booking Date]]&lt;&gt;"",1,0)</f>
        <v>1</v>
      </c>
      <c r="H867" s="4">
        <v>45937</v>
      </c>
      <c r="I867" s="11">
        <f>IF(Table1[[#This Row],[Booking Date]]&lt;&gt;"",1,0)</f>
        <v>1</v>
      </c>
      <c r="J867" s="30">
        <v>45944</v>
      </c>
      <c r="K867" s="11">
        <f>IF(Table1[[#This Row],[Delivery Date]]&lt;&gt;"",1,0)</f>
        <v>1</v>
      </c>
      <c r="L867" s="3" t="s">
        <v>2</v>
      </c>
      <c r="M867" s="3">
        <f>IF(Table1[[#This Row],[Cancellation Status]]&lt;&gt;"Yes",1,0)</f>
        <v>1</v>
      </c>
      <c r="O867" s="30">
        <v>45964</v>
      </c>
      <c r="P867" s="3">
        <v>1</v>
      </c>
      <c r="Q867" s="3">
        <v>1</v>
      </c>
      <c r="R867" s="3">
        <v>7</v>
      </c>
      <c r="S867" s="3">
        <v>7</v>
      </c>
      <c r="T86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67" t="str">
        <f>IF(Table1[[#This Row],[Customer Rating]]&gt;=9,"Promoter",IF(Table1[[#This Row],[Customer Rating]]&gt;=7,"Passive","Detractor"))</f>
        <v>Passive</v>
      </c>
    </row>
    <row r="868" spans="1:21" ht="14.25" customHeight="1" x14ac:dyDescent="0.3">
      <c r="A868" s="3" t="s">
        <v>903</v>
      </c>
      <c r="B868" s="3" t="s">
        <v>32</v>
      </c>
      <c r="C868" s="3" t="s">
        <v>27</v>
      </c>
      <c r="D868" s="14">
        <v>45935</v>
      </c>
      <c r="E868" s="11">
        <f>1</f>
        <v>1</v>
      </c>
      <c r="F868" s="14">
        <v>45940</v>
      </c>
      <c r="G868" s="11">
        <f>IF(Table1[[#This Row],[Pre-Booking Date]]&lt;&gt;"",1,0)</f>
        <v>1</v>
      </c>
      <c r="H868" s="4">
        <v>45943</v>
      </c>
      <c r="I868" s="11">
        <f>IF(Table1[[#This Row],[Booking Date]]&lt;&gt;"",1,0)</f>
        <v>1</v>
      </c>
      <c r="J868" s="30">
        <v>45947</v>
      </c>
      <c r="K868" s="11">
        <f>IF(Table1[[#This Row],[Delivery Date]]&lt;&gt;"",1,0)</f>
        <v>1</v>
      </c>
      <c r="L868" s="3" t="s">
        <v>2</v>
      </c>
      <c r="M868" s="3">
        <f>IF(Table1[[#This Row],[Cancellation Status]]&lt;&gt;"Yes",1,0)</f>
        <v>1</v>
      </c>
      <c r="O868" s="30">
        <v>45968</v>
      </c>
      <c r="P868" s="3">
        <v>5</v>
      </c>
      <c r="Q868" s="3">
        <v>3</v>
      </c>
      <c r="R868" s="3">
        <v>4</v>
      </c>
      <c r="S868" s="3">
        <v>2</v>
      </c>
      <c r="T86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68" t="str">
        <f>IF(Table1[[#This Row],[Customer Rating]]&gt;=9,"Promoter",IF(Table1[[#This Row],[Customer Rating]]&gt;=7,"Passive","Detractor"))</f>
        <v>Detractor</v>
      </c>
    </row>
    <row r="869" spans="1:21" ht="14.25" customHeight="1" x14ac:dyDescent="0.3">
      <c r="A869" s="3" t="s">
        <v>904</v>
      </c>
      <c r="B869" s="3" t="s">
        <v>32</v>
      </c>
      <c r="C869" s="3" t="s">
        <v>33</v>
      </c>
      <c r="D869" s="14">
        <v>45935</v>
      </c>
      <c r="E869" s="11">
        <f>1</f>
        <v>1</v>
      </c>
      <c r="G869" s="12">
        <f>IF(Table1[[#This Row],[Pre-Booking Date]]&lt;&gt;"",1,0)</f>
        <v>0</v>
      </c>
      <c r="I869" s="12">
        <f>IF(Table1[[#This Row],[Booking Date]]&lt;&gt;"",1,0)</f>
        <v>0</v>
      </c>
      <c r="K869" s="12">
        <f>IF(Table1[[#This Row],[Delivery Date]]&lt;&gt;"",1,0)</f>
        <v>0</v>
      </c>
      <c r="L869" s="3" t="s">
        <v>3</v>
      </c>
      <c r="M869" s="3">
        <f>IF(Table1[[#This Row],[Cancellation Status]]&lt;&gt;"Yes",1,0)</f>
        <v>0</v>
      </c>
      <c r="N869" s="3" t="s">
        <v>34</v>
      </c>
      <c r="T86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69" t="str">
        <f>IF(Table1[[#This Row],[Customer Rating]]&gt;=9,"Promoter",IF(Table1[[#This Row],[Customer Rating]]&gt;=7,"Passive","Detractor"))</f>
        <v>Detractor</v>
      </c>
    </row>
    <row r="870" spans="1:21" ht="14.25" customHeight="1" x14ac:dyDescent="0.3">
      <c r="A870" s="3" t="s">
        <v>905</v>
      </c>
      <c r="B870" s="3" t="s">
        <v>26</v>
      </c>
      <c r="C870" s="3" t="s">
        <v>27</v>
      </c>
      <c r="D870" s="14">
        <v>45935</v>
      </c>
      <c r="E870" s="11">
        <f>1</f>
        <v>1</v>
      </c>
      <c r="F870" s="14">
        <v>45936</v>
      </c>
      <c r="G870" s="11">
        <f>IF(Table1[[#This Row],[Pre-Booking Date]]&lt;&gt;"",1,0)</f>
        <v>1</v>
      </c>
      <c r="H870" s="4">
        <v>45939</v>
      </c>
      <c r="I870" s="11">
        <f>IF(Table1[[#This Row],[Booking Date]]&lt;&gt;"",1,0)</f>
        <v>1</v>
      </c>
      <c r="J870" s="30">
        <v>45942</v>
      </c>
      <c r="K870" s="11">
        <f>IF(Table1[[#This Row],[Delivery Date]]&lt;&gt;"",1,0)</f>
        <v>1</v>
      </c>
      <c r="L870" s="3" t="s">
        <v>2</v>
      </c>
      <c r="M870" s="3">
        <f>IF(Table1[[#This Row],[Cancellation Status]]&lt;&gt;"Yes",1,0)</f>
        <v>1</v>
      </c>
      <c r="O870" s="30">
        <v>45953</v>
      </c>
      <c r="P870" s="3">
        <v>1</v>
      </c>
      <c r="Q870" s="3">
        <v>3</v>
      </c>
      <c r="R870" s="3">
        <v>3</v>
      </c>
      <c r="S870" s="3">
        <v>1</v>
      </c>
      <c r="T87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70" t="str">
        <f>IF(Table1[[#This Row],[Customer Rating]]&gt;=9,"Promoter",IF(Table1[[#This Row],[Customer Rating]]&gt;=7,"Passive","Detractor"))</f>
        <v>Detractor</v>
      </c>
    </row>
    <row r="871" spans="1:21" ht="14.25" customHeight="1" x14ac:dyDescent="0.3">
      <c r="A871" s="3" t="s">
        <v>906</v>
      </c>
      <c r="B871" s="3" t="s">
        <v>39</v>
      </c>
      <c r="C871" s="3" t="s">
        <v>30</v>
      </c>
      <c r="D871" s="14">
        <v>45935</v>
      </c>
      <c r="E871" s="11">
        <f>1</f>
        <v>1</v>
      </c>
      <c r="F871" s="14">
        <v>45940</v>
      </c>
      <c r="G871" s="11">
        <f>IF(Table1[[#This Row],[Pre-Booking Date]]&lt;&gt;"",1,0)</f>
        <v>1</v>
      </c>
      <c r="H871" s="4">
        <v>45943</v>
      </c>
      <c r="I871" s="11">
        <f>IF(Table1[[#This Row],[Booking Date]]&lt;&gt;"",1,0)</f>
        <v>1</v>
      </c>
      <c r="J871" s="30">
        <v>45945</v>
      </c>
      <c r="K871" s="11">
        <f>IF(Table1[[#This Row],[Delivery Date]]&lt;&gt;"",1,0)</f>
        <v>1</v>
      </c>
      <c r="L871" s="3" t="s">
        <v>2</v>
      </c>
      <c r="M871" s="3">
        <f>IF(Table1[[#This Row],[Cancellation Status]]&lt;&gt;"Yes",1,0)</f>
        <v>1</v>
      </c>
      <c r="O871" s="30">
        <v>45958</v>
      </c>
      <c r="P871" s="3">
        <v>5</v>
      </c>
      <c r="Q871" s="3">
        <v>3</v>
      </c>
      <c r="R871" s="3">
        <v>2</v>
      </c>
      <c r="S871" s="3">
        <v>4</v>
      </c>
      <c r="T87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71" t="str">
        <f>IF(Table1[[#This Row],[Customer Rating]]&gt;=9,"Promoter",IF(Table1[[#This Row],[Customer Rating]]&gt;=7,"Passive","Detractor"))</f>
        <v>Detractor</v>
      </c>
    </row>
    <row r="872" spans="1:21" ht="14.25" customHeight="1" x14ac:dyDescent="0.3">
      <c r="A872" s="3" t="s">
        <v>907</v>
      </c>
      <c r="B872" s="3" t="s">
        <v>29</v>
      </c>
      <c r="C872" s="3" t="s">
        <v>30</v>
      </c>
      <c r="D872" s="14">
        <v>45935</v>
      </c>
      <c r="E872" s="11">
        <f>1</f>
        <v>1</v>
      </c>
      <c r="F872" s="14">
        <v>45936</v>
      </c>
      <c r="G872" s="11">
        <f>IF(Table1[[#This Row],[Pre-Booking Date]]&lt;&gt;"",1,0)</f>
        <v>1</v>
      </c>
      <c r="H872" s="4">
        <v>45941</v>
      </c>
      <c r="I872" s="11">
        <f>IF(Table1[[#This Row],[Booking Date]]&lt;&gt;"",1,0)</f>
        <v>1</v>
      </c>
      <c r="J872" s="30">
        <v>45943</v>
      </c>
      <c r="K872" s="11">
        <f>IF(Table1[[#This Row],[Delivery Date]]&lt;&gt;"",1,0)</f>
        <v>1</v>
      </c>
      <c r="L872" s="3" t="s">
        <v>2</v>
      </c>
      <c r="M872" s="3">
        <f>IF(Table1[[#This Row],[Cancellation Status]]&lt;&gt;"Yes",1,0)</f>
        <v>1</v>
      </c>
      <c r="O872" s="30">
        <v>45969</v>
      </c>
      <c r="P872" s="3">
        <v>1</v>
      </c>
      <c r="Q872" s="3">
        <v>5</v>
      </c>
      <c r="R872" s="3">
        <v>2</v>
      </c>
      <c r="S872" s="3">
        <v>4</v>
      </c>
      <c r="T87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72" t="str">
        <f>IF(Table1[[#This Row],[Customer Rating]]&gt;=9,"Promoter",IF(Table1[[#This Row],[Customer Rating]]&gt;=7,"Passive","Detractor"))</f>
        <v>Detractor</v>
      </c>
    </row>
    <row r="873" spans="1:21" ht="14.25" customHeight="1" x14ac:dyDescent="0.3">
      <c r="A873" s="3" t="s">
        <v>908</v>
      </c>
      <c r="B873" s="3" t="s">
        <v>39</v>
      </c>
      <c r="C873" s="3" t="s">
        <v>27</v>
      </c>
      <c r="D873" s="14">
        <v>45935</v>
      </c>
      <c r="E873" s="11">
        <f>1</f>
        <v>1</v>
      </c>
      <c r="F873" s="14">
        <v>45937</v>
      </c>
      <c r="G873" s="11">
        <f>IF(Table1[[#This Row],[Pre-Booking Date]]&lt;&gt;"",1,0)</f>
        <v>1</v>
      </c>
      <c r="H873" s="4">
        <v>45941</v>
      </c>
      <c r="I873" s="11">
        <f>IF(Table1[[#This Row],[Booking Date]]&lt;&gt;"",1,0)</f>
        <v>1</v>
      </c>
      <c r="J873" s="30">
        <v>45943</v>
      </c>
      <c r="K873" s="11">
        <f>IF(Table1[[#This Row],[Delivery Date]]&lt;&gt;"",1,0)</f>
        <v>1</v>
      </c>
      <c r="L873" s="3" t="s">
        <v>2</v>
      </c>
      <c r="M873" s="3">
        <f>IF(Table1[[#This Row],[Cancellation Status]]&lt;&gt;"Yes",1,0)</f>
        <v>1</v>
      </c>
      <c r="O873" s="30">
        <v>45960</v>
      </c>
      <c r="P873" s="3">
        <v>2</v>
      </c>
      <c r="Q873" s="3">
        <v>4</v>
      </c>
      <c r="R873" s="3">
        <v>2</v>
      </c>
      <c r="S873" s="3">
        <v>4</v>
      </c>
      <c r="T87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73" t="str">
        <f>IF(Table1[[#This Row],[Customer Rating]]&gt;=9,"Promoter",IF(Table1[[#This Row],[Customer Rating]]&gt;=7,"Passive","Detractor"))</f>
        <v>Detractor</v>
      </c>
    </row>
    <row r="874" spans="1:21" ht="14.25" customHeight="1" x14ac:dyDescent="0.3">
      <c r="A874" s="3" t="s">
        <v>909</v>
      </c>
      <c r="B874" s="3" t="s">
        <v>29</v>
      </c>
      <c r="C874" s="3" t="s">
        <v>33</v>
      </c>
      <c r="D874" s="14">
        <v>45935</v>
      </c>
      <c r="E874" s="11">
        <f>1</f>
        <v>1</v>
      </c>
      <c r="G874" s="12">
        <f>IF(Table1[[#This Row],[Pre-Booking Date]]&lt;&gt;"",1,0)</f>
        <v>0</v>
      </c>
      <c r="I874" s="12">
        <f>IF(Table1[[#This Row],[Booking Date]]&lt;&gt;"",1,0)</f>
        <v>0</v>
      </c>
      <c r="K874" s="12">
        <f>IF(Table1[[#This Row],[Delivery Date]]&lt;&gt;"",1,0)</f>
        <v>0</v>
      </c>
      <c r="L874" s="3" t="s">
        <v>3</v>
      </c>
      <c r="M874" s="3">
        <f>IF(Table1[[#This Row],[Cancellation Status]]&lt;&gt;"Yes",1,0)</f>
        <v>0</v>
      </c>
      <c r="N874" s="3" t="s">
        <v>34</v>
      </c>
      <c r="T87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74" t="str">
        <f>IF(Table1[[#This Row],[Customer Rating]]&gt;=9,"Promoter",IF(Table1[[#This Row],[Customer Rating]]&gt;=7,"Passive","Detractor"))</f>
        <v>Detractor</v>
      </c>
    </row>
    <row r="875" spans="1:21" ht="14.25" customHeight="1" x14ac:dyDescent="0.3">
      <c r="A875" s="3" t="s">
        <v>910</v>
      </c>
      <c r="B875" s="3" t="s">
        <v>32</v>
      </c>
      <c r="C875" s="3" t="s">
        <v>33</v>
      </c>
      <c r="D875" s="14">
        <v>45935</v>
      </c>
      <c r="E875" s="11">
        <f>1</f>
        <v>1</v>
      </c>
      <c r="G875" s="12">
        <f>IF(Table1[[#This Row],[Pre-Booking Date]]&lt;&gt;"",1,0)</f>
        <v>0</v>
      </c>
      <c r="I875" s="12">
        <f>IF(Table1[[#This Row],[Booking Date]]&lt;&gt;"",1,0)</f>
        <v>0</v>
      </c>
      <c r="K875" s="12">
        <f>IF(Table1[[#This Row],[Delivery Date]]&lt;&gt;"",1,0)</f>
        <v>0</v>
      </c>
      <c r="L875" s="3" t="s">
        <v>3</v>
      </c>
      <c r="M875" s="3">
        <f>IF(Table1[[#This Row],[Cancellation Status]]&lt;&gt;"Yes",1,0)</f>
        <v>0</v>
      </c>
      <c r="N875" s="3" t="s">
        <v>42</v>
      </c>
      <c r="T87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75" t="str">
        <f>IF(Table1[[#This Row],[Customer Rating]]&gt;=9,"Promoter",IF(Table1[[#This Row],[Customer Rating]]&gt;=7,"Passive","Detractor"))</f>
        <v>Detractor</v>
      </c>
    </row>
    <row r="876" spans="1:21" ht="14.25" customHeight="1" x14ac:dyDescent="0.3">
      <c r="A876" s="3" t="s">
        <v>911</v>
      </c>
      <c r="B876" s="3" t="s">
        <v>32</v>
      </c>
      <c r="C876" s="3" t="s">
        <v>27</v>
      </c>
      <c r="D876" s="14">
        <v>45935</v>
      </c>
      <c r="E876" s="11">
        <f>1</f>
        <v>1</v>
      </c>
      <c r="F876" s="14">
        <v>45936</v>
      </c>
      <c r="G876" s="11">
        <f>IF(Table1[[#This Row],[Pre-Booking Date]]&lt;&gt;"",1,0)</f>
        <v>1</v>
      </c>
      <c r="H876" s="4">
        <v>45940</v>
      </c>
      <c r="I876" s="11">
        <f>IF(Table1[[#This Row],[Booking Date]]&lt;&gt;"",1,0)</f>
        <v>1</v>
      </c>
      <c r="J876" s="30">
        <v>45942</v>
      </c>
      <c r="K876" s="11">
        <f>IF(Table1[[#This Row],[Delivery Date]]&lt;&gt;"",1,0)</f>
        <v>1</v>
      </c>
      <c r="L876" s="3" t="s">
        <v>2</v>
      </c>
      <c r="M876" s="3">
        <f>IF(Table1[[#This Row],[Cancellation Status]]&lt;&gt;"Yes",1,0)</f>
        <v>1</v>
      </c>
      <c r="O876" s="30">
        <v>45955</v>
      </c>
      <c r="P876" s="3">
        <v>1</v>
      </c>
      <c r="Q876" s="3">
        <v>4</v>
      </c>
      <c r="R876" s="3">
        <v>2</v>
      </c>
      <c r="S876" s="3">
        <v>4</v>
      </c>
      <c r="T87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76" t="str">
        <f>IF(Table1[[#This Row],[Customer Rating]]&gt;=9,"Promoter",IF(Table1[[#This Row],[Customer Rating]]&gt;=7,"Passive","Detractor"))</f>
        <v>Detractor</v>
      </c>
    </row>
    <row r="877" spans="1:21" ht="14.25" customHeight="1" x14ac:dyDescent="0.3">
      <c r="A877" s="3" t="s">
        <v>912</v>
      </c>
      <c r="B877" s="3" t="s">
        <v>26</v>
      </c>
      <c r="C877" s="3" t="s">
        <v>30</v>
      </c>
      <c r="D877" s="14">
        <v>45935</v>
      </c>
      <c r="E877" s="11">
        <f>1</f>
        <v>1</v>
      </c>
      <c r="F877" s="14">
        <v>45939</v>
      </c>
      <c r="G877" s="11">
        <f>IF(Table1[[#This Row],[Pre-Booking Date]]&lt;&gt;"",1,0)</f>
        <v>1</v>
      </c>
      <c r="H877" s="4">
        <v>45940</v>
      </c>
      <c r="I877" s="11">
        <f>IF(Table1[[#This Row],[Booking Date]]&lt;&gt;"",1,0)</f>
        <v>1</v>
      </c>
      <c r="J877" s="30">
        <v>45942</v>
      </c>
      <c r="K877" s="11">
        <f>IF(Table1[[#This Row],[Delivery Date]]&lt;&gt;"",1,0)</f>
        <v>1</v>
      </c>
      <c r="L877" s="3" t="s">
        <v>2</v>
      </c>
      <c r="M877" s="3">
        <f>IF(Table1[[#This Row],[Cancellation Status]]&lt;&gt;"Yes",1,0)</f>
        <v>1</v>
      </c>
      <c r="O877" s="30">
        <v>45961</v>
      </c>
      <c r="P877" s="3">
        <v>4</v>
      </c>
      <c r="Q877" s="3">
        <v>1</v>
      </c>
      <c r="R877" s="3">
        <v>2</v>
      </c>
      <c r="S877" s="3">
        <v>1</v>
      </c>
      <c r="T87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77" t="str">
        <f>IF(Table1[[#This Row],[Customer Rating]]&gt;=9,"Promoter",IF(Table1[[#This Row],[Customer Rating]]&gt;=7,"Passive","Detractor"))</f>
        <v>Detractor</v>
      </c>
    </row>
    <row r="878" spans="1:21" ht="14.25" customHeight="1" x14ac:dyDescent="0.3">
      <c r="A878" s="3" t="s">
        <v>913</v>
      </c>
      <c r="B878" s="3" t="s">
        <v>26</v>
      </c>
      <c r="C878" s="3" t="s">
        <v>27</v>
      </c>
      <c r="D878" s="14">
        <v>45935</v>
      </c>
      <c r="E878" s="11">
        <f>1</f>
        <v>1</v>
      </c>
      <c r="F878" s="14">
        <v>45940</v>
      </c>
      <c r="G878" s="11">
        <f>IF(Table1[[#This Row],[Pre-Booking Date]]&lt;&gt;"",1,0)</f>
        <v>1</v>
      </c>
      <c r="H878" s="4">
        <v>45944</v>
      </c>
      <c r="I878" s="11">
        <f>IF(Table1[[#This Row],[Booking Date]]&lt;&gt;"",1,0)</f>
        <v>1</v>
      </c>
      <c r="J878" s="30">
        <v>45951</v>
      </c>
      <c r="K878" s="11">
        <f>IF(Table1[[#This Row],[Delivery Date]]&lt;&gt;"",1,0)</f>
        <v>1</v>
      </c>
      <c r="L878" s="3" t="s">
        <v>2</v>
      </c>
      <c r="M878" s="3">
        <f>IF(Table1[[#This Row],[Cancellation Status]]&lt;&gt;"Yes",1,0)</f>
        <v>1</v>
      </c>
      <c r="O878" s="30">
        <v>45979</v>
      </c>
      <c r="P878" s="3">
        <v>5</v>
      </c>
      <c r="Q878" s="3">
        <v>4</v>
      </c>
      <c r="R878" s="3">
        <v>7</v>
      </c>
      <c r="S878" s="3">
        <v>7</v>
      </c>
      <c r="T87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78" t="str">
        <f>IF(Table1[[#This Row],[Customer Rating]]&gt;=9,"Promoter",IF(Table1[[#This Row],[Customer Rating]]&gt;=7,"Passive","Detractor"))</f>
        <v>Passive</v>
      </c>
    </row>
    <row r="879" spans="1:21" ht="14.25" customHeight="1" x14ac:dyDescent="0.3">
      <c r="A879" s="3" t="s">
        <v>914</v>
      </c>
      <c r="B879" s="3" t="s">
        <v>26</v>
      </c>
      <c r="C879" s="3" t="s">
        <v>27</v>
      </c>
      <c r="D879" s="14">
        <v>45935</v>
      </c>
      <c r="E879" s="11">
        <f>1</f>
        <v>1</v>
      </c>
      <c r="F879" s="14">
        <v>45939</v>
      </c>
      <c r="G879" s="11">
        <f>IF(Table1[[#This Row],[Pre-Booking Date]]&lt;&gt;"",1,0)</f>
        <v>1</v>
      </c>
      <c r="H879" s="4">
        <v>45944</v>
      </c>
      <c r="I879" s="11">
        <f>IF(Table1[[#This Row],[Booking Date]]&lt;&gt;"",1,0)</f>
        <v>1</v>
      </c>
      <c r="J879" s="30">
        <v>45948</v>
      </c>
      <c r="K879" s="11">
        <f>IF(Table1[[#This Row],[Delivery Date]]&lt;&gt;"",1,0)</f>
        <v>1</v>
      </c>
      <c r="L879" s="3" t="s">
        <v>2</v>
      </c>
      <c r="M879" s="3">
        <f>IF(Table1[[#This Row],[Cancellation Status]]&lt;&gt;"Yes",1,0)</f>
        <v>1</v>
      </c>
      <c r="O879" s="30">
        <v>45963</v>
      </c>
      <c r="P879" s="3">
        <v>4</v>
      </c>
      <c r="Q879" s="3">
        <v>5</v>
      </c>
      <c r="R879" s="3">
        <v>4</v>
      </c>
      <c r="S879" s="3">
        <v>7</v>
      </c>
      <c r="T87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79" t="str">
        <f>IF(Table1[[#This Row],[Customer Rating]]&gt;=9,"Promoter",IF(Table1[[#This Row],[Customer Rating]]&gt;=7,"Passive","Detractor"))</f>
        <v>Passive</v>
      </c>
    </row>
    <row r="880" spans="1:21" ht="14.25" customHeight="1" x14ac:dyDescent="0.3">
      <c r="A880" s="3" t="s">
        <v>915</v>
      </c>
      <c r="B880" s="3" t="s">
        <v>39</v>
      </c>
      <c r="C880" s="3" t="s">
        <v>27</v>
      </c>
      <c r="D880" s="14">
        <v>45934</v>
      </c>
      <c r="E880" s="11">
        <f>1</f>
        <v>1</v>
      </c>
      <c r="F880" s="14">
        <v>45935</v>
      </c>
      <c r="G880" s="11">
        <f>IF(Table1[[#This Row],[Pre-Booking Date]]&lt;&gt;"",1,0)</f>
        <v>1</v>
      </c>
      <c r="H880" s="4">
        <v>45938</v>
      </c>
      <c r="I880" s="11">
        <f>IF(Table1[[#This Row],[Booking Date]]&lt;&gt;"",1,0)</f>
        <v>1</v>
      </c>
      <c r="J880" s="30">
        <v>45945</v>
      </c>
      <c r="K880" s="11">
        <f>IF(Table1[[#This Row],[Delivery Date]]&lt;&gt;"",1,0)</f>
        <v>1</v>
      </c>
      <c r="L880" s="3" t="s">
        <v>3</v>
      </c>
      <c r="M880" s="3">
        <f>IF(Table1[[#This Row],[Cancellation Status]]&lt;&gt;"Yes",1,0)</f>
        <v>0</v>
      </c>
      <c r="N880" s="3" t="s">
        <v>42</v>
      </c>
      <c r="P880" s="3">
        <v>1</v>
      </c>
      <c r="Q880" s="3">
        <v>3</v>
      </c>
      <c r="R880" s="3">
        <v>7</v>
      </c>
      <c r="T88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80" t="str">
        <f>IF(Table1[[#This Row],[Customer Rating]]&gt;=9,"Promoter",IF(Table1[[#This Row],[Customer Rating]]&gt;=7,"Passive","Detractor"))</f>
        <v>Detractor</v>
      </c>
    </row>
    <row r="881" spans="1:21" ht="14.25" customHeight="1" x14ac:dyDescent="0.3">
      <c r="A881" s="3" t="s">
        <v>916</v>
      </c>
      <c r="B881" s="3" t="s">
        <v>32</v>
      </c>
      <c r="C881" s="3" t="s">
        <v>33</v>
      </c>
      <c r="D881" s="14">
        <v>45934</v>
      </c>
      <c r="E881" s="11">
        <f>1</f>
        <v>1</v>
      </c>
      <c r="G881" s="12">
        <f>IF(Table1[[#This Row],[Pre-Booking Date]]&lt;&gt;"",1,0)</f>
        <v>0</v>
      </c>
      <c r="I881" s="12">
        <f>IF(Table1[[#This Row],[Booking Date]]&lt;&gt;"",1,0)</f>
        <v>0</v>
      </c>
      <c r="K881" s="12">
        <f>IF(Table1[[#This Row],[Delivery Date]]&lt;&gt;"",1,0)</f>
        <v>0</v>
      </c>
      <c r="L881" s="3" t="s">
        <v>3</v>
      </c>
      <c r="M881" s="3">
        <f>IF(Table1[[#This Row],[Cancellation Status]]&lt;&gt;"Yes",1,0)</f>
        <v>0</v>
      </c>
      <c r="N881" s="3" t="s">
        <v>42</v>
      </c>
      <c r="T88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81" t="str">
        <f>IF(Table1[[#This Row],[Customer Rating]]&gt;=9,"Promoter",IF(Table1[[#This Row],[Customer Rating]]&gt;=7,"Passive","Detractor"))</f>
        <v>Detractor</v>
      </c>
    </row>
    <row r="882" spans="1:21" ht="14.25" customHeight="1" x14ac:dyDescent="0.3">
      <c r="A882" s="3" t="s">
        <v>917</v>
      </c>
      <c r="B882" s="3" t="s">
        <v>32</v>
      </c>
      <c r="C882" s="3" t="s">
        <v>27</v>
      </c>
      <c r="D882" s="14">
        <v>45934</v>
      </c>
      <c r="E882" s="11">
        <f>1</f>
        <v>1</v>
      </c>
      <c r="F882" s="14">
        <v>45938</v>
      </c>
      <c r="G882" s="11">
        <f>IF(Table1[[#This Row],[Pre-Booking Date]]&lt;&gt;"",1,0)</f>
        <v>1</v>
      </c>
      <c r="H882" s="4">
        <v>45943</v>
      </c>
      <c r="I882" s="11">
        <f>IF(Table1[[#This Row],[Booking Date]]&lt;&gt;"",1,0)</f>
        <v>1</v>
      </c>
      <c r="J882" s="30">
        <v>45946</v>
      </c>
      <c r="K882" s="11">
        <f>IF(Table1[[#This Row],[Delivery Date]]&lt;&gt;"",1,0)</f>
        <v>1</v>
      </c>
      <c r="L882" s="3" t="s">
        <v>2</v>
      </c>
      <c r="M882" s="3">
        <f>IF(Table1[[#This Row],[Cancellation Status]]&lt;&gt;"Yes",1,0)</f>
        <v>1</v>
      </c>
      <c r="O882" s="30">
        <v>45962</v>
      </c>
      <c r="P882" s="3">
        <v>4</v>
      </c>
      <c r="Q882" s="3">
        <v>5</v>
      </c>
      <c r="R882" s="3">
        <v>3</v>
      </c>
      <c r="S882" s="3">
        <v>1</v>
      </c>
      <c r="T88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82" t="str">
        <f>IF(Table1[[#This Row],[Customer Rating]]&gt;=9,"Promoter",IF(Table1[[#This Row],[Customer Rating]]&gt;=7,"Passive","Detractor"))</f>
        <v>Detractor</v>
      </c>
    </row>
    <row r="883" spans="1:21" ht="14.25" customHeight="1" x14ac:dyDescent="0.3">
      <c r="A883" s="3" t="s">
        <v>918</v>
      </c>
      <c r="B883" s="3" t="s">
        <v>29</v>
      </c>
      <c r="C883" s="3" t="s">
        <v>33</v>
      </c>
      <c r="D883" s="14">
        <v>45934</v>
      </c>
      <c r="E883" s="11">
        <f>1</f>
        <v>1</v>
      </c>
      <c r="G883" s="12">
        <f>IF(Table1[[#This Row],[Pre-Booking Date]]&lt;&gt;"",1,0)</f>
        <v>0</v>
      </c>
      <c r="I883" s="12">
        <f>IF(Table1[[#This Row],[Booking Date]]&lt;&gt;"",1,0)</f>
        <v>0</v>
      </c>
      <c r="K883" s="12">
        <f>IF(Table1[[#This Row],[Delivery Date]]&lt;&gt;"",1,0)</f>
        <v>0</v>
      </c>
      <c r="L883" s="3" t="s">
        <v>3</v>
      </c>
      <c r="M883" s="3">
        <f>IF(Table1[[#This Row],[Cancellation Status]]&lt;&gt;"Yes",1,0)</f>
        <v>0</v>
      </c>
      <c r="N883" s="3" t="s">
        <v>55</v>
      </c>
      <c r="T88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83" t="str">
        <f>IF(Table1[[#This Row],[Customer Rating]]&gt;=9,"Promoter",IF(Table1[[#This Row],[Customer Rating]]&gt;=7,"Passive","Detractor"))</f>
        <v>Detractor</v>
      </c>
    </row>
    <row r="884" spans="1:21" ht="14.25" customHeight="1" x14ac:dyDescent="0.3">
      <c r="A884" s="3" t="s">
        <v>919</v>
      </c>
      <c r="B884" s="3" t="s">
        <v>26</v>
      </c>
      <c r="C884" s="3" t="s">
        <v>30</v>
      </c>
      <c r="D884" s="14">
        <v>45934</v>
      </c>
      <c r="E884" s="11">
        <f>1</f>
        <v>1</v>
      </c>
      <c r="F884" s="14">
        <v>45937</v>
      </c>
      <c r="G884" s="11">
        <f>IF(Table1[[#This Row],[Pre-Booking Date]]&lt;&gt;"",1,0)</f>
        <v>1</v>
      </c>
      <c r="H884" s="4">
        <v>45940</v>
      </c>
      <c r="I884" s="11">
        <f>IF(Table1[[#This Row],[Booking Date]]&lt;&gt;"",1,0)</f>
        <v>1</v>
      </c>
      <c r="J884" s="30">
        <v>45945</v>
      </c>
      <c r="K884" s="11">
        <f>IF(Table1[[#This Row],[Delivery Date]]&lt;&gt;"",1,0)</f>
        <v>1</v>
      </c>
      <c r="L884" s="3" t="s">
        <v>2</v>
      </c>
      <c r="M884" s="3">
        <f>IF(Table1[[#This Row],[Cancellation Status]]&lt;&gt;"Yes",1,0)</f>
        <v>1</v>
      </c>
      <c r="O884" s="30">
        <v>45955</v>
      </c>
      <c r="P884" s="3">
        <v>3</v>
      </c>
      <c r="Q884" s="3">
        <v>3</v>
      </c>
      <c r="R884" s="3">
        <v>5</v>
      </c>
      <c r="S884" s="3">
        <v>7</v>
      </c>
      <c r="T88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84" t="str">
        <f>IF(Table1[[#This Row],[Customer Rating]]&gt;=9,"Promoter",IF(Table1[[#This Row],[Customer Rating]]&gt;=7,"Passive","Detractor"))</f>
        <v>Passive</v>
      </c>
    </row>
    <row r="885" spans="1:21" ht="14.25" customHeight="1" x14ac:dyDescent="0.3">
      <c r="A885" s="3" t="s">
        <v>920</v>
      </c>
      <c r="B885" s="3" t="s">
        <v>39</v>
      </c>
      <c r="C885" s="3" t="s">
        <v>27</v>
      </c>
      <c r="D885" s="14">
        <v>45934</v>
      </c>
      <c r="E885" s="11">
        <f>1</f>
        <v>1</v>
      </c>
      <c r="F885" s="14">
        <v>45935</v>
      </c>
      <c r="G885" s="11">
        <f>IF(Table1[[#This Row],[Pre-Booking Date]]&lt;&gt;"",1,0)</f>
        <v>1</v>
      </c>
      <c r="H885" s="4">
        <v>45937</v>
      </c>
      <c r="I885" s="11">
        <f>IF(Table1[[#This Row],[Booking Date]]&lt;&gt;"",1,0)</f>
        <v>1</v>
      </c>
      <c r="J885" s="30">
        <v>45940</v>
      </c>
      <c r="K885" s="11">
        <f>IF(Table1[[#This Row],[Delivery Date]]&lt;&gt;"",1,0)</f>
        <v>1</v>
      </c>
      <c r="L885" s="3" t="s">
        <v>2</v>
      </c>
      <c r="M885" s="3">
        <f>IF(Table1[[#This Row],[Cancellation Status]]&lt;&gt;"Yes",1,0)</f>
        <v>1</v>
      </c>
      <c r="O885" s="30">
        <v>45960</v>
      </c>
      <c r="P885" s="3">
        <v>1</v>
      </c>
      <c r="Q885" s="3">
        <v>2</v>
      </c>
      <c r="R885" s="3">
        <v>3</v>
      </c>
      <c r="S885" s="3">
        <v>9</v>
      </c>
      <c r="T88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85" t="str">
        <f>IF(Table1[[#This Row],[Customer Rating]]&gt;=9,"Promoter",IF(Table1[[#This Row],[Customer Rating]]&gt;=7,"Passive","Detractor"))</f>
        <v>Promoter</v>
      </c>
    </row>
    <row r="886" spans="1:21" ht="14.25" customHeight="1" x14ac:dyDescent="0.3">
      <c r="A886" s="3" t="s">
        <v>921</v>
      </c>
      <c r="B886" s="3" t="s">
        <v>32</v>
      </c>
      <c r="C886" s="3" t="s">
        <v>30</v>
      </c>
      <c r="D886" s="14">
        <v>45934</v>
      </c>
      <c r="E886" s="11">
        <f>1</f>
        <v>1</v>
      </c>
      <c r="F886" s="14">
        <v>45938</v>
      </c>
      <c r="G886" s="11">
        <f>IF(Table1[[#This Row],[Pre-Booking Date]]&lt;&gt;"",1,0)</f>
        <v>1</v>
      </c>
      <c r="H886" s="4">
        <v>45943</v>
      </c>
      <c r="I886" s="11">
        <f>IF(Table1[[#This Row],[Booking Date]]&lt;&gt;"",1,0)</f>
        <v>1</v>
      </c>
      <c r="J886" s="30">
        <v>45946</v>
      </c>
      <c r="K886" s="11">
        <f>IF(Table1[[#This Row],[Delivery Date]]&lt;&gt;"",1,0)</f>
        <v>1</v>
      </c>
      <c r="L886" s="3" t="s">
        <v>2</v>
      </c>
      <c r="M886" s="3">
        <f>IF(Table1[[#This Row],[Cancellation Status]]&lt;&gt;"Yes",1,0)</f>
        <v>1</v>
      </c>
      <c r="O886" s="30">
        <v>45962</v>
      </c>
      <c r="P886" s="3">
        <v>4</v>
      </c>
      <c r="Q886" s="3">
        <v>5</v>
      </c>
      <c r="R886" s="3">
        <v>3</v>
      </c>
      <c r="S886" s="3">
        <v>10</v>
      </c>
      <c r="T88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86" t="str">
        <f>IF(Table1[[#This Row],[Customer Rating]]&gt;=9,"Promoter",IF(Table1[[#This Row],[Customer Rating]]&gt;=7,"Passive","Detractor"))</f>
        <v>Promoter</v>
      </c>
    </row>
    <row r="887" spans="1:21" ht="14.25" customHeight="1" x14ac:dyDescent="0.3">
      <c r="A887" s="3" t="s">
        <v>922</v>
      </c>
      <c r="B887" s="3" t="s">
        <v>29</v>
      </c>
      <c r="C887" s="3" t="s">
        <v>27</v>
      </c>
      <c r="D887" s="14">
        <v>45934</v>
      </c>
      <c r="E887" s="11">
        <f>1</f>
        <v>1</v>
      </c>
      <c r="F887" s="14">
        <v>45935</v>
      </c>
      <c r="G887" s="11">
        <f>IF(Table1[[#This Row],[Pre-Booking Date]]&lt;&gt;"",1,0)</f>
        <v>1</v>
      </c>
      <c r="H887" s="4">
        <v>45937</v>
      </c>
      <c r="I887" s="11">
        <f>IF(Table1[[#This Row],[Booking Date]]&lt;&gt;"",1,0)</f>
        <v>1</v>
      </c>
      <c r="J887" s="30">
        <v>45943</v>
      </c>
      <c r="K887" s="11">
        <f>IF(Table1[[#This Row],[Delivery Date]]&lt;&gt;"",1,0)</f>
        <v>1</v>
      </c>
      <c r="L887" s="3" t="s">
        <v>2</v>
      </c>
      <c r="M887" s="3">
        <f>IF(Table1[[#This Row],[Cancellation Status]]&lt;&gt;"Yes",1,0)</f>
        <v>1</v>
      </c>
      <c r="O887" s="30">
        <v>45970</v>
      </c>
      <c r="P887" s="3">
        <v>1</v>
      </c>
      <c r="Q887" s="3">
        <v>2</v>
      </c>
      <c r="R887" s="3">
        <v>6</v>
      </c>
      <c r="S887" s="3">
        <v>1</v>
      </c>
      <c r="T88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87" t="str">
        <f>IF(Table1[[#This Row],[Customer Rating]]&gt;=9,"Promoter",IF(Table1[[#This Row],[Customer Rating]]&gt;=7,"Passive","Detractor"))</f>
        <v>Detractor</v>
      </c>
    </row>
    <row r="888" spans="1:21" ht="14.25" customHeight="1" x14ac:dyDescent="0.3">
      <c r="A888" s="3" t="s">
        <v>923</v>
      </c>
      <c r="B888" s="3" t="s">
        <v>26</v>
      </c>
      <c r="C888" s="3" t="s">
        <v>33</v>
      </c>
      <c r="D888" s="14">
        <v>45934</v>
      </c>
      <c r="E888" s="11">
        <f>1</f>
        <v>1</v>
      </c>
      <c r="G888" s="12">
        <f>IF(Table1[[#This Row],[Pre-Booking Date]]&lt;&gt;"",1,0)</f>
        <v>0</v>
      </c>
      <c r="I888" s="12">
        <f>IF(Table1[[#This Row],[Booking Date]]&lt;&gt;"",1,0)</f>
        <v>0</v>
      </c>
      <c r="K888" s="12">
        <f>IF(Table1[[#This Row],[Delivery Date]]&lt;&gt;"",1,0)</f>
        <v>0</v>
      </c>
      <c r="L888" s="3" t="s">
        <v>3</v>
      </c>
      <c r="M888" s="3">
        <f>IF(Table1[[#This Row],[Cancellation Status]]&lt;&gt;"Yes",1,0)</f>
        <v>0</v>
      </c>
      <c r="N888" s="3" t="s">
        <v>42</v>
      </c>
      <c r="T88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88" t="str">
        <f>IF(Table1[[#This Row],[Customer Rating]]&gt;=9,"Promoter",IF(Table1[[#This Row],[Customer Rating]]&gt;=7,"Passive","Detractor"))</f>
        <v>Detractor</v>
      </c>
    </row>
    <row r="889" spans="1:21" ht="14.25" customHeight="1" x14ac:dyDescent="0.3">
      <c r="A889" s="3" t="s">
        <v>924</v>
      </c>
      <c r="B889" s="3" t="s">
        <v>29</v>
      </c>
      <c r="C889" s="3" t="s">
        <v>30</v>
      </c>
      <c r="D889" s="14">
        <v>45934</v>
      </c>
      <c r="E889" s="11">
        <f>1</f>
        <v>1</v>
      </c>
      <c r="F889" s="14">
        <v>45935</v>
      </c>
      <c r="G889" s="11">
        <f>IF(Table1[[#This Row],[Pre-Booking Date]]&lt;&gt;"",1,0)</f>
        <v>1</v>
      </c>
      <c r="H889" s="4">
        <v>45940</v>
      </c>
      <c r="I889" s="11">
        <f>IF(Table1[[#This Row],[Booking Date]]&lt;&gt;"",1,0)</f>
        <v>1</v>
      </c>
      <c r="J889" s="30">
        <v>45947</v>
      </c>
      <c r="K889" s="11">
        <f>IF(Table1[[#This Row],[Delivery Date]]&lt;&gt;"",1,0)</f>
        <v>1</v>
      </c>
      <c r="L889" s="3" t="s">
        <v>2</v>
      </c>
      <c r="M889" s="3">
        <f>IF(Table1[[#This Row],[Cancellation Status]]&lt;&gt;"Yes",1,0)</f>
        <v>1</v>
      </c>
      <c r="O889" s="30">
        <v>45958</v>
      </c>
      <c r="P889" s="3">
        <v>1</v>
      </c>
      <c r="Q889" s="3">
        <v>5</v>
      </c>
      <c r="R889" s="3">
        <v>7</v>
      </c>
      <c r="S889" s="3">
        <v>2</v>
      </c>
      <c r="T88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89" t="str">
        <f>IF(Table1[[#This Row],[Customer Rating]]&gt;=9,"Promoter",IF(Table1[[#This Row],[Customer Rating]]&gt;=7,"Passive","Detractor"))</f>
        <v>Detractor</v>
      </c>
    </row>
    <row r="890" spans="1:21" ht="14.25" customHeight="1" x14ac:dyDescent="0.3">
      <c r="A890" s="3" t="s">
        <v>925</v>
      </c>
      <c r="B890" s="3" t="s">
        <v>39</v>
      </c>
      <c r="C890" s="3" t="s">
        <v>30</v>
      </c>
      <c r="D890" s="14">
        <v>45934</v>
      </c>
      <c r="E890" s="11">
        <f>1</f>
        <v>1</v>
      </c>
      <c r="F890" s="14">
        <v>45937</v>
      </c>
      <c r="G890" s="11">
        <f>IF(Table1[[#This Row],[Pre-Booking Date]]&lt;&gt;"",1,0)</f>
        <v>1</v>
      </c>
      <c r="H890" s="4">
        <v>45938</v>
      </c>
      <c r="I890" s="11">
        <f>IF(Table1[[#This Row],[Booking Date]]&lt;&gt;"",1,0)</f>
        <v>1</v>
      </c>
      <c r="J890" s="30">
        <v>45945</v>
      </c>
      <c r="K890" s="11">
        <f>IF(Table1[[#This Row],[Delivery Date]]&lt;&gt;"",1,0)</f>
        <v>1</v>
      </c>
      <c r="L890" s="3" t="s">
        <v>2</v>
      </c>
      <c r="M890" s="3">
        <f>IF(Table1[[#This Row],[Cancellation Status]]&lt;&gt;"Yes",1,0)</f>
        <v>1</v>
      </c>
      <c r="O890" s="30">
        <v>45965</v>
      </c>
      <c r="P890" s="3">
        <v>3</v>
      </c>
      <c r="Q890" s="3">
        <v>1</v>
      </c>
      <c r="R890" s="3">
        <v>7</v>
      </c>
      <c r="S890" s="3">
        <v>8</v>
      </c>
      <c r="T89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90" t="str">
        <f>IF(Table1[[#This Row],[Customer Rating]]&gt;=9,"Promoter",IF(Table1[[#This Row],[Customer Rating]]&gt;=7,"Passive","Detractor"))</f>
        <v>Passive</v>
      </c>
    </row>
    <row r="891" spans="1:21" ht="14.25" customHeight="1" x14ac:dyDescent="0.3">
      <c r="A891" s="3" t="s">
        <v>926</v>
      </c>
      <c r="B891" s="3" t="s">
        <v>32</v>
      </c>
      <c r="C891" s="3" t="s">
        <v>30</v>
      </c>
      <c r="D891" s="14">
        <v>45934</v>
      </c>
      <c r="E891" s="11">
        <f>1</f>
        <v>1</v>
      </c>
      <c r="F891" s="14">
        <v>45939</v>
      </c>
      <c r="G891" s="11">
        <f>IF(Table1[[#This Row],[Pre-Booking Date]]&lt;&gt;"",1,0)</f>
        <v>1</v>
      </c>
      <c r="H891" s="4">
        <v>45941</v>
      </c>
      <c r="I891" s="11">
        <f>IF(Table1[[#This Row],[Booking Date]]&lt;&gt;"",1,0)</f>
        <v>1</v>
      </c>
      <c r="J891" s="30">
        <v>45943</v>
      </c>
      <c r="K891" s="11">
        <f>IF(Table1[[#This Row],[Delivery Date]]&lt;&gt;"",1,0)</f>
        <v>1</v>
      </c>
      <c r="L891" s="3" t="s">
        <v>3</v>
      </c>
      <c r="M891" s="3">
        <f>IF(Table1[[#This Row],[Cancellation Status]]&lt;&gt;"Yes",1,0)</f>
        <v>0</v>
      </c>
      <c r="N891" s="3" t="s">
        <v>55</v>
      </c>
      <c r="P891" s="3">
        <v>5</v>
      </c>
      <c r="Q891" s="3">
        <v>2</v>
      </c>
      <c r="R891" s="3">
        <v>2</v>
      </c>
      <c r="T89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891" t="str">
        <f>IF(Table1[[#This Row],[Customer Rating]]&gt;=9,"Promoter",IF(Table1[[#This Row],[Customer Rating]]&gt;=7,"Passive","Detractor"))</f>
        <v>Detractor</v>
      </c>
    </row>
    <row r="892" spans="1:21" ht="14.25" customHeight="1" x14ac:dyDescent="0.3">
      <c r="A892" s="3" t="s">
        <v>927</v>
      </c>
      <c r="B892" s="3" t="s">
        <v>32</v>
      </c>
      <c r="C892" s="3" t="s">
        <v>27</v>
      </c>
      <c r="D892" s="14">
        <v>45934</v>
      </c>
      <c r="E892" s="11">
        <f>1</f>
        <v>1</v>
      </c>
      <c r="F892" s="14">
        <v>45938</v>
      </c>
      <c r="G892" s="11">
        <f>IF(Table1[[#This Row],[Pre-Booking Date]]&lt;&gt;"",1,0)</f>
        <v>1</v>
      </c>
      <c r="H892" s="4">
        <v>45943</v>
      </c>
      <c r="I892" s="11">
        <f>IF(Table1[[#This Row],[Booking Date]]&lt;&gt;"",1,0)</f>
        <v>1</v>
      </c>
      <c r="J892" s="30">
        <v>45950</v>
      </c>
      <c r="K892" s="11">
        <f>IF(Table1[[#This Row],[Delivery Date]]&lt;&gt;"",1,0)</f>
        <v>1</v>
      </c>
      <c r="L892" s="3" t="s">
        <v>2</v>
      </c>
      <c r="M892" s="3">
        <f>IF(Table1[[#This Row],[Cancellation Status]]&lt;&gt;"Yes",1,0)</f>
        <v>1</v>
      </c>
      <c r="O892" s="30">
        <v>45964</v>
      </c>
      <c r="P892" s="3">
        <v>4</v>
      </c>
      <c r="Q892" s="3">
        <v>5</v>
      </c>
      <c r="R892" s="3">
        <v>7</v>
      </c>
      <c r="S892" s="3">
        <v>1</v>
      </c>
      <c r="T89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92" t="str">
        <f>IF(Table1[[#This Row],[Customer Rating]]&gt;=9,"Promoter",IF(Table1[[#This Row],[Customer Rating]]&gt;=7,"Passive","Detractor"))</f>
        <v>Detractor</v>
      </c>
    </row>
    <row r="893" spans="1:21" ht="14.25" customHeight="1" x14ac:dyDescent="0.3">
      <c r="A893" s="3" t="s">
        <v>928</v>
      </c>
      <c r="B893" s="3" t="s">
        <v>32</v>
      </c>
      <c r="C893" s="3" t="s">
        <v>27</v>
      </c>
      <c r="D893" s="14">
        <v>45934</v>
      </c>
      <c r="E893" s="11">
        <f>1</f>
        <v>1</v>
      </c>
      <c r="F893" s="14">
        <v>45937</v>
      </c>
      <c r="G893" s="11">
        <f>IF(Table1[[#This Row],[Pre-Booking Date]]&lt;&gt;"",1,0)</f>
        <v>1</v>
      </c>
      <c r="H893" s="4">
        <v>45940</v>
      </c>
      <c r="I893" s="11">
        <f>IF(Table1[[#This Row],[Booking Date]]&lt;&gt;"",1,0)</f>
        <v>1</v>
      </c>
      <c r="J893" s="30">
        <v>45943</v>
      </c>
      <c r="K893" s="11">
        <f>IF(Table1[[#This Row],[Delivery Date]]&lt;&gt;"",1,0)</f>
        <v>1</v>
      </c>
      <c r="L893" s="3" t="s">
        <v>2</v>
      </c>
      <c r="M893" s="3">
        <f>IF(Table1[[#This Row],[Cancellation Status]]&lt;&gt;"Yes",1,0)</f>
        <v>1</v>
      </c>
      <c r="O893" s="30">
        <v>45953</v>
      </c>
      <c r="P893" s="3">
        <v>3</v>
      </c>
      <c r="Q893" s="3">
        <v>3</v>
      </c>
      <c r="R893" s="3">
        <v>3</v>
      </c>
      <c r="S893" s="3">
        <v>10</v>
      </c>
      <c r="T89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93" t="str">
        <f>IF(Table1[[#This Row],[Customer Rating]]&gt;=9,"Promoter",IF(Table1[[#This Row],[Customer Rating]]&gt;=7,"Passive","Detractor"))</f>
        <v>Promoter</v>
      </c>
    </row>
    <row r="894" spans="1:21" ht="14.25" customHeight="1" x14ac:dyDescent="0.3">
      <c r="A894" s="3" t="s">
        <v>929</v>
      </c>
      <c r="B894" s="3" t="s">
        <v>29</v>
      </c>
      <c r="C894" s="3" t="s">
        <v>27</v>
      </c>
      <c r="D894" s="14">
        <v>45934</v>
      </c>
      <c r="E894" s="11">
        <f>1</f>
        <v>1</v>
      </c>
      <c r="F894" s="14">
        <v>45938</v>
      </c>
      <c r="G894" s="11">
        <f>IF(Table1[[#This Row],[Pre-Booking Date]]&lt;&gt;"",1,0)</f>
        <v>1</v>
      </c>
      <c r="H894" s="4">
        <v>45941</v>
      </c>
      <c r="I894" s="11">
        <f>IF(Table1[[#This Row],[Booking Date]]&lt;&gt;"",1,0)</f>
        <v>1</v>
      </c>
      <c r="J894" s="30">
        <v>45948</v>
      </c>
      <c r="K894" s="11">
        <f>IF(Table1[[#This Row],[Delivery Date]]&lt;&gt;"",1,0)</f>
        <v>1</v>
      </c>
      <c r="L894" s="3" t="s">
        <v>2</v>
      </c>
      <c r="M894" s="3">
        <f>IF(Table1[[#This Row],[Cancellation Status]]&lt;&gt;"Yes",1,0)</f>
        <v>1</v>
      </c>
      <c r="O894" s="30">
        <v>45967</v>
      </c>
      <c r="P894" s="3">
        <v>4</v>
      </c>
      <c r="Q894" s="3">
        <v>3</v>
      </c>
      <c r="R894" s="3">
        <v>7</v>
      </c>
      <c r="S894" s="3">
        <v>1</v>
      </c>
      <c r="T89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94" t="str">
        <f>IF(Table1[[#This Row],[Customer Rating]]&gt;=9,"Promoter",IF(Table1[[#This Row],[Customer Rating]]&gt;=7,"Passive","Detractor"))</f>
        <v>Detractor</v>
      </c>
    </row>
    <row r="895" spans="1:21" ht="14.25" customHeight="1" x14ac:dyDescent="0.3">
      <c r="A895" s="3" t="s">
        <v>930</v>
      </c>
      <c r="B895" s="3" t="s">
        <v>29</v>
      </c>
      <c r="C895" s="3" t="s">
        <v>27</v>
      </c>
      <c r="D895" s="14">
        <v>45934</v>
      </c>
      <c r="E895" s="11">
        <f>1</f>
        <v>1</v>
      </c>
      <c r="F895" s="14">
        <v>45935</v>
      </c>
      <c r="G895" s="11">
        <f>IF(Table1[[#This Row],[Pre-Booking Date]]&lt;&gt;"",1,0)</f>
        <v>1</v>
      </c>
      <c r="H895" s="4">
        <v>45939</v>
      </c>
      <c r="I895" s="11">
        <f>IF(Table1[[#This Row],[Booking Date]]&lt;&gt;"",1,0)</f>
        <v>1</v>
      </c>
      <c r="J895" s="30">
        <v>45946</v>
      </c>
      <c r="K895" s="11">
        <f>IF(Table1[[#This Row],[Delivery Date]]&lt;&gt;"",1,0)</f>
        <v>1</v>
      </c>
      <c r="L895" s="3" t="s">
        <v>2</v>
      </c>
      <c r="M895" s="3">
        <f>IF(Table1[[#This Row],[Cancellation Status]]&lt;&gt;"Yes",1,0)</f>
        <v>1</v>
      </c>
      <c r="O895" s="30">
        <v>45956</v>
      </c>
      <c r="P895" s="3">
        <v>1</v>
      </c>
      <c r="Q895" s="3">
        <v>4</v>
      </c>
      <c r="R895" s="3">
        <v>7</v>
      </c>
      <c r="S895" s="3">
        <v>2</v>
      </c>
      <c r="T89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95" t="str">
        <f>IF(Table1[[#This Row],[Customer Rating]]&gt;=9,"Promoter",IF(Table1[[#This Row],[Customer Rating]]&gt;=7,"Passive","Detractor"))</f>
        <v>Detractor</v>
      </c>
    </row>
    <row r="896" spans="1:21" ht="14.25" customHeight="1" x14ac:dyDescent="0.3">
      <c r="A896" s="3" t="s">
        <v>931</v>
      </c>
      <c r="B896" s="3" t="s">
        <v>32</v>
      </c>
      <c r="C896" s="3" t="s">
        <v>27</v>
      </c>
      <c r="D896" s="14">
        <v>45934</v>
      </c>
      <c r="E896" s="11">
        <f>1</f>
        <v>1</v>
      </c>
      <c r="F896" s="14">
        <v>45939</v>
      </c>
      <c r="G896" s="11">
        <f>IF(Table1[[#This Row],[Pre-Booking Date]]&lt;&gt;"",1,0)</f>
        <v>1</v>
      </c>
      <c r="H896" s="4">
        <v>45943</v>
      </c>
      <c r="I896" s="11">
        <f>IF(Table1[[#This Row],[Booking Date]]&lt;&gt;"",1,0)</f>
        <v>1</v>
      </c>
      <c r="J896" s="30">
        <v>45950</v>
      </c>
      <c r="K896" s="11">
        <f>IF(Table1[[#This Row],[Delivery Date]]&lt;&gt;"",1,0)</f>
        <v>1</v>
      </c>
      <c r="L896" s="3" t="s">
        <v>2</v>
      </c>
      <c r="M896" s="3">
        <f>IF(Table1[[#This Row],[Cancellation Status]]&lt;&gt;"Yes",1,0)</f>
        <v>1</v>
      </c>
      <c r="O896" s="30">
        <v>45978</v>
      </c>
      <c r="P896" s="3">
        <v>5</v>
      </c>
      <c r="Q896" s="3">
        <v>4</v>
      </c>
      <c r="R896" s="3">
        <v>7</v>
      </c>
      <c r="S896" s="3">
        <v>7</v>
      </c>
      <c r="T89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96" t="str">
        <f>IF(Table1[[#This Row],[Customer Rating]]&gt;=9,"Promoter",IF(Table1[[#This Row],[Customer Rating]]&gt;=7,"Passive","Detractor"))</f>
        <v>Passive</v>
      </c>
    </row>
    <row r="897" spans="1:21" ht="14.25" customHeight="1" x14ac:dyDescent="0.3">
      <c r="A897" s="3" t="s">
        <v>932</v>
      </c>
      <c r="B897" s="3" t="s">
        <v>39</v>
      </c>
      <c r="C897" s="3" t="s">
        <v>27</v>
      </c>
      <c r="D897" s="14">
        <v>45934</v>
      </c>
      <c r="E897" s="11">
        <f>1</f>
        <v>1</v>
      </c>
      <c r="F897" s="14">
        <v>45936</v>
      </c>
      <c r="G897" s="11">
        <f>IF(Table1[[#This Row],[Pre-Booking Date]]&lt;&gt;"",1,0)</f>
        <v>1</v>
      </c>
      <c r="H897" s="4">
        <v>45938</v>
      </c>
      <c r="I897" s="11">
        <f>IF(Table1[[#This Row],[Booking Date]]&lt;&gt;"",1,0)</f>
        <v>1</v>
      </c>
      <c r="J897" s="30">
        <v>45945</v>
      </c>
      <c r="K897" s="11">
        <f>IF(Table1[[#This Row],[Delivery Date]]&lt;&gt;"",1,0)</f>
        <v>1</v>
      </c>
      <c r="L897" s="3" t="s">
        <v>2</v>
      </c>
      <c r="M897" s="3">
        <f>IF(Table1[[#This Row],[Cancellation Status]]&lt;&gt;"Yes",1,0)</f>
        <v>1</v>
      </c>
      <c r="O897" s="30">
        <v>45955</v>
      </c>
      <c r="P897" s="3">
        <v>2</v>
      </c>
      <c r="Q897" s="3">
        <v>2</v>
      </c>
      <c r="R897" s="3">
        <v>7</v>
      </c>
      <c r="S897" s="3">
        <v>4</v>
      </c>
      <c r="T89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97" t="str">
        <f>IF(Table1[[#This Row],[Customer Rating]]&gt;=9,"Promoter",IF(Table1[[#This Row],[Customer Rating]]&gt;=7,"Passive","Detractor"))</f>
        <v>Detractor</v>
      </c>
    </row>
    <row r="898" spans="1:21" ht="14.25" customHeight="1" x14ac:dyDescent="0.3">
      <c r="A898" s="3" t="s">
        <v>933</v>
      </c>
      <c r="B898" s="3" t="s">
        <v>32</v>
      </c>
      <c r="C898" s="3" t="s">
        <v>27</v>
      </c>
      <c r="D898" s="14">
        <v>45934</v>
      </c>
      <c r="E898" s="11">
        <f>1</f>
        <v>1</v>
      </c>
      <c r="F898" s="14">
        <v>45936</v>
      </c>
      <c r="G898" s="11">
        <f>IF(Table1[[#This Row],[Pre-Booking Date]]&lt;&gt;"",1,0)</f>
        <v>1</v>
      </c>
      <c r="H898" s="4">
        <v>45940</v>
      </c>
      <c r="I898" s="11">
        <f>IF(Table1[[#This Row],[Booking Date]]&lt;&gt;"",1,0)</f>
        <v>1</v>
      </c>
      <c r="J898" s="30">
        <v>45942</v>
      </c>
      <c r="K898" s="11">
        <f>IF(Table1[[#This Row],[Delivery Date]]&lt;&gt;"",1,0)</f>
        <v>1</v>
      </c>
      <c r="L898" s="3" t="s">
        <v>2</v>
      </c>
      <c r="M898" s="3">
        <f>IF(Table1[[#This Row],[Cancellation Status]]&lt;&gt;"Yes",1,0)</f>
        <v>1</v>
      </c>
      <c r="O898" s="30">
        <v>45971</v>
      </c>
      <c r="P898" s="3">
        <v>2</v>
      </c>
      <c r="Q898" s="3">
        <v>4</v>
      </c>
      <c r="R898" s="3">
        <v>2</v>
      </c>
      <c r="S898" s="3">
        <v>0</v>
      </c>
      <c r="T89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98" t="str">
        <f>IF(Table1[[#This Row],[Customer Rating]]&gt;=9,"Promoter",IF(Table1[[#This Row],[Customer Rating]]&gt;=7,"Passive","Detractor"))</f>
        <v>Detractor</v>
      </c>
    </row>
    <row r="899" spans="1:21" ht="14.25" customHeight="1" x14ac:dyDescent="0.3">
      <c r="A899" s="3" t="s">
        <v>934</v>
      </c>
      <c r="B899" s="3" t="s">
        <v>26</v>
      </c>
      <c r="C899" s="3" t="s">
        <v>30</v>
      </c>
      <c r="D899" s="14">
        <v>45934</v>
      </c>
      <c r="E899" s="11">
        <f>1</f>
        <v>1</v>
      </c>
      <c r="F899" s="14">
        <v>45935</v>
      </c>
      <c r="G899" s="11">
        <f>IF(Table1[[#This Row],[Pre-Booking Date]]&lt;&gt;"",1,0)</f>
        <v>1</v>
      </c>
      <c r="H899" s="4">
        <v>45939</v>
      </c>
      <c r="I899" s="11">
        <f>IF(Table1[[#This Row],[Booking Date]]&lt;&gt;"",1,0)</f>
        <v>1</v>
      </c>
      <c r="J899" s="30">
        <v>45945</v>
      </c>
      <c r="K899" s="11">
        <f>IF(Table1[[#This Row],[Delivery Date]]&lt;&gt;"",1,0)</f>
        <v>1</v>
      </c>
      <c r="L899" s="3" t="s">
        <v>2</v>
      </c>
      <c r="M899" s="3">
        <f>IF(Table1[[#This Row],[Cancellation Status]]&lt;&gt;"Yes",1,0)</f>
        <v>1</v>
      </c>
      <c r="O899" s="30">
        <v>45972</v>
      </c>
      <c r="P899" s="3">
        <v>1</v>
      </c>
      <c r="Q899" s="3">
        <v>4</v>
      </c>
      <c r="R899" s="3">
        <v>6</v>
      </c>
      <c r="S899" s="3">
        <v>1</v>
      </c>
      <c r="T89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899" t="str">
        <f>IF(Table1[[#This Row],[Customer Rating]]&gt;=9,"Promoter",IF(Table1[[#This Row],[Customer Rating]]&gt;=7,"Passive","Detractor"))</f>
        <v>Detractor</v>
      </c>
    </row>
    <row r="900" spans="1:21" ht="14.25" customHeight="1" x14ac:dyDescent="0.3">
      <c r="A900" s="3" t="s">
        <v>935</v>
      </c>
      <c r="B900" s="3" t="s">
        <v>26</v>
      </c>
      <c r="C900" s="3" t="s">
        <v>30</v>
      </c>
      <c r="D900" s="14">
        <v>45934</v>
      </c>
      <c r="E900" s="11">
        <f>1</f>
        <v>1</v>
      </c>
      <c r="F900" s="14">
        <v>45935</v>
      </c>
      <c r="G900" s="11">
        <f>IF(Table1[[#This Row],[Pre-Booking Date]]&lt;&gt;"",1,0)</f>
        <v>1</v>
      </c>
      <c r="H900" s="4">
        <v>45937</v>
      </c>
      <c r="I900" s="11">
        <f>IF(Table1[[#This Row],[Booking Date]]&lt;&gt;"",1,0)</f>
        <v>1</v>
      </c>
      <c r="J900" s="30">
        <v>45943</v>
      </c>
      <c r="K900" s="11">
        <f>IF(Table1[[#This Row],[Delivery Date]]&lt;&gt;"",1,0)</f>
        <v>1</v>
      </c>
      <c r="L900" s="3" t="s">
        <v>2</v>
      </c>
      <c r="M900" s="3">
        <f>IF(Table1[[#This Row],[Cancellation Status]]&lt;&gt;"Yes",1,0)</f>
        <v>1</v>
      </c>
      <c r="O900" s="30">
        <v>45954</v>
      </c>
      <c r="P900" s="3">
        <v>1</v>
      </c>
      <c r="Q900" s="3">
        <v>2</v>
      </c>
      <c r="R900" s="3">
        <v>6</v>
      </c>
      <c r="S900" s="3">
        <v>7</v>
      </c>
      <c r="T90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00" t="str">
        <f>IF(Table1[[#This Row],[Customer Rating]]&gt;=9,"Promoter",IF(Table1[[#This Row],[Customer Rating]]&gt;=7,"Passive","Detractor"))</f>
        <v>Passive</v>
      </c>
    </row>
    <row r="901" spans="1:21" ht="14.25" customHeight="1" x14ac:dyDescent="0.3">
      <c r="A901" s="3" t="s">
        <v>936</v>
      </c>
      <c r="B901" s="3" t="s">
        <v>26</v>
      </c>
      <c r="C901" s="3" t="s">
        <v>33</v>
      </c>
      <c r="D901" s="14">
        <v>45934</v>
      </c>
      <c r="E901" s="11">
        <f>1</f>
        <v>1</v>
      </c>
      <c r="G901" s="12">
        <f>IF(Table1[[#This Row],[Pre-Booking Date]]&lt;&gt;"",1,0)</f>
        <v>0</v>
      </c>
      <c r="I901" s="12">
        <f>IF(Table1[[#This Row],[Booking Date]]&lt;&gt;"",1,0)</f>
        <v>0</v>
      </c>
      <c r="K901" s="12">
        <f>IF(Table1[[#This Row],[Delivery Date]]&lt;&gt;"",1,0)</f>
        <v>0</v>
      </c>
      <c r="L901" s="3" t="s">
        <v>3</v>
      </c>
      <c r="M901" s="3">
        <f>IF(Table1[[#This Row],[Cancellation Status]]&lt;&gt;"Yes",1,0)</f>
        <v>0</v>
      </c>
      <c r="N901" s="3" t="s">
        <v>55</v>
      </c>
      <c r="T90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01" t="str">
        <f>IF(Table1[[#This Row],[Customer Rating]]&gt;=9,"Promoter",IF(Table1[[#This Row],[Customer Rating]]&gt;=7,"Passive","Detractor"))</f>
        <v>Detractor</v>
      </c>
    </row>
    <row r="902" spans="1:21" ht="14.25" customHeight="1" x14ac:dyDescent="0.3">
      <c r="A902" s="3" t="s">
        <v>937</v>
      </c>
      <c r="B902" s="3" t="s">
        <v>29</v>
      </c>
      <c r="C902" s="3" t="s">
        <v>27</v>
      </c>
      <c r="D902" s="14">
        <v>45934</v>
      </c>
      <c r="E902" s="11">
        <f>1</f>
        <v>1</v>
      </c>
      <c r="F902" s="14">
        <v>45935</v>
      </c>
      <c r="G902" s="11">
        <f>IF(Table1[[#This Row],[Pre-Booking Date]]&lt;&gt;"",1,0)</f>
        <v>1</v>
      </c>
      <c r="H902" s="4">
        <v>45936</v>
      </c>
      <c r="I902" s="11">
        <f>IF(Table1[[#This Row],[Booking Date]]&lt;&gt;"",1,0)</f>
        <v>1</v>
      </c>
      <c r="J902" s="30">
        <v>45940</v>
      </c>
      <c r="K902" s="11">
        <f>IF(Table1[[#This Row],[Delivery Date]]&lt;&gt;"",1,0)</f>
        <v>1</v>
      </c>
      <c r="L902" s="3" t="s">
        <v>2</v>
      </c>
      <c r="M902" s="3">
        <f>IF(Table1[[#This Row],[Cancellation Status]]&lt;&gt;"Yes",1,0)</f>
        <v>1</v>
      </c>
      <c r="O902" s="30">
        <v>45959</v>
      </c>
      <c r="P902" s="3">
        <v>1</v>
      </c>
      <c r="Q902" s="3">
        <v>1</v>
      </c>
      <c r="R902" s="3">
        <v>4</v>
      </c>
      <c r="S902" s="3">
        <v>8</v>
      </c>
      <c r="T90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02" t="str">
        <f>IF(Table1[[#This Row],[Customer Rating]]&gt;=9,"Promoter",IF(Table1[[#This Row],[Customer Rating]]&gt;=7,"Passive","Detractor"))</f>
        <v>Passive</v>
      </c>
    </row>
    <row r="903" spans="1:21" ht="14.25" customHeight="1" x14ac:dyDescent="0.3">
      <c r="A903" s="3" t="s">
        <v>938</v>
      </c>
      <c r="B903" s="3" t="s">
        <v>39</v>
      </c>
      <c r="C903" s="3" t="s">
        <v>33</v>
      </c>
      <c r="D903" s="14">
        <v>45934</v>
      </c>
      <c r="E903" s="11">
        <f>1</f>
        <v>1</v>
      </c>
      <c r="G903" s="12">
        <f>IF(Table1[[#This Row],[Pre-Booking Date]]&lt;&gt;"",1,0)</f>
        <v>0</v>
      </c>
      <c r="I903" s="12">
        <f>IF(Table1[[#This Row],[Booking Date]]&lt;&gt;"",1,0)</f>
        <v>0</v>
      </c>
      <c r="K903" s="12">
        <f>IF(Table1[[#This Row],[Delivery Date]]&lt;&gt;"",1,0)</f>
        <v>0</v>
      </c>
      <c r="L903" s="3" t="s">
        <v>3</v>
      </c>
      <c r="M903" s="3">
        <f>IF(Table1[[#This Row],[Cancellation Status]]&lt;&gt;"Yes",1,0)</f>
        <v>0</v>
      </c>
      <c r="N903" s="3" t="s">
        <v>42</v>
      </c>
      <c r="T90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03" t="str">
        <f>IF(Table1[[#This Row],[Customer Rating]]&gt;=9,"Promoter",IF(Table1[[#This Row],[Customer Rating]]&gt;=7,"Passive","Detractor"))</f>
        <v>Detractor</v>
      </c>
    </row>
    <row r="904" spans="1:21" ht="14.25" customHeight="1" x14ac:dyDescent="0.3">
      <c r="A904" s="3" t="s">
        <v>939</v>
      </c>
      <c r="B904" s="3" t="s">
        <v>39</v>
      </c>
      <c r="C904" s="3" t="s">
        <v>27</v>
      </c>
      <c r="D904" s="14">
        <v>45934</v>
      </c>
      <c r="E904" s="11">
        <f>1</f>
        <v>1</v>
      </c>
      <c r="F904" s="14">
        <v>45937</v>
      </c>
      <c r="G904" s="11">
        <f>IF(Table1[[#This Row],[Pre-Booking Date]]&lt;&gt;"",1,0)</f>
        <v>1</v>
      </c>
      <c r="H904" s="4">
        <v>45942</v>
      </c>
      <c r="I904" s="11">
        <f>IF(Table1[[#This Row],[Booking Date]]&lt;&gt;"",1,0)</f>
        <v>1</v>
      </c>
      <c r="J904" s="30">
        <v>45946</v>
      </c>
      <c r="K904" s="11">
        <f>IF(Table1[[#This Row],[Delivery Date]]&lt;&gt;"",1,0)</f>
        <v>1</v>
      </c>
      <c r="L904" s="3" t="s">
        <v>2</v>
      </c>
      <c r="M904" s="3">
        <f>IF(Table1[[#This Row],[Cancellation Status]]&lt;&gt;"Yes",1,0)</f>
        <v>1</v>
      </c>
      <c r="O904" s="30">
        <v>45956</v>
      </c>
      <c r="P904" s="3">
        <v>3</v>
      </c>
      <c r="Q904" s="3">
        <v>5</v>
      </c>
      <c r="R904" s="3">
        <v>4</v>
      </c>
      <c r="S904" s="3">
        <v>7</v>
      </c>
      <c r="T90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04" t="str">
        <f>IF(Table1[[#This Row],[Customer Rating]]&gt;=9,"Promoter",IF(Table1[[#This Row],[Customer Rating]]&gt;=7,"Passive","Detractor"))</f>
        <v>Passive</v>
      </c>
    </row>
    <row r="905" spans="1:21" ht="14.25" customHeight="1" x14ac:dyDescent="0.3">
      <c r="A905" s="3" t="s">
        <v>940</v>
      </c>
      <c r="B905" s="3" t="s">
        <v>26</v>
      </c>
      <c r="C905" s="3" t="s">
        <v>27</v>
      </c>
      <c r="D905" s="14">
        <v>45934</v>
      </c>
      <c r="E905" s="11">
        <f>1</f>
        <v>1</v>
      </c>
      <c r="F905" s="14">
        <v>45936</v>
      </c>
      <c r="G905" s="11">
        <f>IF(Table1[[#This Row],[Pre-Booking Date]]&lt;&gt;"",1,0)</f>
        <v>1</v>
      </c>
      <c r="H905" s="4">
        <v>45938</v>
      </c>
      <c r="I905" s="11">
        <f>IF(Table1[[#This Row],[Booking Date]]&lt;&gt;"",1,0)</f>
        <v>1</v>
      </c>
      <c r="J905" s="30">
        <v>45943</v>
      </c>
      <c r="K905" s="11">
        <f>IF(Table1[[#This Row],[Delivery Date]]&lt;&gt;"",1,0)</f>
        <v>1</v>
      </c>
      <c r="L905" s="3" t="s">
        <v>2</v>
      </c>
      <c r="M905" s="3">
        <f>IF(Table1[[#This Row],[Cancellation Status]]&lt;&gt;"Yes",1,0)</f>
        <v>1</v>
      </c>
      <c r="O905" s="30">
        <v>45958</v>
      </c>
      <c r="P905" s="3">
        <v>2</v>
      </c>
      <c r="Q905" s="3">
        <v>2</v>
      </c>
      <c r="R905" s="3">
        <v>5</v>
      </c>
      <c r="S905" s="3">
        <v>9</v>
      </c>
      <c r="T90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05" t="str">
        <f>IF(Table1[[#This Row],[Customer Rating]]&gt;=9,"Promoter",IF(Table1[[#This Row],[Customer Rating]]&gt;=7,"Passive","Detractor"))</f>
        <v>Promoter</v>
      </c>
    </row>
    <row r="906" spans="1:21" ht="14.25" customHeight="1" x14ac:dyDescent="0.3">
      <c r="A906" s="3" t="s">
        <v>941</v>
      </c>
      <c r="B906" s="3" t="s">
        <v>32</v>
      </c>
      <c r="C906" s="3" t="s">
        <v>33</v>
      </c>
      <c r="D906" s="14">
        <v>45934</v>
      </c>
      <c r="E906" s="11">
        <f>1</f>
        <v>1</v>
      </c>
      <c r="G906" s="12">
        <f>IF(Table1[[#This Row],[Pre-Booking Date]]&lt;&gt;"",1,0)</f>
        <v>0</v>
      </c>
      <c r="I906" s="12">
        <f>IF(Table1[[#This Row],[Booking Date]]&lt;&gt;"",1,0)</f>
        <v>0</v>
      </c>
      <c r="K906" s="12">
        <f>IF(Table1[[#This Row],[Delivery Date]]&lt;&gt;"",1,0)</f>
        <v>0</v>
      </c>
      <c r="L906" s="3" t="s">
        <v>3</v>
      </c>
      <c r="M906" s="3">
        <f>IF(Table1[[#This Row],[Cancellation Status]]&lt;&gt;"Yes",1,0)</f>
        <v>0</v>
      </c>
      <c r="N906" s="3" t="s">
        <v>52</v>
      </c>
      <c r="T90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06" t="str">
        <f>IF(Table1[[#This Row],[Customer Rating]]&gt;=9,"Promoter",IF(Table1[[#This Row],[Customer Rating]]&gt;=7,"Passive","Detractor"))</f>
        <v>Detractor</v>
      </c>
    </row>
    <row r="907" spans="1:21" ht="14.25" customHeight="1" x14ac:dyDescent="0.3">
      <c r="A907" s="3" t="s">
        <v>942</v>
      </c>
      <c r="B907" s="3" t="s">
        <v>39</v>
      </c>
      <c r="C907" s="3" t="s">
        <v>33</v>
      </c>
      <c r="D907" s="14">
        <v>45934</v>
      </c>
      <c r="E907" s="11">
        <f>1</f>
        <v>1</v>
      </c>
      <c r="G907" s="12">
        <f>IF(Table1[[#This Row],[Pre-Booking Date]]&lt;&gt;"",1,0)</f>
        <v>0</v>
      </c>
      <c r="I907" s="12">
        <f>IF(Table1[[#This Row],[Booking Date]]&lt;&gt;"",1,0)</f>
        <v>0</v>
      </c>
      <c r="K907" s="12">
        <f>IF(Table1[[#This Row],[Delivery Date]]&lt;&gt;"",1,0)</f>
        <v>0</v>
      </c>
      <c r="L907" s="3" t="s">
        <v>3</v>
      </c>
      <c r="M907" s="3">
        <f>IF(Table1[[#This Row],[Cancellation Status]]&lt;&gt;"Yes",1,0)</f>
        <v>0</v>
      </c>
      <c r="N907" s="3" t="s">
        <v>37</v>
      </c>
      <c r="T90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07" t="str">
        <f>IF(Table1[[#This Row],[Customer Rating]]&gt;=9,"Promoter",IF(Table1[[#This Row],[Customer Rating]]&gt;=7,"Passive","Detractor"))</f>
        <v>Detractor</v>
      </c>
    </row>
    <row r="908" spans="1:21" ht="14.25" customHeight="1" x14ac:dyDescent="0.3">
      <c r="A908" s="3" t="s">
        <v>943</v>
      </c>
      <c r="B908" s="3" t="s">
        <v>29</v>
      </c>
      <c r="C908" s="3" t="s">
        <v>27</v>
      </c>
      <c r="D908" s="14">
        <v>45934</v>
      </c>
      <c r="E908" s="11">
        <f>1</f>
        <v>1</v>
      </c>
      <c r="F908" s="14">
        <v>45937</v>
      </c>
      <c r="G908" s="11">
        <f>IF(Table1[[#This Row],[Pre-Booking Date]]&lt;&gt;"",1,0)</f>
        <v>1</v>
      </c>
      <c r="H908" s="4">
        <v>45940</v>
      </c>
      <c r="I908" s="11">
        <f>IF(Table1[[#This Row],[Booking Date]]&lt;&gt;"",1,0)</f>
        <v>1</v>
      </c>
      <c r="J908" s="30">
        <v>45945</v>
      </c>
      <c r="K908" s="11">
        <f>IF(Table1[[#This Row],[Delivery Date]]&lt;&gt;"",1,0)</f>
        <v>1</v>
      </c>
      <c r="L908" s="3" t="s">
        <v>2</v>
      </c>
      <c r="M908" s="3">
        <f>IF(Table1[[#This Row],[Cancellation Status]]&lt;&gt;"Yes",1,0)</f>
        <v>1</v>
      </c>
      <c r="O908" s="30">
        <v>45975</v>
      </c>
      <c r="P908" s="3">
        <v>3</v>
      </c>
      <c r="Q908" s="3">
        <v>3</v>
      </c>
      <c r="R908" s="3">
        <v>5</v>
      </c>
      <c r="S908" s="3">
        <v>7</v>
      </c>
      <c r="T90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08" t="str">
        <f>IF(Table1[[#This Row],[Customer Rating]]&gt;=9,"Promoter",IF(Table1[[#This Row],[Customer Rating]]&gt;=7,"Passive","Detractor"))</f>
        <v>Passive</v>
      </c>
    </row>
    <row r="909" spans="1:21" ht="14.25" customHeight="1" x14ac:dyDescent="0.3">
      <c r="A909" s="3" t="s">
        <v>944</v>
      </c>
      <c r="B909" s="3" t="s">
        <v>29</v>
      </c>
      <c r="C909" s="3" t="s">
        <v>27</v>
      </c>
      <c r="D909" s="14">
        <v>45934</v>
      </c>
      <c r="E909" s="11">
        <f>1</f>
        <v>1</v>
      </c>
      <c r="F909" s="14">
        <v>45937</v>
      </c>
      <c r="G909" s="11">
        <f>IF(Table1[[#This Row],[Pre-Booking Date]]&lt;&gt;"",1,0)</f>
        <v>1</v>
      </c>
      <c r="H909" s="4">
        <v>45941</v>
      </c>
      <c r="I909" s="11">
        <f>IF(Table1[[#This Row],[Booking Date]]&lt;&gt;"",1,0)</f>
        <v>1</v>
      </c>
      <c r="J909" s="30">
        <v>45945</v>
      </c>
      <c r="K909" s="11">
        <f>IF(Table1[[#This Row],[Delivery Date]]&lt;&gt;"",1,0)</f>
        <v>1</v>
      </c>
      <c r="L909" s="3" t="s">
        <v>2</v>
      </c>
      <c r="M909" s="3">
        <f>IF(Table1[[#This Row],[Cancellation Status]]&lt;&gt;"Yes",1,0)</f>
        <v>1</v>
      </c>
      <c r="O909" s="30">
        <v>45959</v>
      </c>
      <c r="P909" s="3">
        <v>3</v>
      </c>
      <c r="Q909" s="3">
        <v>4</v>
      </c>
      <c r="R909" s="3">
        <v>4</v>
      </c>
      <c r="S909" s="3">
        <v>3</v>
      </c>
      <c r="T90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09" t="str">
        <f>IF(Table1[[#This Row],[Customer Rating]]&gt;=9,"Promoter",IF(Table1[[#This Row],[Customer Rating]]&gt;=7,"Passive","Detractor"))</f>
        <v>Detractor</v>
      </c>
    </row>
    <row r="910" spans="1:21" ht="14.25" customHeight="1" x14ac:dyDescent="0.3">
      <c r="A910" s="3" t="s">
        <v>945</v>
      </c>
      <c r="B910" s="3" t="s">
        <v>32</v>
      </c>
      <c r="C910" s="3" t="s">
        <v>27</v>
      </c>
      <c r="D910" s="14">
        <v>45934</v>
      </c>
      <c r="E910" s="11">
        <f>1</f>
        <v>1</v>
      </c>
      <c r="F910" s="14">
        <v>45938</v>
      </c>
      <c r="G910" s="11">
        <f>IF(Table1[[#This Row],[Pre-Booking Date]]&lt;&gt;"",1,0)</f>
        <v>1</v>
      </c>
      <c r="H910" s="4">
        <v>45939</v>
      </c>
      <c r="I910" s="11">
        <f>IF(Table1[[#This Row],[Booking Date]]&lt;&gt;"",1,0)</f>
        <v>1</v>
      </c>
      <c r="J910" s="30">
        <v>45943</v>
      </c>
      <c r="K910" s="11">
        <f>IF(Table1[[#This Row],[Delivery Date]]&lt;&gt;"",1,0)</f>
        <v>1</v>
      </c>
      <c r="L910" s="3" t="s">
        <v>2</v>
      </c>
      <c r="M910" s="3">
        <f>IF(Table1[[#This Row],[Cancellation Status]]&lt;&gt;"Yes",1,0)</f>
        <v>1</v>
      </c>
      <c r="O910" s="30">
        <v>45955</v>
      </c>
      <c r="P910" s="3">
        <v>4</v>
      </c>
      <c r="Q910" s="3">
        <v>1</v>
      </c>
      <c r="R910" s="3">
        <v>4</v>
      </c>
      <c r="S910" s="3">
        <v>5</v>
      </c>
      <c r="T91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10" t="str">
        <f>IF(Table1[[#This Row],[Customer Rating]]&gt;=9,"Promoter",IF(Table1[[#This Row],[Customer Rating]]&gt;=7,"Passive","Detractor"))</f>
        <v>Detractor</v>
      </c>
    </row>
    <row r="911" spans="1:21" ht="14.25" customHeight="1" x14ac:dyDescent="0.3">
      <c r="A911" s="3" t="s">
        <v>946</v>
      </c>
      <c r="B911" s="3" t="s">
        <v>26</v>
      </c>
      <c r="C911" s="3" t="s">
        <v>27</v>
      </c>
      <c r="D911" s="14">
        <v>45934</v>
      </c>
      <c r="E911" s="11">
        <f>1</f>
        <v>1</v>
      </c>
      <c r="F911" s="14">
        <v>45937</v>
      </c>
      <c r="G911" s="11">
        <f>IF(Table1[[#This Row],[Pre-Booking Date]]&lt;&gt;"",1,0)</f>
        <v>1</v>
      </c>
      <c r="H911" s="4">
        <v>45939</v>
      </c>
      <c r="I911" s="11">
        <f>IF(Table1[[#This Row],[Booking Date]]&lt;&gt;"",1,0)</f>
        <v>1</v>
      </c>
      <c r="J911" s="30">
        <v>45942</v>
      </c>
      <c r="K911" s="11">
        <f>IF(Table1[[#This Row],[Delivery Date]]&lt;&gt;"",1,0)</f>
        <v>1</v>
      </c>
      <c r="L911" s="3" t="s">
        <v>2</v>
      </c>
      <c r="M911" s="3">
        <f>IF(Table1[[#This Row],[Cancellation Status]]&lt;&gt;"Yes",1,0)</f>
        <v>1</v>
      </c>
      <c r="O911" s="30">
        <v>45965</v>
      </c>
      <c r="P911" s="3">
        <v>3</v>
      </c>
      <c r="Q911" s="3">
        <v>2</v>
      </c>
      <c r="R911" s="3">
        <v>3</v>
      </c>
      <c r="S911" s="3">
        <v>6</v>
      </c>
      <c r="T91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11" t="str">
        <f>IF(Table1[[#This Row],[Customer Rating]]&gt;=9,"Promoter",IF(Table1[[#This Row],[Customer Rating]]&gt;=7,"Passive","Detractor"))</f>
        <v>Detractor</v>
      </c>
    </row>
    <row r="912" spans="1:21" ht="14.25" customHeight="1" x14ac:dyDescent="0.3">
      <c r="A912" s="3" t="s">
        <v>947</v>
      </c>
      <c r="B912" s="3" t="s">
        <v>32</v>
      </c>
      <c r="C912" s="3" t="s">
        <v>30</v>
      </c>
      <c r="D912" s="14">
        <v>45934</v>
      </c>
      <c r="E912" s="11">
        <f>1</f>
        <v>1</v>
      </c>
      <c r="F912" s="14">
        <v>45937</v>
      </c>
      <c r="G912" s="11">
        <f>IF(Table1[[#This Row],[Pre-Booking Date]]&lt;&gt;"",1,0)</f>
        <v>1</v>
      </c>
      <c r="H912" s="4">
        <v>45938</v>
      </c>
      <c r="I912" s="11">
        <f>IF(Table1[[#This Row],[Booking Date]]&lt;&gt;"",1,0)</f>
        <v>1</v>
      </c>
      <c r="J912" s="30">
        <v>45943</v>
      </c>
      <c r="K912" s="11">
        <f>IF(Table1[[#This Row],[Delivery Date]]&lt;&gt;"",1,0)</f>
        <v>1</v>
      </c>
      <c r="L912" s="3" t="s">
        <v>2</v>
      </c>
      <c r="M912" s="3">
        <f>IF(Table1[[#This Row],[Cancellation Status]]&lt;&gt;"Yes",1,0)</f>
        <v>1</v>
      </c>
      <c r="O912" s="30">
        <v>45963</v>
      </c>
      <c r="P912" s="3">
        <v>3</v>
      </c>
      <c r="Q912" s="3">
        <v>1</v>
      </c>
      <c r="R912" s="3">
        <v>5</v>
      </c>
      <c r="S912" s="3">
        <v>9</v>
      </c>
      <c r="T91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12" t="str">
        <f>IF(Table1[[#This Row],[Customer Rating]]&gt;=9,"Promoter",IF(Table1[[#This Row],[Customer Rating]]&gt;=7,"Passive","Detractor"))</f>
        <v>Promoter</v>
      </c>
    </row>
    <row r="913" spans="1:21" ht="14.25" customHeight="1" x14ac:dyDescent="0.3">
      <c r="A913" s="3" t="s">
        <v>948</v>
      </c>
      <c r="B913" s="3" t="s">
        <v>29</v>
      </c>
      <c r="C913" s="3" t="s">
        <v>27</v>
      </c>
      <c r="D913" s="14">
        <v>45934</v>
      </c>
      <c r="E913" s="11">
        <f>1</f>
        <v>1</v>
      </c>
      <c r="F913" s="14">
        <v>45938</v>
      </c>
      <c r="G913" s="11">
        <f>IF(Table1[[#This Row],[Pre-Booking Date]]&lt;&gt;"",1,0)</f>
        <v>1</v>
      </c>
      <c r="H913" s="4">
        <v>45942</v>
      </c>
      <c r="I913" s="11">
        <f>IF(Table1[[#This Row],[Booking Date]]&lt;&gt;"",1,0)</f>
        <v>1</v>
      </c>
      <c r="J913" s="30">
        <v>45948</v>
      </c>
      <c r="K913" s="11">
        <f>IF(Table1[[#This Row],[Delivery Date]]&lt;&gt;"",1,0)</f>
        <v>1</v>
      </c>
      <c r="L913" s="3" t="s">
        <v>2</v>
      </c>
      <c r="M913" s="3">
        <f>IF(Table1[[#This Row],[Cancellation Status]]&lt;&gt;"Yes",1,0)</f>
        <v>1</v>
      </c>
      <c r="O913" s="30">
        <v>45962</v>
      </c>
      <c r="P913" s="3">
        <v>4</v>
      </c>
      <c r="Q913" s="3">
        <v>4</v>
      </c>
      <c r="R913" s="3">
        <v>6</v>
      </c>
      <c r="S913" s="3">
        <v>2</v>
      </c>
      <c r="T91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13" t="str">
        <f>IF(Table1[[#This Row],[Customer Rating]]&gt;=9,"Promoter",IF(Table1[[#This Row],[Customer Rating]]&gt;=7,"Passive","Detractor"))</f>
        <v>Detractor</v>
      </c>
    </row>
    <row r="914" spans="1:21" ht="14.25" customHeight="1" x14ac:dyDescent="0.3">
      <c r="A914" s="3" t="s">
        <v>949</v>
      </c>
      <c r="B914" s="3" t="s">
        <v>29</v>
      </c>
      <c r="C914" s="3" t="s">
        <v>27</v>
      </c>
      <c r="D914" s="14">
        <v>45934</v>
      </c>
      <c r="E914" s="11">
        <f>1</f>
        <v>1</v>
      </c>
      <c r="F914" s="14">
        <v>45939</v>
      </c>
      <c r="G914" s="11">
        <f>IF(Table1[[#This Row],[Pre-Booking Date]]&lt;&gt;"",1,0)</f>
        <v>1</v>
      </c>
      <c r="H914" s="4">
        <v>45940</v>
      </c>
      <c r="I914" s="11">
        <f>IF(Table1[[#This Row],[Booking Date]]&lt;&gt;"",1,0)</f>
        <v>1</v>
      </c>
      <c r="J914" s="30">
        <v>45946</v>
      </c>
      <c r="K914" s="11">
        <f>IF(Table1[[#This Row],[Delivery Date]]&lt;&gt;"",1,0)</f>
        <v>1</v>
      </c>
      <c r="L914" s="3" t="s">
        <v>2</v>
      </c>
      <c r="M914" s="3">
        <f>IF(Table1[[#This Row],[Cancellation Status]]&lt;&gt;"Yes",1,0)</f>
        <v>1</v>
      </c>
      <c r="O914" s="30">
        <v>45959</v>
      </c>
      <c r="P914" s="3">
        <v>5</v>
      </c>
      <c r="Q914" s="3">
        <v>1</v>
      </c>
      <c r="R914" s="3">
        <v>6</v>
      </c>
      <c r="S914" s="3">
        <v>2</v>
      </c>
      <c r="T91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14" t="str">
        <f>IF(Table1[[#This Row],[Customer Rating]]&gt;=9,"Promoter",IF(Table1[[#This Row],[Customer Rating]]&gt;=7,"Passive","Detractor"))</f>
        <v>Detractor</v>
      </c>
    </row>
    <row r="915" spans="1:21" ht="14.25" customHeight="1" x14ac:dyDescent="0.3">
      <c r="A915" s="3" t="s">
        <v>950</v>
      </c>
      <c r="B915" s="3" t="s">
        <v>29</v>
      </c>
      <c r="C915" s="3" t="s">
        <v>30</v>
      </c>
      <c r="D915" s="14">
        <v>45934</v>
      </c>
      <c r="E915" s="11">
        <f>1</f>
        <v>1</v>
      </c>
      <c r="F915" s="14">
        <v>45937</v>
      </c>
      <c r="G915" s="11">
        <f>IF(Table1[[#This Row],[Pre-Booking Date]]&lt;&gt;"",1,0)</f>
        <v>1</v>
      </c>
      <c r="H915" s="4">
        <v>45938</v>
      </c>
      <c r="I915" s="11">
        <f>IF(Table1[[#This Row],[Booking Date]]&lt;&gt;"",1,0)</f>
        <v>1</v>
      </c>
      <c r="J915" s="30">
        <v>45945</v>
      </c>
      <c r="K915" s="11">
        <f>IF(Table1[[#This Row],[Delivery Date]]&lt;&gt;"",1,0)</f>
        <v>1</v>
      </c>
      <c r="L915" s="3" t="s">
        <v>2</v>
      </c>
      <c r="M915" s="3">
        <f>IF(Table1[[#This Row],[Cancellation Status]]&lt;&gt;"Yes",1,0)</f>
        <v>1</v>
      </c>
      <c r="O915" s="30">
        <v>45956</v>
      </c>
      <c r="P915" s="3">
        <v>3</v>
      </c>
      <c r="Q915" s="3">
        <v>1</v>
      </c>
      <c r="R915" s="3">
        <v>7</v>
      </c>
      <c r="S915" s="3">
        <v>8</v>
      </c>
      <c r="T91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15" t="str">
        <f>IF(Table1[[#This Row],[Customer Rating]]&gt;=9,"Promoter",IF(Table1[[#This Row],[Customer Rating]]&gt;=7,"Passive","Detractor"))</f>
        <v>Passive</v>
      </c>
    </row>
    <row r="916" spans="1:21" ht="14.25" customHeight="1" x14ac:dyDescent="0.3">
      <c r="A916" s="3" t="s">
        <v>951</v>
      </c>
      <c r="B916" s="3" t="s">
        <v>26</v>
      </c>
      <c r="C916" s="3" t="s">
        <v>27</v>
      </c>
      <c r="D916" s="14">
        <v>45933</v>
      </c>
      <c r="E916" s="11">
        <f>1</f>
        <v>1</v>
      </c>
      <c r="F916" s="14">
        <v>45936</v>
      </c>
      <c r="G916" s="11">
        <f>IF(Table1[[#This Row],[Pre-Booking Date]]&lt;&gt;"",1,0)</f>
        <v>1</v>
      </c>
      <c r="H916" s="4">
        <v>45938</v>
      </c>
      <c r="I916" s="11">
        <f>IF(Table1[[#This Row],[Booking Date]]&lt;&gt;"",1,0)</f>
        <v>1</v>
      </c>
      <c r="J916" s="30">
        <v>45944</v>
      </c>
      <c r="K916" s="11">
        <f>IF(Table1[[#This Row],[Delivery Date]]&lt;&gt;"",1,0)</f>
        <v>1</v>
      </c>
      <c r="L916" s="3" t="s">
        <v>2</v>
      </c>
      <c r="M916" s="3">
        <f>IF(Table1[[#This Row],[Cancellation Status]]&lt;&gt;"Yes",1,0)</f>
        <v>1</v>
      </c>
      <c r="O916" s="30">
        <v>45965</v>
      </c>
      <c r="P916" s="3">
        <v>3</v>
      </c>
      <c r="Q916" s="3">
        <v>2</v>
      </c>
      <c r="R916" s="3">
        <v>6</v>
      </c>
      <c r="S916" s="3">
        <v>6</v>
      </c>
      <c r="T91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16" t="str">
        <f>IF(Table1[[#This Row],[Customer Rating]]&gt;=9,"Promoter",IF(Table1[[#This Row],[Customer Rating]]&gt;=7,"Passive","Detractor"))</f>
        <v>Detractor</v>
      </c>
    </row>
    <row r="917" spans="1:21" ht="14.25" customHeight="1" x14ac:dyDescent="0.3">
      <c r="A917" s="3" t="s">
        <v>952</v>
      </c>
      <c r="B917" s="3" t="s">
        <v>29</v>
      </c>
      <c r="C917" s="3" t="s">
        <v>30</v>
      </c>
      <c r="D917" s="14">
        <v>45933</v>
      </c>
      <c r="E917" s="11">
        <f>1</f>
        <v>1</v>
      </c>
      <c r="F917" s="14">
        <v>45936</v>
      </c>
      <c r="G917" s="11">
        <f>IF(Table1[[#This Row],[Pre-Booking Date]]&lt;&gt;"",1,0)</f>
        <v>1</v>
      </c>
      <c r="H917" s="4">
        <v>45941</v>
      </c>
      <c r="I917" s="11">
        <f>IF(Table1[[#This Row],[Booking Date]]&lt;&gt;"",1,0)</f>
        <v>1</v>
      </c>
      <c r="J917" s="30">
        <v>45948</v>
      </c>
      <c r="K917" s="11">
        <f>IF(Table1[[#This Row],[Delivery Date]]&lt;&gt;"",1,0)</f>
        <v>1</v>
      </c>
      <c r="L917" s="3" t="s">
        <v>2</v>
      </c>
      <c r="M917" s="3">
        <f>IF(Table1[[#This Row],[Cancellation Status]]&lt;&gt;"Yes",1,0)</f>
        <v>1</v>
      </c>
      <c r="O917" s="30">
        <v>45970</v>
      </c>
      <c r="P917" s="3">
        <v>3</v>
      </c>
      <c r="Q917" s="3">
        <v>5</v>
      </c>
      <c r="R917" s="3">
        <v>7</v>
      </c>
      <c r="S917" s="3">
        <v>1</v>
      </c>
      <c r="T91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17" t="str">
        <f>IF(Table1[[#This Row],[Customer Rating]]&gt;=9,"Promoter",IF(Table1[[#This Row],[Customer Rating]]&gt;=7,"Passive","Detractor"))</f>
        <v>Detractor</v>
      </c>
    </row>
    <row r="918" spans="1:21" ht="14.25" customHeight="1" x14ac:dyDescent="0.3">
      <c r="A918" s="3" t="s">
        <v>953</v>
      </c>
      <c r="B918" s="3" t="s">
        <v>39</v>
      </c>
      <c r="C918" s="3" t="s">
        <v>30</v>
      </c>
      <c r="D918" s="14">
        <v>45933</v>
      </c>
      <c r="E918" s="11">
        <f>1</f>
        <v>1</v>
      </c>
      <c r="F918" s="14">
        <v>45938</v>
      </c>
      <c r="G918" s="11">
        <f>IF(Table1[[#This Row],[Pre-Booking Date]]&lt;&gt;"",1,0)</f>
        <v>1</v>
      </c>
      <c r="H918" s="4">
        <v>45943</v>
      </c>
      <c r="I918" s="11">
        <f>IF(Table1[[#This Row],[Booking Date]]&lt;&gt;"",1,0)</f>
        <v>1</v>
      </c>
      <c r="J918" s="30">
        <v>45946</v>
      </c>
      <c r="K918" s="11">
        <f>IF(Table1[[#This Row],[Delivery Date]]&lt;&gt;"",1,0)</f>
        <v>1</v>
      </c>
      <c r="L918" s="3" t="s">
        <v>2</v>
      </c>
      <c r="M918" s="3">
        <f>IF(Table1[[#This Row],[Cancellation Status]]&lt;&gt;"Yes",1,0)</f>
        <v>1</v>
      </c>
      <c r="O918" s="30">
        <v>45974</v>
      </c>
      <c r="P918" s="3">
        <v>5</v>
      </c>
      <c r="Q918" s="3">
        <v>5</v>
      </c>
      <c r="R918" s="3">
        <v>3</v>
      </c>
      <c r="S918" s="3">
        <v>9</v>
      </c>
      <c r="T91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18" t="str">
        <f>IF(Table1[[#This Row],[Customer Rating]]&gt;=9,"Promoter",IF(Table1[[#This Row],[Customer Rating]]&gt;=7,"Passive","Detractor"))</f>
        <v>Promoter</v>
      </c>
    </row>
    <row r="919" spans="1:21" ht="14.25" customHeight="1" x14ac:dyDescent="0.3">
      <c r="A919" s="3" t="s">
        <v>954</v>
      </c>
      <c r="B919" s="3" t="s">
        <v>26</v>
      </c>
      <c r="C919" s="3" t="s">
        <v>30</v>
      </c>
      <c r="D919" s="14">
        <v>45933</v>
      </c>
      <c r="E919" s="11">
        <f>1</f>
        <v>1</v>
      </c>
      <c r="F919" s="14">
        <v>45934</v>
      </c>
      <c r="G919" s="11">
        <f>IF(Table1[[#This Row],[Pre-Booking Date]]&lt;&gt;"",1,0)</f>
        <v>1</v>
      </c>
      <c r="H919" s="4">
        <v>45935</v>
      </c>
      <c r="I919" s="11">
        <f>IF(Table1[[#This Row],[Booking Date]]&lt;&gt;"",1,0)</f>
        <v>1</v>
      </c>
      <c r="J919" s="30">
        <v>45937</v>
      </c>
      <c r="K919" s="11">
        <f>IF(Table1[[#This Row],[Delivery Date]]&lt;&gt;"",1,0)</f>
        <v>1</v>
      </c>
      <c r="L919" s="3" t="s">
        <v>2</v>
      </c>
      <c r="M919" s="3">
        <f>IF(Table1[[#This Row],[Cancellation Status]]&lt;&gt;"Yes",1,0)</f>
        <v>1</v>
      </c>
      <c r="O919" s="30">
        <v>45966</v>
      </c>
      <c r="P919" s="3">
        <v>1</v>
      </c>
      <c r="Q919" s="3">
        <v>1</v>
      </c>
      <c r="R919" s="3">
        <v>2</v>
      </c>
      <c r="S919" s="3">
        <v>1</v>
      </c>
      <c r="T91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19" t="str">
        <f>IF(Table1[[#This Row],[Customer Rating]]&gt;=9,"Promoter",IF(Table1[[#This Row],[Customer Rating]]&gt;=7,"Passive","Detractor"))</f>
        <v>Detractor</v>
      </c>
    </row>
    <row r="920" spans="1:21" ht="14.25" customHeight="1" x14ac:dyDescent="0.3">
      <c r="A920" s="3" t="s">
        <v>955</v>
      </c>
      <c r="B920" s="3" t="s">
        <v>32</v>
      </c>
      <c r="C920" s="3" t="s">
        <v>30</v>
      </c>
      <c r="D920" s="14">
        <v>45933</v>
      </c>
      <c r="E920" s="11">
        <f>1</f>
        <v>1</v>
      </c>
      <c r="F920" s="14">
        <v>45934</v>
      </c>
      <c r="G920" s="11">
        <f>IF(Table1[[#This Row],[Pre-Booking Date]]&lt;&gt;"",1,0)</f>
        <v>1</v>
      </c>
      <c r="H920" s="4">
        <v>45937</v>
      </c>
      <c r="I920" s="11">
        <f>IF(Table1[[#This Row],[Booking Date]]&lt;&gt;"",1,0)</f>
        <v>1</v>
      </c>
      <c r="J920" s="30">
        <v>45944</v>
      </c>
      <c r="K920" s="11">
        <f>IF(Table1[[#This Row],[Delivery Date]]&lt;&gt;"",1,0)</f>
        <v>1</v>
      </c>
      <c r="L920" s="3" t="s">
        <v>2</v>
      </c>
      <c r="M920" s="3">
        <f>IF(Table1[[#This Row],[Cancellation Status]]&lt;&gt;"Yes",1,0)</f>
        <v>1</v>
      </c>
      <c r="O920" s="30">
        <v>45954</v>
      </c>
      <c r="P920" s="3">
        <v>1</v>
      </c>
      <c r="Q920" s="3">
        <v>3</v>
      </c>
      <c r="R920" s="3">
        <v>7</v>
      </c>
      <c r="S920" s="3">
        <v>6</v>
      </c>
      <c r="T92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20" t="str">
        <f>IF(Table1[[#This Row],[Customer Rating]]&gt;=9,"Promoter",IF(Table1[[#This Row],[Customer Rating]]&gt;=7,"Passive","Detractor"))</f>
        <v>Detractor</v>
      </c>
    </row>
    <row r="921" spans="1:21" ht="14.25" customHeight="1" x14ac:dyDescent="0.3">
      <c r="A921" s="3" t="s">
        <v>956</v>
      </c>
      <c r="B921" s="3" t="s">
        <v>32</v>
      </c>
      <c r="C921" s="3" t="s">
        <v>27</v>
      </c>
      <c r="D921" s="14">
        <v>45933</v>
      </c>
      <c r="E921" s="11">
        <f>1</f>
        <v>1</v>
      </c>
      <c r="F921" s="14">
        <v>45936</v>
      </c>
      <c r="G921" s="11">
        <f>IF(Table1[[#This Row],[Pre-Booking Date]]&lt;&gt;"",1,0)</f>
        <v>1</v>
      </c>
      <c r="H921" s="4">
        <v>45940</v>
      </c>
      <c r="I921" s="11">
        <f>IF(Table1[[#This Row],[Booking Date]]&lt;&gt;"",1,0)</f>
        <v>1</v>
      </c>
      <c r="J921" s="30">
        <v>45942</v>
      </c>
      <c r="K921" s="11">
        <f>IF(Table1[[#This Row],[Delivery Date]]&lt;&gt;"",1,0)</f>
        <v>1</v>
      </c>
      <c r="L921" s="3" t="s">
        <v>2</v>
      </c>
      <c r="M921" s="3">
        <f>IF(Table1[[#This Row],[Cancellation Status]]&lt;&gt;"Yes",1,0)</f>
        <v>1</v>
      </c>
      <c r="O921" s="30">
        <v>45955</v>
      </c>
      <c r="P921" s="3">
        <v>3</v>
      </c>
      <c r="Q921" s="3">
        <v>4</v>
      </c>
      <c r="R921" s="3">
        <v>2</v>
      </c>
      <c r="S921" s="3">
        <v>3</v>
      </c>
      <c r="T92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21" t="str">
        <f>IF(Table1[[#This Row],[Customer Rating]]&gt;=9,"Promoter",IF(Table1[[#This Row],[Customer Rating]]&gt;=7,"Passive","Detractor"))</f>
        <v>Detractor</v>
      </c>
    </row>
    <row r="922" spans="1:21" ht="14.25" customHeight="1" x14ac:dyDescent="0.3">
      <c r="A922" s="3" t="s">
        <v>957</v>
      </c>
      <c r="B922" s="3" t="s">
        <v>39</v>
      </c>
      <c r="C922" s="3" t="s">
        <v>27</v>
      </c>
      <c r="D922" s="14">
        <v>45933</v>
      </c>
      <c r="E922" s="11">
        <f>1</f>
        <v>1</v>
      </c>
      <c r="F922" s="14">
        <v>45934</v>
      </c>
      <c r="G922" s="11">
        <f>IF(Table1[[#This Row],[Pre-Booking Date]]&lt;&gt;"",1,0)</f>
        <v>1</v>
      </c>
      <c r="H922" s="4">
        <v>45938</v>
      </c>
      <c r="I922" s="11">
        <f>IF(Table1[[#This Row],[Booking Date]]&lt;&gt;"",1,0)</f>
        <v>1</v>
      </c>
      <c r="J922" s="30">
        <v>45942</v>
      </c>
      <c r="K922" s="11">
        <f>IF(Table1[[#This Row],[Delivery Date]]&lt;&gt;"",1,0)</f>
        <v>1</v>
      </c>
      <c r="L922" s="3" t="s">
        <v>2</v>
      </c>
      <c r="M922" s="3">
        <f>IF(Table1[[#This Row],[Cancellation Status]]&lt;&gt;"Yes",1,0)</f>
        <v>1</v>
      </c>
      <c r="O922" s="30">
        <v>45952</v>
      </c>
      <c r="P922" s="3">
        <v>1</v>
      </c>
      <c r="Q922" s="3">
        <v>4</v>
      </c>
      <c r="R922" s="3">
        <v>4</v>
      </c>
      <c r="S922" s="3">
        <v>2</v>
      </c>
      <c r="T92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22" t="str">
        <f>IF(Table1[[#This Row],[Customer Rating]]&gt;=9,"Promoter",IF(Table1[[#This Row],[Customer Rating]]&gt;=7,"Passive","Detractor"))</f>
        <v>Detractor</v>
      </c>
    </row>
    <row r="923" spans="1:21" ht="14.25" customHeight="1" x14ac:dyDescent="0.3">
      <c r="A923" s="3" t="s">
        <v>958</v>
      </c>
      <c r="B923" s="3" t="s">
        <v>32</v>
      </c>
      <c r="C923" s="3" t="s">
        <v>30</v>
      </c>
      <c r="D923" s="14">
        <v>45933</v>
      </c>
      <c r="E923" s="11">
        <f>1</f>
        <v>1</v>
      </c>
      <c r="F923" s="14">
        <v>45935</v>
      </c>
      <c r="G923" s="11">
        <f>IF(Table1[[#This Row],[Pre-Booking Date]]&lt;&gt;"",1,0)</f>
        <v>1</v>
      </c>
      <c r="H923" s="4">
        <v>45938</v>
      </c>
      <c r="I923" s="11">
        <f>IF(Table1[[#This Row],[Booking Date]]&lt;&gt;"",1,0)</f>
        <v>1</v>
      </c>
      <c r="J923" s="30">
        <v>45942</v>
      </c>
      <c r="K923" s="11">
        <f>IF(Table1[[#This Row],[Delivery Date]]&lt;&gt;"",1,0)</f>
        <v>1</v>
      </c>
      <c r="L923" s="3" t="s">
        <v>2</v>
      </c>
      <c r="M923" s="3">
        <f>IF(Table1[[#This Row],[Cancellation Status]]&lt;&gt;"Yes",1,0)</f>
        <v>1</v>
      </c>
      <c r="O923" s="30">
        <v>45972</v>
      </c>
      <c r="P923" s="3">
        <v>2</v>
      </c>
      <c r="Q923" s="3">
        <v>3</v>
      </c>
      <c r="R923" s="3">
        <v>4</v>
      </c>
      <c r="S923" s="3">
        <v>7</v>
      </c>
      <c r="T92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23" t="str">
        <f>IF(Table1[[#This Row],[Customer Rating]]&gt;=9,"Promoter",IF(Table1[[#This Row],[Customer Rating]]&gt;=7,"Passive","Detractor"))</f>
        <v>Passive</v>
      </c>
    </row>
    <row r="924" spans="1:21" ht="14.25" customHeight="1" x14ac:dyDescent="0.3">
      <c r="A924" s="3" t="s">
        <v>959</v>
      </c>
      <c r="B924" s="3" t="s">
        <v>26</v>
      </c>
      <c r="C924" s="3" t="s">
        <v>30</v>
      </c>
      <c r="D924" s="14">
        <v>45933</v>
      </c>
      <c r="E924" s="11">
        <f>1</f>
        <v>1</v>
      </c>
      <c r="F924" s="14">
        <v>45937</v>
      </c>
      <c r="G924" s="11">
        <f>IF(Table1[[#This Row],[Pre-Booking Date]]&lt;&gt;"",1,0)</f>
        <v>1</v>
      </c>
      <c r="H924" s="4">
        <v>45939</v>
      </c>
      <c r="I924" s="11">
        <f>IF(Table1[[#This Row],[Booking Date]]&lt;&gt;"",1,0)</f>
        <v>1</v>
      </c>
      <c r="J924" s="30">
        <v>45943</v>
      </c>
      <c r="K924" s="11">
        <f>IF(Table1[[#This Row],[Delivery Date]]&lt;&gt;"",1,0)</f>
        <v>1</v>
      </c>
      <c r="L924" s="3" t="s">
        <v>2</v>
      </c>
      <c r="M924" s="3">
        <f>IF(Table1[[#This Row],[Cancellation Status]]&lt;&gt;"Yes",1,0)</f>
        <v>1</v>
      </c>
      <c r="O924" s="30">
        <v>45962</v>
      </c>
      <c r="P924" s="3">
        <v>4</v>
      </c>
      <c r="Q924" s="3">
        <v>2</v>
      </c>
      <c r="R924" s="3">
        <v>4</v>
      </c>
      <c r="S924" s="3">
        <v>10</v>
      </c>
      <c r="T92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24" t="str">
        <f>IF(Table1[[#This Row],[Customer Rating]]&gt;=9,"Promoter",IF(Table1[[#This Row],[Customer Rating]]&gt;=7,"Passive","Detractor"))</f>
        <v>Promoter</v>
      </c>
    </row>
    <row r="925" spans="1:21" ht="14.25" customHeight="1" x14ac:dyDescent="0.3">
      <c r="A925" s="3" t="s">
        <v>960</v>
      </c>
      <c r="B925" s="3" t="s">
        <v>32</v>
      </c>
      <c r="C925" s="3" t="s">
        <v>30</v>
      </c>
      <c r="D925" s="14">
        <v>45933</v>
      </c>
      <c r="E925" s="11">
        <f>1</f>
        <v>1</v>
      </c>
      <c r="F925" s="14">
        <v>45934</v>
      </c>
      <c r="G925" s="11">
        <f>IF(Table1[[#This Row],[Pre-Booking Date]]&lt;&gt;"",1,0)</f>
        <v>1</v>
      </c>
      <c r="H925" s="4">
        <v>45939</v>
      </c>
      <c r="I925" s="11">
        <f>IF(Table1[[#This Row],[Booking Date]]&lt;&gt;"",1,0)</f>
        <v>1</v>
      </c>
      <c r="J925" s="30">
        <v>45943</v>
      </c>
      <c r="K925" s="11">
        <f>IF(Table1[[#This Row],[Delivery Date]]&lt;&gt;"",1,0)</f>
        <v>1</v>
      </c>
      <c r="L925" s="3" t="s">
        <v>2</v>
      </c>
      <c r="M925" s="3">
        <f>IF(Table1[[#This Row],[Cancellation Status]]&lt;&gt;"Yes",1,0)</f>
        <v>1</v>
      </c>
      <c r="O925" s="30">
        <v>45967</v>
      </c>
      <c r="P925" s="3">
        <v>1</v>
      </c>
      <c r="Q925" s="3">
        <v>5</v>
      </c>
      <c r="R925" s="3">
        <v>4</v>
      </c>
      <c r="S925" s="3">
        <v>10</v>
      </c>
      <c r="T92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25" t="str">
        <f>IF(Table1[[#This Row],[Customer Rating]]&gt;=9,"Promoter",IF(Table1[[#This Row],[Customer Rating]]&gt;=7,"Passive","Detractor"))</f>
        <v>Promoter</v>
      </c>
    </row>
    <row r="926" spans="1:21" ht="14.25" customHeight="1" x14ac:dyDescent="0.3">
      <c r="A926" s="3" t="s">
        <v>961</v>
      </c>
      <c r="B926" s="3" t="s">
        <v>26</v>
      </c>
      <c r="C926" s="3" t="s">
        <v>33</v>
      </c>
      <c r="D926" s="14">
        <v>45933</v>
      </c>
      <c r="E926" s="11">
        <f>1</f>
        <v>1</v>
      </c>
      <c r="G926" s="12">
        <f>IF(Table1[[#This Row],[Pre-Booking Date]]&lt;&gt;"",1,0)</f>
        <v>0</v>
      </c>
      <c r="I926" s="12">
        <f>IF(Table1[[#This Row],[Booking Date]]&lt;&gt;"",1,0)</f>
        <v>0</v>
      </c>
      <c r="K926" s="12">
        <f>IF(Table1[[#This Row],[Delivery Date]]&lt;&gt;"",1,0)</f>
        <v>0</v>
      </c>
      <c r="L926" s="3" t="s">
        <v>3</v>
      </c>
      <c r="M926" s="3">
        <f>IF(Table1[[#This Row],[Cancellation Status]]&lt;&gt;"Yes",1,0)</f>
        <v>0</v>
      </c>
      <c r="N926" s="3" t="s">
        <v>42</v>
      </c>
      <c r="T92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26" t="str">
        <f>IF(Table1[[#This Row],[Customer Rating]]&gt;=9,"Promoter",IF(Table1[[#This Row],[Customer Rating]]&gt;=7,"Passive","Detractor"))</f>
        <v>Detractor</v>
      </c>
    </row>
    <row r="927" spans="1:21" ht="14.25" customHeight="1" x14ac:dyDescent="0.3">
      <c r="A927" s="3" t="s">
        <v>962</v>
      </c>
      <c r="B927" s="3" t="s">
        <v>39</v>
      </c>
      <c r="C927" s="3" t="s">
        <v>27</v>
      </c>
      <c r="D927" s="14">
        <v>45933</v>
      </c>
      <c r="E927" s="11">
        <f>1</f>
        <v>1</v>
      </c>
      <c r="F927" s="14">
        <v>45935</v>
      </c>
      <c r="G927" s="11">
        <f>IF(Table1[[#This Row],[Pre-Booking Date]]&lt;&gt;"",1,0)</f>
        <v>1</v>
      </c>
      <c r="H927" s="4">
        <v>45938</v>
      </c>
      <c r="I927" s="11">
        <f>IF(Table1[[#This Row],[Booking Date]]&lt;&gt;"",1,0)</f>
        <v>1</v>
      </c>
      <c r="J927" s="30">
        <v>45942</v>
      </c>
      <c r="K927" s="11">
        <f>IF(Table1[[#This Row],[Delivery Date]]&lt;&gt;"",1,0)</f>
        <v>1</v>
      </c>
      <c r="L927" s="3" t="s">
        <v>2</v>
      </c>
      <c r="M927" s="3">
        <f>IF(Table1[[#This Row],[Cancellation Status]]&lt;&gt;"Yes",1,0)</f>
        <v>1</v>
      </c>
      <c r="O927" s="30">
        <v>45967</v>
      </c>
      <c r="P927" s="3">
        <v>2</v>
      </c>
      <c r="Q927" s="3">
        <v>3</v>
      </c>
      <c r="R927" s="3">
        <v>4</v>
      </c>
      <c r="S927" s="3">
        <v>5</v>
      </c>
      <c r="T92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27" t="str">
        <f>IF(Table1[[#This Row],[Customer Rating]]&gt;=9,"Promoter",IF(Table1[[#This Row],[Customer Rating]]&gt;=7,"Passive","Detractor"))</f>
        <v>Detractor</v>
      </c>
    </row>
    <row r="928" spans="1:21" ht="14.25" customHeight="1" x14ac:dyDescent="0.3">
      <c r="A928" s="3" t="s">
        <v>963</v>
      </c>
      <c r="B928" s="3" t="s">
        <v>39</v>
      </c>
      <c r="C928" s="3" t="s">
        <v>27</v>
      </c>
      <c r="D928" s="14">
        <v>45933</v>
      </c>
      <c r="E928" s="11">
        <f>1</f>
        <v>1</v>
      </c>
      <c r="F928" s="14">
        <v>45934</v>
      </c>
      <c r="G928" s="11">
        <f>IF(Table1[[#This Row],[Pre-Booking Date]]&lt;&gt;"",1,0)</f>
        <v>1</v>
      </c>
      <c r="H928" s="4">
        <v>45935</v>
      </c>
      <c r="I928" s="11">
        <f>IF(Table1[[#This Row],[Booking Date]]&lt;&gt;"",1,0)</f>
        <v>1</v>
      </c>
      <c r="J928" s="30">
        <v>45939</v>
      </c>
      <c r="K928" s="11">
        <f>IF(Table1[[#This Row],[Delivery Date]]&lt;&gt;"",1,0)</f>
        <v>1</v>
      </c>
      <c r="L928" s="3" t="s">
        <v>2</v>
      </c>
      <c r="M928" s="3">
        <f>IF(Table1[[#This Row],[Cancellation Status]]&lt;&gt;"Yes",1,0)</f>
        <v>1</v>
      </c>
      <c r="O928" s="30">
        <v>45951</v>
      </c>
      <c r="P928" s="3">
        <v>1</v>
      </c>
      <c r="Q928" s="3">
        <v>1</v>
      </c>
      <c r="R928" s="3">
        <v>4</v>
      </c>
      <c r="S928" s="3">
        <v>10</v>
      </c>
      <c r="T92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28" t="str">
        <f>IF(Table1[[#This Row],[Customer Rating]]&gt;=9,"Promoter",IF(Table1[[#This Row],[Customer Rating]]&gt;=7,"Passive","Detractor"))</f>
        <v>Promoter</v>
      </c>
    </row>
    <row r="929" spans="1:21" ht="14.25" customHeight="1" x14ac:dyDescent="0.3">
      <c r="A929" s="3" t="s">
        <v>964</v>
      </c>
      <c r="B929" s="3" t="s">
        <v>26</v>
      </c>
      <c r="C929" s="3" t="s">
        <v>27</v>
      </c>
      <c r="D929" s="14">
        <v>45933</v>
      </c>
      <c r="E929" s="11">
        <f>1</f>
        <v>1</v>
      </c>
      <c r="F929" s="14">
        <v>45935</v>
      </c>
      <c r="G929" s="11">
        <f>IF(Table1[[#This Row],[Pre-Booking Date]]&lt;&gt;"",1,0)</f>
        <v>1</v>
      </c>
      <c r="H929" s="4">
        <v>45940</v>
      </c>
      <c r="I929" s="11">
        <f>IF(Table1[[#This Row],[Booking Date]]&lt;&gt;"",1,0)</f>
        <v>1</v>
      </c>
      <c r="J929" s="30">
        <v>45942</v>
      </c>
      <c r="K929" s="11">
        <f>IF(Table1[[#This Row],[Delivery Date]]&lt;&gt;"",1,0)</f>
        <v>1</v>
      </c>
      <c r="L929" s="3" t="s">
        <v>2</v>
      </c>
      <c r="M929" s="3">
        <f>IF(Table1[[#This Row],[Cancellation Status]]&lt;&gt;"Yes",1,0)</f>
        <v>1</v>
      </c>
      <c r="O929" s="30">
        <v>45971</v>
      </c>
      <c r="P929" s="3">
        <v>2</v>
      </c>
      <c r="Q929" s="3">
        <v>5</v>
      </c>
      <c r="R929" s="3">
        <v>2</v>
      </c>
      <c r="S929" s="3">
        <v>4</v>
      </c>
      <c r="T92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29" t="str">
        <f>IF(Table1[[#This Row],[Customer Rating]]&gt;=9,"Promoter",IF(Table1[[#This Row],[Customer Rating]]&gt;=7,"Passive","Detractor"))</f>
        <v>Detractor</v>
      </c>
    </row>
    <row r="930" spans="1:21" ht="14.25" customHeight="1" x14ac:dyDescent="0.3">
      <c r="A930" s="3" t="s">
        <v>965</v>
      </c>
      <c r="B930" s="3" t="s">
        <v>39</v>
      </c>
      <c r="C930" s="3" t="s">
        <v>30</v>
      </c>
      <c r="D930" s="14">
        <v>45933</v>
      </c>
      <c r="E930" s="11">
        <f>1</f>
        <v>1</v>
      </c>
      <c r="F930" s="14">
        <v>45935</v>
      </c>
      <c r="G930" s="11">
        <f>IF(Table1[[#This Row],[Pre-Booking Date]]&lt;&gt;"",1,0)</f>
        <v>1</v>
      </c>
      <c r="H930" s="4">
        <v>45937</v>
      </c>
      <c r="I930" s="11">
        <f>IF(Table1[[#This Row],[Booking Date]]&lt;&gt;"",1,0)</f>
        <v>1</v>
      </c>
      <c r="J930" s="30">
        <v>45944</v>
      </c>
      <c r="K930" s="11">
        <f>IF(Table1[[#This Row],[Delivery Date]]&lt;&gt;"",1,0)</f>
        <v>1</v>
      </c>
      <c r="L930" s="3" t="s">
        <v>2</v>
      </c>
      <c r="M930" s="3">
        <f>IF(Table1[[#This Row],[Cancellation Status]]&lt;&gt;"Yes",1,0)</f>
        <v>1</v>
      </c>
      <c r="O930" s="30">
        <v>45969</v>
      </c>
      <c r="P930" s="3">
        <v>2</v>
      </c>
      <c r="Q930" s="3">
        <v>2</v>
      </c>
      <c r="R930" s="3">
        <v>7</v>
      </c>
      <c r="S930" s="3">
        <v>3</v>
      </c>
      <c r="T93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30" t="str">
        <f>IF(Table1[[#This Row],[Customer Rating]]&gt;=9,"Promoter",IF(Table1[[#This Row],[Customer Rating]]&gt;=7,"Passive","Detractor"))</f>
        <v>Detractor</v>
      </c>
    </row>
    <row r="931" spans="1:21" ht="14.25" customHeight="1" x14ac:dyDescent="0.3">
      <c r="A931" s="3" t="s">
        <v>966</v>
      </c>
      <c r="B931" s="3" t="s">
        <v>26</v>
      </c>
      <c r="C931" s="3" t="s">
        <v>27</v>
      </c>
      <c r="D931" s="14">
        <v>45933</v>
      </c>
      <c r="E931" s="11">
        <f>1</f>
        <v>1</v>
      </c>
      <c r="F931" s="14">
        <v>45937</v>
      </c>
      <c r="G931" s="11">
        <f>IF(Table1[[#This Row],[Pre-Booking Date]]&lt;&gt;"",1,0)</f>
        <v>1</v>
      </c>
      <c r="H931" s="4">
        <v>45942</v>
      </c>
      <c r="I931" s="11">
        <f>IF(Table1[[#This Row],[Booking Date]]&lt;&gt;"",1,0)</f>
        <v>1</v>
      </c>
      <c r="J931" s="30">
        <v>45949</v>
      </c>
      <c r="K931" s="11">
        <f>IF(Table1[[#This Row],[Delivery Date]]&lt;&gt;"",1,0)</f>
        <v>1</v>
      </c>
      <c r="L931" s="3" t="s">
        <v>2</v>
      </c>
      <c r="M931" s="3">
        <f>IF(Table1[[#This Row],[Cancellation Status]]&lt;&gt;"Yes",1,0)</f>
        <v>1</v>
      </c>
      <c r="O931" s="30">
        <v>45960</v>
      </c>
      <c r="P931" s="3">
        <v>4</v>
      </c>
      <c r="Q931" s="3">
        <v>5</v>
      </c>
      <c r="R931" s="3">
        <v>7</v>
      </c>
      <c r="S931" s="3">
        <v>3</v>
      </c>
      <c r="T93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31" t="str">
        <f>IF(Table1[[#This Row],[Customer Rating]]&gt;=9,"Promoter",IF(Table1[[#This Row],[Customer Rating]]&gt;=7,"Passive","Detractor"))</f>
        <v>Detractor</v>
      </c>
    </row>
    <row r="932" spans="1:21" ht="14.25" customHeight="1" x14ac:dyDescent="0.3">
      <c r="A932" s="3" t="s">
        <v>967</v>
      </c>
      <c r="B932" s="3" t="s">
        <v>39</v>
      </c>
      <c r="C932" s="3" t="s">
        <v>30</v>
      </c>
      <c r="D932" s="14">
        <v>45933</v>
      </c>
      <c r="E932" s="11">
        <f>1</f>
        <v>1</v>
      </c>
      <c r="F932" s="14">
        <v>45934</v>
      </c>
      <c r="G932" s="11">
        <f>IF(Table1[[#This Row],[Pre-Booking Date]]&lt;&gt;"",1,0)</f>
        <v>1</v>
      </c>
      <c r="H932" s="4">
        <v>45937</v>
      </c>
      <c r="I932" s="11">
        <f>IF(Table1[[#This Row],[Booking Date]]&lt;&gt;"",1,0)</f>
        <v>1</v>
      </c>
      <c r="J932" s="30">
        <v>45941</v>
      </c>
      <c r="K932" s="11">
        <f>IF(Table1[[#This Row],[Delivery Date]]&lt;&gt;"",1,0)</f>
        <v>1</v>
      </c>
      <c r="L932" s="3" t="s">
        <v>2</v>
      </c>
      <c r="M932" s="3">
        <f>IF(Table1[[#This Row],[Cancellation Status]]&lt;&gt;"Yes",1,0)</f>
        <v>1</v>
      </c>
      <c r="O932" s="30">
        <v>45964</v>
      </c>
      <c r="P932" s="3">
        <v>1</v>
      </c>
      <c r="Q932" s="3">
        <v>3</v>
      </c>
      <c r="R932" s="3">
        <v>4</v>
      </c>
      <c r="S932" s="3">
        <v>2</v>
      </c>
      <c r="T93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32" t="str">
        <f>IF(Table1[[#This Row],[Customer Rating]]&gt;=9,"Promoter",IF(Table1[[#This Row],[Customer Rating]]&gt;=7,"Passive","Detractor"))</f>
        <v>Detractor</v>
      </c>
    </row>
    <row r="933" spans="1:21" ht="14.25" customHeight="1" x14ac:dyDescent="0.3">
      <c r="A933" s="3" t="s">
        <v>968</v>
      </c>
      <c r="B933" s="3" t="s">
        <v>29</v>
      </c>
      <c r="C933" s="3" t="s">
        <v>30</v>
      </c>
      <c r="D933" s="14">
        <v>45933</v>
      </c>
      <c r="E933" s="11">
        <f>1</f>
        <v>1</v>
      </c>
      <c r="F933" s="14">
        <v>45934</v>
      </c>
      <c r="G933" s="11">
        <f>IF(Table1[[#This Row],[Pre-Booking Date]]&lt;&gt;"",1,0)</f>
        <v>1</v>
      </c>
      <c r="H933" s="4">
        <v>45935</v>
      </c>
      <c r="I933" s="11">
        <f>IF(Table1[[#This Row],[Booking Date]]&lt;&gt;"",1,0)</f>
        <v>1</v>
      </c>
      <c r="J933" s="30">
        <v>45941</v>
      </c>
      <c r="K933" s="11">
        <f>IF(Table1[[#This Row],[Delivery Date]]&lt;&gt;"",1,0)</f>
        <v>1</v>
      </c>
      <c r="L933" s="3" t="s">
        <v>2</v>
      </c>
      <c r="M933" s="3">
        <f>IF(Table1[[#This Row],[Cancellation Status]]&lt;&gt;"Yes",1,0)</f>
        <v>1</v>
      </c>
      <c r="O933" s="30">
        <v>45955</v>
      </c>
      <c r="P933" s="3">
        <v>1</v>
      </c>
      <c r="Q933" s="3">
        <v>1</v>
      </c>
      <c r="R933" s="3">
        <v>6</v>
      </c>
      <c r="S933" s="3">
        <v>9</v>
      </c>
      <c r="T93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33" t="str">
        <f>IF(Table1[[#This Row],[Customer Rating]]&gt;=9,"Promoter",IF(Table1[[#This Row],[Customer Rating]]&gt;=7,"Passive","Detractor"))</f>
        <v>Promoter</v>
      </c>
    </row>
    <row r="934" spans="1:21" ht="14.25" customHeight="1" x14ac:dyDescent="0.3">
      <c r="A934" s="3" t="s">
        <v>969</v>
      </c>
      <c r="B934" s="3" t="s">
        <v>32</v>
      </c>
      <c r="C934" s="3" t="s">
        <v>33</v>
      </c>
      <c r="D934" s="14">
        <v>45933</v>
      </c>
      <c r="E934" s="11">
        <f>1</f>
        <v>1</v>
      </c>
      <c r="G934" s="12">
        <f>IF(Table1[[#This Row],[Pre-Booking Date]]&lt;&gt;"",1,0)</f>
        <v>0</v>
      </c>
      <c r="I934" s="12">
        <f>IF(Table1[[#This Row],[Booking Date]]&lt;&gt;"",1,0)</f>
        <v>0</v>
      </c>
      <c r="K934" s="12">
        <f>IF(Table1[[#This Row],[Delivery Date]]&lt;&gt;"",1,0)</f>
        <v>0</v>
      </c>
      <c r="L934" s="3" t="s">
        <v>3</v>
      </c>
      <c r="M934" s="3">
        <f>IF(Table1[[#This Row],[Cancellation Status]]&lt;&gt;"Yes",1,0)</f>
        <v>0</v>
      </c>
      <c r="N934" s="3" t="s">
        <v>55</v>
      </c>
      <c r="T93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34" t="str">
        <f>IF(Table1[[#This Row],[Customer Rating]]&gt;=9,"Promoter",IF(Table1[[#This Row],[Customer Rating]]&gt;=7,"Passive","Detractor"))</f>
        <v>Detractor</v>
      </c>
    </row>
    <row r="935" spans="1:21" ht="14.25" customHeight="1" x14ac:dyDescent="0.3">
      <c r="A935" s="3" t="s">
        <v>970</v>
      </c>
      <c r="B935" s="3" t="s">
        <v>32</v>
      </c>
      <c r="C935" s="3" t="s">
        <v>33</v>
      </c>
      <c r="D935" s="14">
        <v>45933</v>
      </c>
      <c r="E935" s="11">
        <f>1</f>
        <v>1</v>
      </c>
      <c r="G935" s="12">
        <f>IF(Table1[[#This Row],[Pre-Booking Date]]&lt;&gt;"",1,0)</f>
        <v>0</v>
      </c>
      <c r="I935" s="12">
        <f>IF(Table1[[#This Row],[Booking Date]]&lt;&gt;"",1,0)</f>
        <v>0</v>
      </c>
      <c r="K935" s="12">
        <f>IF(Table1[[#This Row],[Delivery Date]]&lt;&gt;"",1,0)</f>
        <v>0</v>
      </c>
      <c r="L935" s="3" t="s">
        <v>3</v>
      </c>
      <c r="M935" s="3">
        <f>IF(Table1[[#This Row],[Cancellation Status]]&lt;&gt;"Yes",1,0)</f>
        <v>0</v>
      </c>
      <c r="N935" s="3" t="s">
        <v>34</v>
      </c>
      <c r="T93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35" t="str">
        <f>IF(Table1[[#This Row],[Customer Rating]]&gt;=9,"Promoter",IF(Table1[[#This Row],[Customer Rating]]&gt;=7,"Passive","Detractor"))</f>
        <v>Detractor</v>
      </c>
    </row>
    <row r="936" spans="1:21" ht="14.25" customHeight="1" x14ac:dyDescent="0.3">
      <c r="A936" s="3" t="s">
        <v>971</v>
      </c>
      <c r="B936" s="3" t="s">
        <v>29</v>
      </c>
      <c r="C936" s="3" t="s">
        <v>27</v>
      </c>
      <c r="D936" s="14">
        <v>45933</v>
      </c>
      <c r="E936" s="11">
        <f>1</f>
        <v>1</v>
      </c>
      <c r="F936" s="14">
        <v>45936</v>
      </c>
      <c r="G936" s="11">
        <f>IF(Table1[[#This Row],[Pre-Booking Date]]&lt;&gt;"",1,0)</f>
        <v>1</v>
      </c>
      <c r="H936" s="4">
        <v>45938</v>
      </c>
      <c r="I936" s="11">
        <f>IF(Table1[[#This Row],[Booking Date]]&lt;&gt;"",1,0)</f>
        <v>1</v>
      </c>
      <c r="J936" s="30">
        <v>45942</v>
      </c>
      <c r="K936" s="11">
        <f>IF(Table1[[#This Row],[Delivery Date]]&lt;&gt;"",1,0)</f>
        <v>1</v>
      </c>
      <c r="L936" s="3" t="s">
        <v>2</v>
      </c>
      <c r="M936" s="3">
        <f>IF(Table1[[#This Row],[Cancellation Status]]&lt;&gt;"Yes",1,0)</f>
        <v>1</v>
      </c>
      <c r="O936" s="30">
        <v>45959</v>
      </c>
      <c r="P936" s="3">
        <v>3</v>
      </c>
      <c r="Q936" s="3">
        <v>2</v>
      </c>
      <c r="R936" s="3">
        <v>4</v>
      </c>
      <c r="S936" s="3">
        <v>4</v>
      </c>
      <c r="T93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36" t="str">
        <f>IF(Table1[[#This Row],[Customer Rating]]&gt;=9,"Promoter",IF(Table1[[#This Row],[Customer Rating]]&gt;=7,"Passive","Detractor"))</f>
        <v>Detractor</v>
      </c>
    </row>
    <row r="937" spans="1:21" ht="14.25" customHeight="1" x14ac:dyDescent="0.3">
      <c r="A937" s="3" t="s">
        <v>972</v>
      </c>
      <c r="B937" s="3" t="s">
        <v>29</v>
      </c>
      <c r="C937" s="3" t="s">
        <v>27</v>
      </c>
      <c r="D937" s="14">
        <v>45933</v>
      </c>
      <c r="E937" s="11">
        <f>1</f>
        <v>1</v>
      </c>
      <c r="F937" s="14">
        <v>45938</v>
      </c>
      <c r="G937" s="11">
        <f>IF(Table1[[#This Row],[Pre-Booking Date]]&lt;&gt;"",1,0)</f>
        <v>1</v>
      </c>
      <c r="H937" s="4">
        <v>45940</v>
      </c>
      <c r="I937" s="11">
        <f>IF(Table1[[#This Row],[Booking Date]]&lt;&gt;"",1,0)</f>
        <v>1</v>
      </c>
      <c r="J937" s="30">
        <v>45942</v>
      </c>
      <c r="K937" s="11">
        <f>IF(Table1[[#This Row],[Delivery Date]]&lt;&gt;"",1,0)</f>
        <v>1</v>
      </c>
      <c r="L937" s="3" t="s">
        <v>2</v>
      </c>
      <c r="M937" s="3">
        <f>IF(Table1[[#This Row],[Cancellation Status]]&lt;&gt;"Yes",1,0)</f>
        <v>1</v>
      </c>
      <c r="O937" s="30">
        <v>45972</v>
      </c>
      <c r="P937" s="3">
        <v>5</v>
      </c>
      <c r="Q937" s="3">
        <v>2</v>
      </c>
      <c r="R937" s="3">
        <v>2</v>
      </c>
      <c r="S937" s="3">
        <v>1</v>
      </c>
      <c r="T93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37" t="str">
        <f>IF(Table1[[#This Row],[Customer Rating]]&gt;=9,"Promoter",IF(Table1[[#This Row],[Customer Rating]]&gt;=7,"Passive","Detractor"))</f>
        <v>Detractor</v>
      </c>
    </row>
    <row r="938" spans="1:21" ht="14.25" customHeight="1" x14ac:dyDescent="0.3">
      <c r="A938" s="3" t="s">
        <v>973</v>
      </c>
      <c r="B938" s="3" t="s">
        <v>26</v>
      </c>
      <c r="C938" s="3" t="s">
        <v>27</v>
      </c>
      <c r="D938" s="14">
        <v>45933</v>
      </c>
      <c r="E938" s="11">
        <f>1</f>
        <v>1</v>
      </c>
      <c r="F938" s="14">
        <v>45937</v>
      </c>
      <c r="G938" s="11">
        <f>IF(Table1[[#This Row],[Pre-Booking Date]]&lt;&gt;"",1,0)</f>
        <v>1</v>
      </c>
      <c r="H938" s="4">
        <v>45941</v>
      </c>
      <c r="I938" s="11">
        <f>IF(Table1[[#This Row],[Booking Date]]&lt;&gt;"",1,0)</f>
        <v>1</v>
      </c>
      <c r="J938" s="30">
        <v>45944</v>
      </c>
      <c r="K938" s="11">
        <f>IF(Table1[[#This Row],[Delivery Date]]&lt;&gt;"",1,0)</f>
        <v>1</v>
      </c>
      <c r="L938" s="3" t="s">
        <v>2</v>
      </c>
      <c r="M938" s="3">
        <f>IF(Table1[[#This Row],[Cancellation Status]]&lt;&gt;"Yes",1,0)</f>
        <v>1</v>
      </c>
      <c r="O938" s="30">
        <v>45964</v>
      </c>
      <c r="P938" s="3">
        <v>4</v>
      </c>
      <c r="Q938" s="3">
        <v>4</v>
      </c>
      <c r="R938" s="3">
        <v>3</v>
      </c>
      <c r="S938" s="3">
        <v>6</v>
      </c>
      <c r="T93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38" t="str">
        <f>IF(Table1[[#This Row],[Customer Rating]]&gt;=9,"Promoter",IF(Table1[[#This Row],[Customer Rating]]&gt;=7,"Passive","Detractor"))</f>
        <v>Detractor</v>
      </c>
    </row>
    <row r="939" spans="1:21" ht="14.25" customHeight="1" x14ac:dyDescent="0.3">
      <c r="A939" s="3" t="s">
        <v>974</v>
      </c>
      <c r="B939" s="3" t="s">
        <v>39</v>
      </c>
      <c r="C939" s="3" t="s">
        <v>27</v>
      </c>
      <c r="D939" s="14">
        <v>45933</v>
      </c>
      <c r="E939" s="11">
        <f>1</f>
        <v>1</v>
      </c>
      <c r="F939" s="14">
        <v>45938</v>
      </c>
      <c r="G939" s="11">
        <f>IF(Table1[[#This Row],[Pre-Booking Date]]&lt;&gt;"",1,0)</f>
        <v>1</v>
      </c>
      <c r="H939" s="4">
        <v>45943</v>
      </c>
      <c r="I939" s="11">
        <f>IF(Table1[[#This Row],[Booking Date]]&lt;&gt;"",1,0)</f>
        <v>1</v>
      </c>
      <c r="J939" s="30">
        <v>45950</v>
      </c>
      <c r="K939" s="11">
        <f>IF(Table1[[#This Row],[Delivery Date]]&lt;&gt;"",1,0)</f>
        <v>1</v>
      </c>
      <c r="L939" s="3" t="s">
        <v>2</v>
      </c>
      <c r="M939" s="3">
        <f>IF(Table1[[#This Row],[Cancellation Status]]&lt;&gt;"Yes",1,0)</f>
        <v>1</v>
      </c>
      <c r="O939" s="30">
        <v>45966</v>
      </c>
      <c r="P939" s="3">
        <v>5</v>
      </c>
      <c r="Q939" s="3">
        <v>5</v>
      </c>
      <c r="R939" s="3">
        <v>7</v>
      </c>
      <c r="S939" s="3">
        <v>1</v>
      </c>
      <c r="T93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39" t="str">
        <f>IF(Table1[[#This Row],[Customer Rating]]&gt;=9,"Promoter",IF(Table1[[#This Row],[Customer Rating]]&gt;=7,"Passive","Detractor"))</f>
        <v>Detractor</v>
      </c>
    </row>
    <row r="940" spans="1:21" ht="14.25" customHeight="1" x14ac:dyDescent="0.3">
      <c r="A940" s="3" t="s">
        <v>975</v>
      </c>
      <c r="B940" s="3" t="s">
        <v>32</v>
      </c>
      <c r="C940" s="3" t="s">
        <v>27</v>
      </c>
      <c r="D940" s="14">
        <v>45933</v>
      </c>
      <c r="E940" s="11">
        <f>1</f>
        <v>1</v>
      </c>
      <c r="F940" s="14">
        <v>45937</v>
      </c>
      <c r="G940" s="11">
        <f>IF(Table1[[#This Row],[Pre-Booking Date]]&lt;&gt;"",1,0)</f>
        <v>1</v>
      </c>
      <c r="H940" s="4">
        <v>45938</v>
      </c>
      <c r="I940" s="11">
        <f>IF(Table1[[#This Row],[Booking Date]]&lt;&gt;"",1,0)</f>
        <v>1</v>
      </c>
      <c r="J940" s="30">
        <v>45940</v>
      </c>
      <c r="K940" s="11">
        <f>IF(Table1[[#This Row],[Delivery Date]]&lt;&gt;"",1,0)</f>
        <v>1</v>
      </c>
      <c r="L940" s="3" t="s">
        <v>2</v>
      </c>
      <c r="M940" s="3">
        <f>IF(Table1[[#This Row],[Cancellation Status]]&lt;&gt;"Yes",1,0)</f>
        <v>1</v>
      </c>
      <c r="O940" s="30">
        <v>45954</v>
      </c>
      <c r="P940" s="3">
        <v>4</v>
      </c>
      <c r="Q940" s="3">
        <v>1</v>
      </c>
      <c r="R940" s="3">
        <v>2</v>
      </c>
      <c r="S940" s="3">
        <v>5</v>
      </c>
      <c r="T94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40" t="str">
        <f>IF(Table1[[#This Row],[Customer Rating]]&gt;=9,"Promoter",IF(Table1[[#This Row],[Customer Rating]]&gt;=7,"Passive","Detractor"))</f>
        <v>Detractor</v>
      </c>
    </row>
    <row r="941" spans="1:21" ht="14.25" customHeight="1" x14ac:dyDescent="0.3">
      <c r="A941" s="3" t="s">
        <v>976</v>
      </c>
      <c r="B941" s="3" t="s">
        <v>29</v>
      </c>
      <c r="C941" s="3" t="s">
        <v>30</v>
      </c>
      <c r="D941" s="14">
        <v>45933</v>
      </c>
      <c r="E941" s="11">
        <f>1</f>
        <v>1</v>
      </c>
      <c r="F941" s="14">
        <v>45935</v>
      </c>
      <c r="G941" s="11">
        <f>IF(Table1[[#This Row],[Pre-Booking Date]]&lt;&gt;"",1,0)</f>
        <v>1</v>
      </c>
      <c r="H941" s="4">
        <v>45940</v>
      </c>
      <c r="I941" s="11">
        <f>IF(Table1[[#This Row],[Booking Date]]&lt;&gt;"",1,0)</f>
        <v>1</v>
      </c>
      <c r="J941" s="30">
        <v>45942</v>
      </c>
      <c r="K941" s="11">
        <f>IF(Table1[[#This Row],[Delivery Date]]&lt;&gt;"",1,0)</f>
        <v>1</v>
      </c>
      <c r="L941" s="3" t="s">
        <v>2</v>
      </c>
      <c r="M941" s="3">
        <f>IF(Table1[[#This Row],[Cancellation Status]]&lt;&gt;"Yes",1,0)</f>
        <v>1</v>
      </c>
      <c r="O941" s="30">
        <v>45958</v>
      </c>
      <c r="P941" s="3">
        <v>2</v>
      </c>
      <c r="Q941" s="3">
        <v>5</v>
      </c>
      <c r="R941" s="3">
        <v>2</v>
      </c>
      <c r="S941" s="3">
        <v>3</v>
      </c>
      <c r="T94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41" t="str">
        <f>IF(Table1[[#This Row],[Customer Rating]]&gt;=9,"Promoter",IF(Table1[[#This Row],[Customer Rating]]&gt;=7,"Passive","Detractor"))</f>
        <v>Detractor</v>
      </c>
    </row>
    <row r="942" spans="1:21" ht="14.25" customHeight="1" x14ac:dyDescent="0.3">
      <c r="A942" s="3" t="s">
        <v>977</v>
      </c>
      <c r="B942" s="3" t="s">
        <v>32</v>
      </c>
      <c r="C942" s="3" t="s">
        <v>30</v>
      </c>
      <c r="D942" s="14">
        <v>45933</v>
      </c>
      <c r="E942" s="11">
        <f>1</f>
        <v>1</v>
      </c>
      <c r="F942" s="14">
        <v>45936</v>
      </c>
      <c r="G942" s="11">
        <f>IF(Table1[[#This Row],[Pre-Booking Date]]&lt;&gt;"",1,0)</f>
        <v>1</v>
      </c>
      <c r="H942" s="4">
        <v>45939</v>
      </c>
      <c r="I942" s="11">
        <f>IF(Table1[[#This Row],[Booking Date]]&lt;&gt;"",1,0)</f>
        <v>1</v>
      </c>
      <c r="J942" s="30">
        <v>45945</v>
      </c>
      <c r="K942" s="11">
        <f>IF(Table1[[#This Row],[Delivery Date]]&lt;&gt;"",1,0)</f>
        <v>1</v>
      </c>
      <c r="L942" s="3" t="s">
        <v>3</v>
      </c>
      <c r="M942" s="3">
        <f>IF(Table1[[#This Row],[Cancellation Status]]&lt;&gt;"Yes",1,0)</f>
        <v>0</v>
      </c>
      <c r="N942" s="3" t="s">
        <v>37</v>
      </c>
      <c r="P942" s="3">
        <v>3</v>
      </c>
      <c r="Q942" s="3">
        <v>3</v>
      </c>
      <c r="R942" s="3">
        <v>6</v>
      </c>
      <c r="T94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42" t="str">
        <f>IF(Table1[[#This Row],[Customer Rating]]&gt;=9,"Promoter",IF(Table1[[#This Row],[Customer Rating]]&gt;=7,"Passive","Detractor"))</f>
        <v>Detractor</v>
      </c>
    </row>
    <row r="943" spans="1:21" ht="14.25" customHeight="1" x14ac:dyDescent="0.3">
      <c r="A943" s="3" t="s">
        <v>978</v>
      </c>
      <c r="B943" s="3" t="s">
        <v>26</v>
      </c>
      <c r="C943" s="3" t="s">
        <v>33</v>
      </c>
      <c r="D943" s="14">
        <v>45933</v>
      </c>
      <c r="E943" s="11">
        <f>1</f>
        <v>1</v>
      </c>
      <c r="G943" s="12">
        <f>IF(Table1[[#This Row],[Pre-Booking Date]]&lt;&gt;"",1,0)</f>
        <v>0</v>
      </c>
      <c r="I943" s="12">
        <f>IF(Table1[[#This Row],[Booking Date]]&lt;&gt;"",1,0)</f>
        <v>0</v>
      </c>
      <c r="K943" s="12">
        <f>IF(Table1[[#This Row],[Delivery Date]]&lt;&gt;"",1,0)</f>
        <v>0</v>
      </c>
      <c r="L943" s="3" t="s">
        <v>3</v>
      </c>
      <c r="M943" s="3">
        <f>IF(Table1[[#This Row],[Cancellation Status]]&lt;&gt;"Yes",1,0)</f>
        <v>0</v>
      </c>
      <c r="N943" s="3" t="s">
        <v>37</v>
      </c>
      <c r="T94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43" t="str">
        <f>IF(Table1[[#This Row],[Customer Rating]]&gt;=9,"Promoter",IF(Table1[[#This Row],[Customer Rating]]&gt;=7,"Passive","Detractor"))</f>
        <v>Detractor</v>
      </c>
    </row>
    <row r="944" spans="1:21" ht="14.25" customHeight="1" x14ac:dyDescent="0.3">
      <c r="A944" s="3" t="s">
        <v>979</v>
      </c>
      <c r="B944" s="3" t="s">
        <v>39</v>
      </c>
      <c r="C944" s="3" t="s">
        <v>30</v>
      </c>
      <c r="D944" s="14">
        <v>45933</v>
      </c>
      <c r="E944" s="11">
        <f>1</f>
        <v>1</v>
      </c>
      <c r="F944" s="14">
        <v>45934</v>
      </c>
      <c r="G944" s="11">
        <f>IF(Table1[[#This Row],[Pre-Booking Date]]&lt;&gt;"",1,0)</f>
        <v>1</v>
      </c>
      <c r="H944" s="4">
        <v>45935</v>
      </c>
      <c r="I944" s="11">
        <f>IF(Table1[[#This Row],[Booking Date]]&lt;&gt;"",1,0)</f>
        <v>1</v>
      </c>
      <c r="J944" s="30">
        <v>45938</v>
      </c>
      <c r="K944" s="11">
        <f>IF(Table1[[#This Row],[Delivery Date]]&lt;&gt;"",1,0)</f>
        <v>1</v>
      </c>
      <c r="L944" s="3" t="s">
        <v>2</v>
      </c>
      <c r="M944" s="3">
        <f>IF(Table1[[#This Row],[Cancellation Status]]&lt;&gt;"Yes",1,0)</f>
        <v>1</v>
      </c>
      <c r="O944" s="30">
        <v>45951</v>
      </c>
      <c r="P944" s="3">
        <v>1</v>
      </c>
      <c r="Q944" s="3">
        <v>1</v>
      </c>
      <c r="R944" s="3">
        <v>3</v>
      </c>
      <c r="S944" s="3">
        <v>6</v>
      </c>
      <c r="T94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44" t="str">
        <f>IF(Table1[[#This Row],[Customer Rating]]&gt;=9,"Promoter",IF(Table1[[#This Row],[Customer Rating]]&gt;=7,"Passive","Detractor"))</f>
        <v>Detractor</v>
      </c>
    </row>
    <row r="945" spans="1:21" ht="14.25" customHeight="1" x14ac:dyDescent="0.3">
      <c r="A945" s="3" t="s">
        <v>980</v>
      </c>
      <c r="B945" s="3" t="s">
        <v>29</v>
      </c>
      <c r="C945" s="3" t="s">
        <v>30</v>
      </c>
      <c r="D945" s="14">
        <v>45933</v>
      </c>
      <c r="E945" s="11">
        <f>1</f>
        <v>1</v>
      </c>
      <c r="F945" s="14">
        <v>45938</v>
      </c>
      <c r="G945" s="11">
        <f>IF(Table1[[#This Row],[Pre-Booking Date]]&lt;&gt;"",1,0)</f>
        <v>1</v>
      </c>
      <c r="H945" s="4">
        <v>45940</v>
      </c>
      <c r="I945" s="11">
        <f>IF(Table1[[#This Row],[Booking Date]]&lt;&gt;"",1,0)</f>
        <v>1</v>
      </c>
      <c r="J945" s="30">
        <v>45943</v>
      </c>
      <c r="K945" s="11">
        <f>IF(Table1[[#This Row],[Delivery Date]]&lt;&gt;"",1,0)</f>
        <v>1</v>
      </c>
      <c r="L945" s="3" t="s">
        <v>2</v>
      </c>
      <c r="M945" s="3">
        <f>IF(Table1[[#This Row],[Cancellation Status]]&lt;&gt;"Yes",1,0)</f>
        <v>1</v>
      </c>
      <c r="O945" s="30">
        <v>45956</v>
      </c>
      <c r="P945" s="3">
        <v>5</v>
      </c>
      <c r="Q945" s="3">
        <v>2</v>
      </c>
      <c r="R945" s="3">
        <v>3</v>
      </c>
      <c r="S945" s="3">
        <v>8</v>
      </c>
      <c r="T94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45" t="str">
        <f>IF(Table1[[#This Row],[Customer Rating]]&gt;=9,"Promoter",IF(Table1[[#This Row],[Customer Rating]]&gt;=7,"Passive","Detractor"))</f>
        <v>Passive</v>
      </c>
    </row>
    <row r="946" spans="1:21" ht="14.25" customHeight="1" x14ac:dyDescent="0.3">
      <c r="A946" s="3" t="s">
        <v>981</v>
      </c>
      <c r="B946" s="3" t="s">
        <v>39</v>
      </c>
      <c r="C946" s="3" t="s">
        <v>33</v>
      </c>
      <c r="D946" s="14">
        <v>45933</v>
      </c>
      <c r="E946" s="11">
        <f>1</f>
        <v>1</v>
      </c>
      <c r="G946" s="12">
        <f>IF(Table1[[#This Row],[Pre-Booking Date]]&lt;&gt;"",1,0)</f>
        <v>0</v>
      </c>
      <c r="I946" s="12">
        <f>IF(Table1[[#This Row],[Booking Date]]&lt;&gt;"",1,0)</f>
        <v>0</v>
      </c>
      <c r="K946" s="12">
        <f>IF(Table1[[#This Row],[Delivery Date]]&lt;&gt;"",1,0)</f>
        <v>0</v>
      </c>
      <c r="L946" s="3" t="s">
        <v>3</v>
      </c>
      <c r="M946" s="3">
        <f>IF(Table1[[#This Row],[Cancellation Status]]&lt;&gt;"Yes",1,0)</f>
        <v>0</v>
      </c>
      <c r="N946" s="3" t="s">
        <v>52</v>
      </c>
      <c r="T94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46" t="str">
        <f>IF(Table1[[#This Row],[Customer Rating]]&gt;=9,"Promoter",IF(Table1[[#This Row],[Customer Rating]]&gt;=7,"Passive","Detractor"))</f>
        <v>Detractor</v>
      </c>
    </row>
    <row r="947" spans="1:21" ht="14.25" customHeight="1" x14ac:dyDescent="0.3">
      <c r="A947" s="3" t="s">
        <v>982</v>
      </c>
      <c r="B947" s="3" t="s">
        <v>26</v>
      </c>
      <c r="C947" s="3" t="s">
        <v>27</v>
      </c>
      <c r="D947" s="14">
        <v>45933</v>
      </c>
      <c r="E947" s="11">
        <f>1</f>
        <v>1</v>
      </c>
      <c r="F947" s="14">
        <v>45938</v>
      </c>
      <c r="G947" s="11">
        <f>IF(Table1[[#This Row],[Pre-Booking Date]]&lt;&gt;"",1,0)</f>
        <v>1</v>
      </c>
      <c r="H947" s="4">
        <v>45940</v>
      </c>
      <c r="I947" s="11">
        <f>IF(Table1[[#This Row],[Booking Date]]&lt;&gt;"",1,0)</f>
        <v>1</v>
      </c>
      <c r="J947" s="30">
        <v>45943</v>
      </c>
      <c r="K947" s="11">
        <f>IF(Table1[[#This Row],[Delivery Date]]&lt;&gt;"",1,0)</f>
        <v>1</v>
      </c>
      <c r="L947" s="3" t="s">
        <v>2</v>
      </c>
      <c r="M947" s="3">
        <f>IF(Table1[[#This Row],[Cancellation Status]]&lt;&gt;"Yes",1,0)</f>
        <v>1</v>
      </c>
      <c r="O947" s="30">
        <v>45967</v>
      </c>
      <c r="P947" s="3">
        <v>5</v>
      </c>
      <c r="Q947" s="3">
        <v>2</v>
      </c>
      <c r="R947" s="3">
        <v>3</v>
      </c>
      <c r="S947" s="3">
        <v>4</v>
      </c>
      <c r="T94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47" t="str">
        <f>IF(Table1[[#This Row],[Customer Rating]]&gt;=9,"Promoter",IF(Table1[[#This Row],[Customer Rating]]&gt;=7,"Passive","Detractor"))</f>
        <v>Detractor</v>
      </c>
    </row>
    <row r="948" spans="1:21" ht="14.25" customHeight="1" x14ac:dyDescent="0.3">
      <c r="A948" s="3" t="s">
        <v>983</v>
      </c>
      <c r="B948" s="3" t="s">
        <v>32</v>
      </c>
      <c r="C948" s="3" t="s">
        <v>33</v>
      </c>
      <c r="D948" s="14">
        <v>45932</v>
      </c>
      <c r="E948" s="11">
        <f>1</f>
        <v>1</v>
      </c>
      <c r="G948" s="12">
        <f>IF(Table1[[#This Row],[Pre-Booking Date]]&lt;&gt;"",1,0)</f>
        <v>0</v>
      </c>
      <c r="I948" s="12">
        <f>IF(Table1[[#This Row],[Booking Date]]&lt;&gt;"",1,0)</f>
        <v>0</v>
      </c>
      <c r="K948" s="12">
        <f>IF(Table1[[#This Row],[Delivery Date]]&lt;&gt;"",1,0)</f>
        <v>0</v>
      </c>
      <c r="L948" s="3" t="s">
        <v>3</v>
      </c>
      <c r="M948" s="3">
        <f>IF(Table1[[#This Row],[Cancellation Status]]&lt;&gt;"Yes",1,0)</f>
        <v>0</v>
      </c>
      <c r="N948" s="3" t="s">
        <v>52</v>
      </c>
      <c r="T94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48" t="str">
        <f>IF(Table1[[#This Row],[Customer Rating]]&gt;=9,"Promoter",IF(Table1[[#This Row],[Customer Rating]]&gt;=7,"Passive","Detractor"))</f>
        <v>Detractor</v>
      </c>
    </row>
    <row r="949" spans="1:21" ht="14.25" customHeight="1" x14ac:dyDescent="0.3">
      <c r="A949" s="3" t="s">
        <v>984</v>
      </c>
      <c r="B949" s="3" t="s">
        <v>32</v>
      </c>
      <c r="C949" s="3" t="s">
        <v>33</v>
      </c>
      <c r="D949" s="14">
        <v>45932</v>
      </c>
      <c r="E949" s="11">
        <f>1</f>
        <v>1</v>
      </c>
      <c r="G949" s="12">
        <f>IF(Table1[[#This Row],[Pre-Booking Date]]&lt;&gt;"",1,0)</f>
        <v>0</v>
      </c>
      <c r="I949" s="12">
        <f>IF(Table1[[#This Row],[Booking Date]]&lt;&gt;"",1,0)</f>
        <v>0</v>
      </c>
      <c r="K949" s="12">
        <f>IF(Table1[[#This Row],[Delivery Date]]&lt;&gt;"",1,0)</f>
        <v>0</v>
      </c>
      <c r="L949" s="3" t="s">
        <v>3</v>
      </c>
      <c r="M949" s="3">
        <f>IF(Table1[[#This Row],[Cancellation Status]]&lt;&gt;"Yes",1,0)</f>
        <v>0</v>
      </c>
      <c r="N949" s="3" t="s">
        <v>42</v>
      </c>
      <c r="T94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49" t="str">
        <f>IF(Table1[[#This Row],[Customer Rating]]&gt;=9,"Promoter",IF(Table1[[#This Row],[Customer Rating]]&gt;=7,"Passive","Detractor"))</f>
        <v>Detractor</v>
      </c>
    </row>
    <row r="950" spans="1:21" ht="14.25" customHeight="1" x14ac:dyDescent="0.3">
      <c r="A950" s="3" t="s">
        <v>985</v>
      </c>
      <c r="B950" s="3" t="s">
        <v>39</v>
      </c>
      <c r="C950" s="3" t="s">
        <v>30</v>
      </c>
      <c r="D950" s="14">
        <v>45932</v>
      </c>
      <c r="E950" s="11">
        <f>1</f>
        <v>1</v>
      </c>
      <c r="F950" s="14">
        <v>45934</v>
      </c>
      <c r="G950" s="11">
        <f>IF(Table1[[#This Row],[Pre-Booking Date]]&lt;&gt;"",1,0)</f>
        <v>1</v>
      </c>
      <c r="H950" s="4">
        <v>45936</v>
      </c>
      <c r="I950" s="11">
        <f>IF(Table1[[#This Row],[Booking Date]]&lt;&gt;"",1,0)</f>
        <v>1</v>
      </c>
      <c r="J950" s="30">
        <v>45938</v>
      </c>
      <c r="K950" s="11">
        <f>IF(Table1[[#This Row],[Delivery Date]]&lt;&gt;"",1,0)</f>
        <v>1</v>
      </c>
      <c r="L950" s="3" t="s">
        <v>2</v>
      </c>
      <c r="M950" s="3">
        <f>IF(Table1[[#This Row],[Cancellation Status]]&lt;&gt;"Yes",1,0)</f>
        <v>1</v>
      </c>
      <c r="O950" s="30">
        <v>45953</v>
      </c>
      <c r="P950" s="3">
        <v>2</v>
      </c>
      <c r="Q950" s="3">
        <v>2</v>
      </c>
      <c r="R950" s="3">
        <v>2</v>
      </c>
      <c r="S950" s="3">
        <v>6</v>
      </c>
      <c r="T95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50" t="str">
        <f>IF(Table1[[#This Row],[Customer Rating]]&gt;=9,"Promoter",IF(Table1[[#This Row],[Customer Rating]]&gt;=7,"Passive","Detractor"))</f>
        <v>Detractor</v>
      </c>
    </row>
    <row r="951" spans="1:21" ht="14.25" customHeight="1" x14ac:dyDescent="0.3">
      <c r="A951" s="3" t="s">
        <v>986</v>
      </c>
      <c r="B951" s="3" t="s">
        <v>26</v>
      </c>
      <c r="C951" s="3" t="s">
        <v>30</v>
      </c>
      <c r="D951" s="14">
        <v>45932</v>
      </c>
      <c r="E951" s="11">
        <f>1</f>
        <v>1</v>
      </c>
      <c r="F951" s="14">
        <v>45937</v>
      </c>
      <c r="G951" s="11">
        <f>IF(Table1[[#This Row],[Pre-Booking Date]]&lt;&gt;"",1,0)</f>
        <v>1</v>
      </c>
      <c r="H951" s="4">
        <v>45940</v>
      </c>
      <c r="I951" s="11">
        <f>IF(Table1[[#This Row],[Booking Date]]&lt;&gt;"",1,0)</f>
        <v>1</v>
      </c>
      <c r="J951" s="30">
        <v>45945</v>
      </c>
      <c r="K951" s="11">
        <f>IF(Table1[[#This Row],[Delivery Date]]&lt;&gt;"",1,0)</f>
        <v>1</v>
      </c>
      <c r="L951" s="3" t="s">
        <v>2</v>
      </c>
      <c r="M951" s="3">
        <f>IF(Table1[[#This Row],[Cancellation Status]]&lt;&gt;"Yes",1,0)</f>
        <v>1</v>
      </c>
      <c r="O951" s="30">
        <v>45974</v>
      </c>
      <c r="P951" s="3">
        <v>5</v>
      </c>
      <c r="Q951" s="3">
        <v>3</v>
      </c>
      <c r="R951" s="3">
        <v>5</v>
      </c>
      <c r="S951" s="3">
        <v>7</v>
      </c>
      <c r="T95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51" t="str">
        <f>IF(Table1[[#This Row],[Customer Rating]]&gt;=9,"Promoter",IF(Table1[[#This Row],[Customer Rating]]&gt;=7,"Passive","Detractor"))</f>
        <v>Passive</v>
      </c>
    </row>
    <row r="952" spans="1:21" ht="14.25" customHeight="1" x14ac:dyDescent="0.3">
      <c r="A952" s="3" t="s">
        <v>987</v>
      </c>
      <c r="B952" s="3" t="s">
        <v>26</v>
      </c>
      <c r="C952" s="3" t="s">
        <v>33</v>
      </c>
      <c r="D952" s="14">
        <v>45932</v>
      </c>
      <c r="E952" s="11">
        <f>1</f>
        <v>1</v>
      </c>
      <c r="G952" s="12">
        <f>IF(Table1[[#This Row],[Pre-Booking Date]]&lt;&gt;"",1,0)</f>
        <v>0</v>
      </c>
      <c r="I952" s="12">
        <f>IF(Table1[[#This Row],[Booking Date]]&lt;&gt;"",1,0)</f>
        <v>0</v>
      </c>
      <c r="K952" s="12">
        <f>IF(Table1[[#This Row],[Delivery Date]]&lt;&gt;"",1,0)</f>
        <v>0</v>
      </c>
      <c r="L952" s="3" t="s">
        <v>3</v>
      </c>
      <c r="M952" s="3">
        <f>IF(Table1[[#This Row],[Cancellation Status]]&lt;&gt;"Yes",1,0)</f>
        <v>0</v>
      </c>
      <c r="N952" s="3" t="s">
        <v>55</v>
      </c>
      <c r="T95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52" t="str">
        <f>IF(Table1[[#This Row],[Customer Rating]]&gt;=9,"Promoter",IF(Table1[[#This Row],[Customer Rating]]&gt;=7,"Passive","Detractor"))</f>
        <v>Detractor</v>
      </c>
    </row>
    <row r="953" spans="1:21" ht="14.25" customHeight="1" x14ac:dyDescent="0.3">
      <c r="A953" s="3" t="s">
        <v>988</v>
      </c>
      <c r="B953" s="3" t="s">
        <v>32</v>
      </c>
      <c r="C953" s="3" t="s">
        <v>30</v>
      </c>
      <c r="D953" s="14">
        <v>45932</v>
      </c>
      <c r="E953" s="11">
        <f>1</f>
        <v>1</v>
      </c>
      <c r="F953" s="14">
        <v>45935</v>
      </c>
      <c r="G953" s="11">
        <f>IF(Table1[[#This Row],[Pre-Booking Date]]&lt;&gt;"",1,0)</f>
        <v>1</v>
      </c>
      <c r="H953" s="4">
        <v>45938</v>
      </c>
      <c r="I953" s="11">
        <f>IF(Table1[[#This Row],[Booking Date]]&lt;&gt;"",1,0)</f>
        <v>1</v>
      </c>
      <c r="J953" s="30">
        <v>45942</v>
      </c>
      <c r="K953" s="11">
        <f>IF(Table1[[#This Row],[Delivery Date]]&lt;&gt;"",1,0)</f>
        <v>1</v>
      </c>
      <c r="L953" s="3" t="s">
        <v>2</v>
      </c>
      <c r="M953" s="3">
        <f>IF(Table1[[#This Row],[Cancellation Status]]&lt;&gt;"Yes",1,0)</f>
        <v>1</v>
      </c>
      <c r="O953" s="30">
        <v>45958</v>
      </c>
      <c r="P953" s="3">
        <v>3</v>
      </c>
      <c r="Q953" s="3">
        <v>3</v>
      </c>
      <c r="R953" s="3">
        <v>4</v>
      </c>
      <c r="S953" s="3">
        <v>6</v>
      </c>
      <c r="T95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53" t="str">
        <f>IF(Table1[[#This Row],[Customer Rating]]&gt;=9,"Promoter",IF(Table1[[#This Row],[Customer Rating]]&gt;=7,"Passive","Detractor"))</f>
        <v>Detractor</v>
      </c>
    </row>
    <row r="954" spans="1:21" ht="14.25" customHeight="1" x14ac:dyDescent="0.3">
      <c r="A954" s="3" t="s">
        <v>989</v>
      </c>
      <c r="B954" s="3" t="s">
        <v>32</v>
      </c>
      <c r="C954" s="3" t="s">
        <v>27</v>
      </c>
      <c r="D954" s="14">
        <v>45932</v>
      </c>
      <c r="E954" s="11">
        <f>1</f>
        <v>1</v>
      </c>
      <c r="F954" s="14">
        <v>45935</v>
      </c>
      <c r="G954" s="11">
        <f>IF(Table1[[#This Row],[Pre-Booking Date]]&lt;&gt;"",1,0)</f>
        <v>1</v>
      </c>
      <c r="H954" s="4">
        <v>45938</v>
      </c>
      <c r="I954" s="11">
        <f>IF(Table1[[#This Row],[Booking Date]]&lt;&gt;"",1,0)</f>
        <v>1</v>
      </c>
      <c r="J954" s="30">
        <v>45945</v>
      </c>
      <c r="K954" s="11">
        <f>IF(Table1[[#This Row],[Delivery Date]]&lt;&gt;"",1,0)</f>
        <v>1</v>
      </c>
      <c r="L954" s="3" t="s">
        <v>2</v>
      </c>
      <c r="M954" s="3">
        <f>IF(Table1[[#This Row],[Cancellation Status]]&lt;&gt;"Yes",1,0)</f>
        <v>1</v>
      </c>
      <c r="O954" s="30">
        <v>45969</v>
      </c>
      <c r="P954" s="3">
        <v>3</v>
      </c>
      <c r="Q954" s="3">
        <v>3</v>
      </c>
      <c r="R954" s="3">
        <v>7</v>
      </c>
      <c r="S954" s="3">
        <v>8</v>
      </c>
      <c r="T95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54" t="str">
        <f>IF(Table1[[#This Row],[Customer Rating]]&gt;=9,"Promoter",IF(Table1[[#This Row],[Customer Rating]]&gt;=7,"Passive","Detractor"))</f>
        <v>Passive</v>
      </c>
    </row>
    <row r="955" spans="1:21" ht="14.25" customHeight="1" x14ac:dyDescent="0.3">
      <c r="A955" s="3" t="s">
        <v>990</v>
      </c>
      <c r="B955" s="3" t="s">
        <v>29</v>
      </c>
      <c r="C955" s="3" t="s">
        <v>27</v>
      </c>
      <c r="D955" s="14">
        <v>45932</v>
      </c>
      <c r="E955" s="11">
        <f>1</f>
        <v>1</v>
      </c>
      <c r="F955" s="14">
        <v>45933</v>
      </c>
      <c r="G955" s="11">
        <f>IF(Table1[[#This Row],[Pre-Booking Date]]&lt;&gt;"",1,0)</f>
        <v>1</v>
      </c>
      <c r="H955" s="4">
        <v>45934</v>
      </c>
      <c r="I955" s="11">
        <f>IF(Table1[[#This Row],[Booking Date]]&lt;&gt;"",1,0)</f>
        <v>1</v>
      </c>
      <c r="J955" s="30">
        <v>45940</v>
      </c>
      <c r="K955" s="11">
        <f>IF(Table1[[#This Row],[Delivery Date]]&lt;&gt;"",1,0)</f>
        <v>1</v>
      </c>
      <c r="L955" s="3" t="s">
        <v>2</v>
      </c>
      <c r="M955" s="3">
        <f>IF(Table1[[#This Row],[Cancellation Status]]&lt;&gt;"Yes",1,0)</f>
        <v>1</v>
      </c>
      <c r="O955" s="30">
        <v>45968</v>
      </c>
      <c r="P955" s="3">
        <v>1</v>
      </c>
      <c r="Q955" s="3">
        <v>1</v>
      </c>
      <c r="R955" s="3">
        <v>6</v>
      </c>
      <c r="S955" s="3">
        <v>8</v>
      </c>
      <c r="T95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55" t="str">
        <f>IF(Table1[[#This Row],[Customer Rating]]&gt;=9,"Promoter",IF(Table1[[#This Row],[Customer Rating]]&gt;=7,"Passive","Detractor"))</f>
        <v>Passive</v>
      </c>
    </row>
    <row r="956" spans="1:21" ht="14.25" customHeight="1" x14ac:dyDescent="0.3">
      <c r="A956" s="3" t="s">
        <v>991</v>
      </c>
      <c r="B956" s="3" t="s">
        <v>32</v>
      </c>
      <c r="C956" s="3" t="s">
        <v>30</v>
      </c>
      <c r="D956" s="14">
        <v>45932</v>
      </c>
      <c r="E956" s="11">
        <f>1</f>
        <v>1</v>
      </c>
      <c r="F956" s="14">
        <v>45937</v>
      </c>
      <c r="G956" s="11">
        <f>IF(Table1[[#This Row],[Pre-Booking Date]]&lt;&gt;"",1,0)</f>
        <v>1</v>
      </c>
      <c r="H956" s="4">
        <v>45941</v>
      </c>
      <c r="I956" s="11">
        <f>IF(Table1[[#This Row],[Booking Date]]&lt;&gt;"",1,0)</f>
        <v>1</v>
      </c>
      <c r="J956" s="30">
        <v>45943</v>
      </c>
      <c r="K956" s="11">
        <f>IF(Table1[[#This Row],[Delivery Date]]&lt;&gt;"",1,0)</f>
        <v>1</v>
      </c>
      <c r="L956" s="3" t="s">
        <v>3</v>
      </c>
      <c r="M956" s="3">
        <f>IF(Table1[[#This Row],[Cancellation Status]]&lt;&gt;"Yes",1,0)</f>
        <v>0</v>
      </c>
      <c r="N956" s="3" t="s">
        <v>52</v>
      </c>
      <c r="P956" s="3">
        <v>5</v>
      </c>
      <c r="Q956" s="3">
        <v>4</v>
      </c>
      <c r="R956" s="3">
        <v>2</v>
      </c>
      <c r="T95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56" t="str">
        <f>IF(Table1[[#This Row],[Customer Rating]]&gt;=9,"Promoter",IF(Table1[[#This Row],[Customer Rating]]&gt;=7,"Passive","Detractor"))</f>
        <v>Detractor</v>
      </c>
    </row>
    <row r="957" spans="1:21" ht="14.25" customHeight="1" x14ac:dyDescent="0.3">
      <c r="A957" s="3" t="s">
        <v>992</v>
      </c>
      <c r="B957" s="3" t="s">
        <v>39</v>
      </c>
      <c r="C957" s="3" t="s">
        <v>27</v>
      </c>
      <c r="D957" s="14">
        <v>45932</v>
      </c>
      <c r="E957" s="11">
        <f>1</f>
        <v>1</v>
      </c>
      <c r="F957" s="14">
        <v>45936</v>
      </c>
      <c r="G957" s="11">
        <f>IF(Table1[[#This Row],[Pre-Booking Date]]&lt;&gt;"",1,0)</f>
        <v>1</v>
      </c>
      <c r="H957" s="4">
        <v>45940</v>
      </c>
      <c r="I957" s="11">
        <f>IF(Table1[[#This Row],[Booking Date]]&lt;&gt;"",1,0)</f>
        <v>1</v>
      </c>
      <c r="J957" s="30">
        <v>45942</v>
      </c>
      <c r="K957" s="11">
        <f>IF(Table1[[#This Row],[Delivery Date]]&lt;&gt;"",1,0)</f>
        <v>1</v>
      </c>
      <c r="L957" s="3" t="s">
        <v>2</v>
      </c>
      <c r="M957" s="3">
        <f>IF(Table1[[#This Row],[Cancellation Status]]&lt;&gt;"Yes",1,0)</f>
        <v>1</v>
      </c>
      <c r="O957" s="30">
        <v>45966</v>
      </c>
      <c r="P957" s="3">
        <v>4</v>
      </c>
      <c r="Q957" s="3">
        <v>4</v>
      </c>
      <c r="R957" s="3">
        <v>2</v>
      </c>
      <c r="S957" s="3">
        <v>0</v>
      </c>
      <c r="T95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57" t="str">
        <f>IF(Table1[[#This Row],[Customer Rating]]&gt;=9,"Promoter",IF(Table1[[#This Row],[Customer Rating]]&gt;=7,"Passive","Detractor"))</f>
        <v>Detractor</v>
      </c>
    </row>
    <row r="958" spans="1:21" ht="14.25" customHeight="1" x14ac:dyDescent="0.3">
      <c r="A958" s="3" t="s">
        <v>993</v>
      </c>
      <c r="B958" s="3" t="s">
        <v>32</v>
      </c>
      <c r="C958" s="3" t="s">
        <v>30</v>
      </c>
      <c r="D958" s="14">
        <v>45932</v>
      </c>
      <c r="E958" s="11">
        <f>1</f>
        <v>1</v>
      </c>
      <c r="F958" s="14">
        <v>45934</v>
      </c>
      <c r="G958" s="11">
        <f>IF(Table1[[#This Row],[Pre-Booking Date]]&lt;&gt;"",1,0)</f>
        <v>1</v>
      </c>
      <c r="H958" s="4">
        <v>45938</v>
      </c>
      <c r="I958" s="11">
        <f>IF(Table1[[#This Row],[Booking Date]]&lt;&gt;"",1,0)</f>
        <v>1</v>
      </c>
      <c r="J958" s="30">
        <v>45940</v>
      </c>
      <c r="K958" s="11">
        <f>IF(Table1[[#This Row],[Delivery Date]]&lt;&gt;"",1,0)</f>
        <v>1</v>
      </c>
      <c r="L958" s="3" t="s">
        <v>2</v>
      </c>
      <c r="M958" s="3">
        <f>IF(Table1[[#This Row],[Cancellation Status]]&lt;&gt;"Yes",1,0)</f>
        <v>1</v>
      </c>
      <c r="O958" s="30">
        <v>45968</v>
      </c>
      <c r="P958" s="3">
        <v>2</v>
      </c>
      <c r="Q958" s="3">
        <v>4</v>
      </c>
      <c r="R958" s="3">
        <v>2</v>
      </c>
      <c r="S958" s="3">
        <v>10</v>
      </c>
      <c r="T95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58" t="str">
        <f>IF(Table1[[#This Row],[Customer Rating]]&gt;=9,"Promoter",IF(Table1[[#This Row],[Customer Rating]]&gt;=7,"Passive","Detractor"))</f>
        <v>Promoter</v>
      </c>
    </row>
    <row r="959" spans="1:21" ht="14.25" customHeight="1" x14ac:dyDescent="0.3">
      <c r="A959" s="3" t="s">
        <v>994</v>
      </c>
      <c r="B959" s="3" t="s">
        <v>26</v>
      </c>
      <c r="C959" s="3" t="s">
        <v>27</v>
      </c>
      <c r="D959" s="14">
        <v>45932</v>
      </c>
      <c r="E959" s="11">
        <f>1</f>
        <v>1</v>
      </c>
      <c r="F959" s="14">
        <v>45935</v>
      </c>
      <c r="G959" s="11">
        <f>IF(Table1[[#This Row],[Pre-Booking Date]]&lt;&gt;"",1,0)</f>
        <v>1</v>
      </c>
      <c r="H959" s="4">
        <v>45937</v>
      </c>
      <c r="I959" s="11">
        <f>IF(Table1[[#This Row],[Booking Date]]&lt;&gt;"",1,0)</f>
        <v>1</v>
      </c>
      <c r="J959" s="30">
        <v>45944</v>
      </c>
      <c r="K959" s="11">
        <f>IF(Table1[[#This Row],[Delivery Date]]&lt;&gt;"",1,0)</f>
        <v>1</v>
      </c>
      <c r="L959" s="3" t="s">
        <v>2</v>
      </c>
      <c r="M959" s="3">
        <f>IF(Table1[[#This Row],[Cancellation Status]]&lt;&gt;"Yes",1,0)</f>
        <v>1</v>
      </c>
      <c r="O959" s="30">
        <v>45966</v>
      </c>
      <c r="P959" s="3">
        <v>3</v>
      </c>
      <c r="Q959" s="3">
        <v>2</v>
      </c>
      <c r="R959" s="3">
        <v>7</v>
      </c>
      <c r="S959" s="3">
        <v>6</v>
      </c>
      <c r="T95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59" t="str">
        <f>IF(Table1[[#This Row],[Customer Rating]]&gt;=9,"Promoter",IF(Table1[[#This Row],[Customer Rating]]&gt;=7,"Passive","Detractor"))</f>
        <v>Detractor</v>
      </c>
    </row>
    <row r="960" spans="1:21" ht="14.25" customHeight="1" x14ac:dyDescent="0.3">
      <c r="A960" s="3" t="s">
        <v>995</v>
      </c>
      <c r="B960" s="3" t="s">
        <v>26</v>
      </c>
      <c r="C960" s="3" t="s">
        <v>27</v>
      </c>
      <c r="D960" s="14">
        <v>45932</v>
      </c>
      <c r="E960" s="11">
        <f>1</f>
        <v>1</v>
      </c>
      <c r="F960" s="14">
        <v>45934</v>
      </c>
      <c r="G960" s="11">
        <f>IF(Table1[[#This Row],[Pre-Booking Date]]&lt;&gt;"",1,0)</f>
        <v>1</v>
      </c>
      <c r="H960" s="4">
        <v>45939</v>
      </c>
      <c r="I960" s="11">
        <f>IF(Table1[[#This Row],[Booking Date]]&lt;&gt;"",1,0)</f>
        <v>1</v>
      </c>
      <c r="J960" s="30">
        <v>45946</v>
      </c>
      <c r="K960" s="11">
        <f>IF(Table1[[#This Row],[Delivery Date]]&lt;&gt;"",1,0)</f>
        <v>1</v>
      </c>
      <c r="L960" s="3" t="s">
        <v>2</v>
      </c>
      <c r="M960" s="3">
        <f>IF(Table1[[#This Row],[Cancellation Status]]&lt;&gt;"Yes",1,0)</f>
        <v>1</v>
      </c>
      <c r="O960" s="30">
        <v>45963</v>
      </c>
      <c r="P960" s="3">
        <v>2</v>
      </c>
      <c r="Q960" s="3">
        <v>5</v>
      </c>
      <c r="R960" s="3">
        <v>7</v>
      </c>
      <c r="S960" s="3">
        <v>1</v>
      </c>
      <c r="T96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60" t="str">
        <f>IF(Table1[[#This Row],[Customer Rating]]&gt;=9,"Promoter",IF(Table1[[#This Row],[Customer Rating]]&gt;=7,"Passive","Detractor"))</f>
        <v>Detractor</v>
      </c>
    </row>
    <row r="961" spans="1:21" ht="14.25" customHeight="1" x14ac:dyDescent="0.3">
      <c r="A961" s="3" t="s">
        <v>996</v>
      </c>
      <c r="B961" s="3" t="s">
        <v>32</v>
      </c>
      <c r="C961" s="3" t="s">
        <v>27</v>
      </c>
      <c r="D961" s="14">
        <v>45932</v>
      </c>
      <c r="E961" s="11">
        <f>1</f>
        <v>1</v>
      </c>
      <c r="F961" s="14">
        <v>45933</v>
      </c>
      <c r="G961" s="11">
        <f>IF(Table1[[#This Row],[Pre-Booking Date]]&lt;&gt;"",1,0)</f>
        <v>1</v>
      </c>
      <c r="H961" s="4">
        <v>45936</v>
      </c>
      <c r="I961" s="11">
        <f>IF(Table1[[#This Row],[Booking Date]]&lt;&gt;"",1,0)</f>
        <v>1</v>
      </c>
      <c r="J961" s="30">
        <v>45938</v>
      </c>
      <c r="K961" s="11">
        <f>IF(Table1[[#This Row],[Delivery Date]]&lt;&gt;"",1,0)</f>
        <v>1</v>
      </c>
      <c r="L961" s="3" t="s">
        <v>2</v>
      </c>
      <c r="M961" s="3">
        <f>IF(Table1[[#This Row],[Cancellation Status]]&lt;&gt;"Yes",1,0)</f>
        <v>1</v>
      </c>
      <c r="O961" s="30">
        <v>45953</v>
      </c>
      <c r="P961" s="3">
        <v>1</v>
      </c>
      <c r="Q961" s="3">
        <v>3</v>
      </c>
      <c r="R961" s="3">
        <v>2</v>
      </c>
      <c r="S961" s="3">
        <v>7</v>
      </c>
      <c r="T96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61" t="str">
        <f>IF(Table1[[#This Row],[Customer Rating]]&gt;=9,"Promoter",IF(Table1[[#This Row],[Customer Rating]]&gt;=7,"Passive","Detractor"))</f>
        <v>Passive</v>
      </c>
    </row>
    <row r="962" spans="1:21" ht="14.25" customHeight="1" x14ac:dyDescent="0.3">
      <c r="A962" s="3" t="s">
        <v>997</v>
      </c>
      <c r="B962" s="3" t="s">
        <v>26</v>
      </c>
      <c r="C962" s="3" t="s">
        <v>27</v>
      </c>
      <c r="D962" s="14">
        <v>45932</v>
      </c>
      <c r="E962" s="11">
        <f>1</f>
        <v>1</v>
      </c>
      <c r="F962" s="14">
        <v>45935</v>
      </c>
      <c r="G962" s="11">
        <f>IF(Table1[[#This Row],[Pre-Booking Date]]&lt;&gt;"",1,0)</f>
        <v>1</v>
      </c>
      <c r="H962" s="4">
        <v>45940</v>
      </c>
      <c r="I962" s="11">
        <f>IF(Table1[[#This Row],[Booking Date]]&lt;&gt;"",1,0)</f>
        <v>1</v>
      </c>
      <c r="J962" s="30">
        <v>45943</v>
      </c>
      <c r="K962" s="11">
        <f>IF(Table1[[#This Row],[Delivery Date]]&lt;&gt;"",1,0)</f>
        <v>1</v>
      </c>
      <c r="L962" s="3" t="s">
        <v>2</v>
      </c>
      <c r="M962" s="3">
        <f>IF(Table1[[#This Row],[Cancellation Status]]&lt;&gt;"Yes",1,0)</f>
        <v>1</v>
      </c>
      <c r="O962" s="30">
        <v>45961</v>
      </c>
      <c r="P962" s="3">
        <v>3</v>
      </c>
      <c r="Q962" s="3">
        <v>5</v>
      </c>
      <c r="R962" s="3">
        <v>3</v>
      </c>
      <c r="S962" s="3">
        <v>2</v>
      </c>
      <c r="T96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62" t="str">
        <f>IF(Table1[[#This Row],[Customer Rating]]&gt;=9,"Promoter",IF(Table1[[#This Row],[Customer Rating]]&gt;=7,"Passive","Detractor"))</f>
        <v>Detractor</v>
      </c>
    </row>
    <row r="963" spans="1:21" ht="14.25" customHeight="1" x14ac:dyDescent="0.3">
      <c r="A963" s="3" t="s">
        <v>998</v>
      </c>
      <c r="B963" s="3" t="s">
        <v>39</v>
      </c>
      <c r="C963" s="3" t="s">
        <v>27</v>
      </c>
      <c r="D963" s="14">
        <v>45932</v>
      </c>
      <c r="E963" s="11">
        <f>1</f>
        <v>1</v>
      </c>
      <c r="F963" s="14">
        <v>45933</v>
      </c>
      <c r="G963" s="11">
        <f>IF(Table1[[#This Row],[Pre-Booking Date]]&lt;&gt;"",1,0)</f>
        <v>1</v>
      </c>
      <c r="H963" s="4">
        <v>45938</v>
      </c>
      <c r="I963" s="11">
        <f>IF(Table1[[#This Row],[Booking Date]]&lt;&gt;"",1,0)</f>
        <v>1</v>
      </c>
      <c r="J963" s="30">
        <v>45943</v>
      </c>
      <c r="K963" s="11">
        <f>IF(Table1[[#This Row],[Delivery Date]]&lt;&gt;"",1,0)</f>
        <v>1</v>
      </c>
      <c r="L963" s="3" t="s">
        <v>2</v>
      </c>
      <c r="M963" s="3">
        <f>IF(Table1[[#This Row],[Cancellation Status]]&lt;&gt;"Yes",1,0)</f>
        <v>1</v>
      </c>
      <c r="O963" s="30">
        <v>45963</v>
      </c>
      <c r="P963" s="3">
        <v>1</v>
      </c>
      <c r="Q963" s="3">
        <v>5</v>
      </c>
      <c r="R963" s="3">
        <v>5</v>
      </c>
      <c r="S963" s="3">
        <v>3</v>
      </c>
      <c r="T96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63" t="str">
        <f>IF(Table1[[#This Row],[Customer Rating]]&gt;=9,"Promoter",IF(Table1[[#This Row],[Customer Rating]]&gt;=7,"Passive","Detractor"))</f>
        <v>Detractor</v>
      </c>
    </row>
    <row r="964" spans="1:21" ht="14.25" customHeight="1" x14ac:dyDescent="0.3">
      <c r="A964" s="3" t="s">
        <v>999</v>
      </c>
      <c r="B964" s="3" t="s">
        <v>39</v>
      </c>
      <c r="C964" s="3" t="s">
        <v>27</v>
      </c>
      <c r="D964" s="14">
        <v>45932</v>
      </c>
      <c r="E964" s="11">
        <f>1</f>
        <v>1</v>
      </c>
      <c r="F964" s="14">
        <v>45933</v>
      </c>
      <c r="G964" s="11">
        <f>IF(Table1[[#This Row],[Pre-Booking Date]]&lt;&gt;"",1,0)</f>
        <v>1</v>
      </c>
      <c r="H964" s="4">
        <v>45938</v>
      </c>
      <c r="I964" s="11">
        <f>IF(Table1[[#This Row],[Booking Date]]&lt;&gt;"",1,0)</f>
        <v>1</v>
      </c>
      <c r="J964" s="30">
        <v>45944</v>
      </c>
      <c r="K964" s="11">
        <f>IF(Table1[[#This Row],[Delivery Date]]&lt;&gt;"",1,0)</f>
        <v>1</v>
      </c>
      <c r="L964" s="3" t="s">
        <v>3</v>
      </c>
      <c r="M964" s="3">
        <f>IF(Table1[[#This Row],[Cancellation Status]]&lt;&gt;"Yes",1,0)</f>
        <v>0</v>
      </c>
      <c r="N964" s="3" t="s">
        <v>42</v>
      </c>
      <c r="P964" s="3">
        <v>1</v>
      </c>
      <c r="Q964" s="3">
        <v>5</v>
      </c>
      <c r="R964" s="3">
        <v>6</v>
      </c>
      <c r="T96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64" t="str">
        <f>IF(Table1[[#This Row],[Customer Rating]]&gt;=9,"Promoter",IF(Table1[[#This Row],[Customer Rating]]&gt;=7,"Passive","Detractor"))</f>
        <v>Detractor</v>
      </c>
    </row>
    <row r="965" spans="1:21" ht="14.25" customHeight="1" x14ac:dyDescent="0.3">
      <c r="A965" s="3" t="s">
        <v>1000</v>
      </c>
      <c r="B965" s="3" t="s">
        <v>29</v>
      </c>
      <c r="C965" s="3" t="s">
        <v>27</v>
      </c>
      <c r="D965" s="14">
        <v>45932</v>
      </c>
      <c r="E965" s="11">
        <f>1</f>
        <v>1</v>
      </c>
      <c r="F965" s="14">
        <v>45933</v>
      </c>
      <c r="G965" s="11">
        <f>IF(Table1[[#This Row],[Pre-Booking Date]]&lt;&gt;"",1,0)</f>
        <v>1</v>
      </c>
      <c r="H965" s="4">
        <v>45934</v>
      </c>
      <c r="I965" s="11">
        <f>IF(Table1[[#This Row],[Booking Date]]&lt;&gt;"",1,0)</f>
        <v>1</v>
      </c>
      <c r="J965" s="30">
        <v>45941</v>
      </c>
      <c r="K965" s="11">
        <f>IF(Table1[[#This Row],[Delivery Date]]&lt;&gt;"",1,0)</f>
        <v>1</v>
      </c>
      <c r="L965" s="3" t="s">
        <v>2</v>
      </c>
      <c r="M965" s="3">
        <f>IF(Table1[[#This Row],[Cancellation Status]]&lt;&gt;"Yes",1,0)</f>
        <v>1</v>
      </c>
      <c r="O965" s="30">
        <v>45959</v>
      </c>
      <c r="P965" s="3">
        <v>1</v>
      </c>
      <c r="Q965" s="3">
        <v>1</v>
      </c>
      <c r="R965" s="3">
        <v>7</v>
      </c>
      <c r="S965" s="3">
        <v>9</v>
      </c>
      <c r="T96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65" t="str">
        <f>IF(Table1[[#This Row],[Customer Rating]]&gt;=9,"Promoter",IF(Table1[[#This Row],[Customer Rating]]&gt;=7,"Passive","Detractor"))</f>
        <v>Promoter</v>
      </c>
    </row>
    <row r="966" spans="1:21" ht="14.25" customHeight="1" x14ac:dyDescent="0.3">
      <c r="A966" s="3" t="s">
        <v>1001</v>
      </c>
      <c r="B966" s="3" t="s">
        <v>39</v>
      </c>
      <c r="C966" s="3" t="s">
        <v>33</v>
      </c>
      <c r="D966" s="14">
        <v>45932</v>
      </c>
      <c r="E966" s="11">
        <f>1</f>
        <v>1</v>
      </c>
      <c r="G966" s="12">
        <f>IF(Table1[[#This Row],[Pre-Booking Date]]&lt;&gt;"",1,0)</f>
        <v>0</v>
      </c>
      <c r="I966" s="12">
        <f>IF(Table1[[#This Row],[Booking Date]]&lt;&gt;"",1,0)</f>
        <v>0</v>
      </c>
      <c r="K966" s="12">
        <f>IF(Table1[[#This Row],[Delivery Date]]&lt;&gt;"",1,0)</f>
        <v>0</v>
      </c>
      <c r="L966" s="3" t="s">
        <v>3</v>
      </c>
      <c r="M966" s="3">
        <f>IF(Table1[[#This Row],[Cancellation Status]]&lt;&gt;"Yes",1,0)</f>
        <v>0</v>
      </c>
      <c r="N966" s="3" t="s">
        <v>34</v>
      </c>
      <c r="T96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66" t="str">
        <f>IF(Table1[[#This Row],[Customer Rating]]&gt;=9,"Promoter",IF(Table1[[#This Row],[Customer Rating]]&gt;=7,"Passive","Detractor"))</f>
        <v>Detractor</v>
      </c>
    </row>
    <row r="967" spans="1:21" ht="14.25" customHeight="1" x14ac:dyDescent="0.3">
      <c r="A967" s="3" t="s">
        <v>1002</v>
      </c>
      <c r="B967" s="3" t="s">
        <v>29</v>
      </c>
      <c r="C967" s="3" t="s">
        <v>30</v>
      </c>
      <c r="D967" s="14">
        <v>45932</v>
      </c>
      <c r="E967" s="11">
        <f>1</f>
        <v>1</v>
      </c>
      <c r="F967" s="14">
        <v>45936</v>
      </c>
      <c r="G967" s="11">
        <f>IF(Table1[[#This Row],[Pre-Booking Date]]&lt;&gt;"",1,0)</f>
        <v>1</v>
      </c>
      <c r="H967" s="4">
        <v>45939</v>
      </c>
      <c r="I967" s="11">
        <f>IF(Table1[[#This Row],[Booking Date]]&lt;&gt;"",1,0)</f>
        <v>1</v>
      </c>
      <c r="J967" s="30">
        <v>45944</v>
      </c>
      <c r="K967" s="11">
        <f>IF(Table1[[#This Row],[Delivery Date]]&lt;&gt;"",1,0)</f>
        <v>1</v>
      </c>
      <c r="L967" s="3" t="s">
        <v>2</v>
      </c>
      <c r="M967" s="3">
        <f>IF(Table1[[#This Row],[Cancellation Status]]&lt;&gt;"Yes",1,0)</f>
        <v>1</v>
      </c>
      <c r="O967" s="30">
        <v>45967</v>
      </c>
      <c r="P967" s="3">
        <v>4</v>
      </c>
      <c r="Q967" s="3">
        <v>3</v>
      </c>
      <c r="R967" s="3">
        <v>5</v>
      </c>
      <c r="S967" s="3">
        <v>9</v>
      </c>
      <c r="T96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67" t="str">
        <f>IF(Table1[[#This Row],[Customer Rating]]&gt;=9,"Promoter",IF(Table1[[#This Row],[Customer Rating]]&gt;=7,"Passive","Detractor"))</f>
        <v>Promoter</v>
      </c>
    </row>
    <row r="968" spans="1:21" ht="14.25" customHeight="1" x14ac:dyDescent="0.3">
      <c r="A968" s="3" t="s">
        <v>1003</v>
      </c>
      <c r="B968" s="3" t="s">
        <v>32</v>
      </c>
      <c r="C968" s="3" t="s">
        <v>33</v>
      </c>
      <c r="D968" s="14">
        <v>45932</v>
      </c>
      <c r="E968" s="11">
        <f>1</f>
        <v>1</v>
      </c>
      <c r="G968" s="12">
        <f>IF(Table1[[#This Row],[Pre-Booking Date]]&lt;&gt;"",1,0)</f>
        <v>0</v>
      </c>
      <c r="I968" s="12">
        <f>IF(Table1[[#This Row],[Booking Date]]&lt;&gt;"",1,0)</f>
        <v>0</v>
      </c>
      <c r="K968" s="12">
        <f>IF(Table1[[#This Row],[Delivery Date]]&lt;&gt;"",1,0)</f>
        <v>0</v>
      </c>
      <c r="L968" s="3" t="s">
        <v>3</v>
      </c>
      <c r="M968" s="3">
        <f>IF(Table1[[#This Row],[Cancellation Status]]&lt;&gt;"Yes",1,0)</f>
        <v>0</v>
      </c>
      <c r="N968" s="3" t="s">
        <v>37</v>
      </c>
      <c r="T96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68" t="str">
        <f>IF(Table1[[#This Row],[Customer Rating]]&gt;=9,"Promoter",IF(Table1[[#This Row],[Customer Rating]]&gt;=7,"Passive","Detractor"))</f>
        <v>Detractor</v>
      </c>
    </row>
    <row r="969" spans="1:21" ht="14.25" customHeight="1" x14ac:dyDescent="0.3">
      <c r="A969" s="3" t="s">
        <v>1004</v>
      </c>
      <c r="B969" s="3" t="s">
        <v>26</v>
      </c>
      <c r="C969" s="3" t="s">
        <v>27</v>
      </c>
      <c r="D969" s="14">
        <v>45932</v>
      </c>
      <c r="E969" s="11">
        <f>1</f>
        <v>1</v>
      </c>
      <c r="F969" s="14">
        <v>45934</v>
      </c>
      <c r="G969" s="11">
        <f>IF(Table1[[#This Row],[Pre-Booking Date]]&lt;&gt;"",1,0)</f>
        <v>1</v>
      </c>
      <c r="H969" s="4">
        <v>45936</v>
      </c>
      <c r="I969" s="11">
        <f>IF(Table1[[#This Row],[Booking Date]]&lt;&gt;"",1,0)</f>
        <v>1</v>
      </c>
      <c r="J969" s="30">
        <v>45939</v>
      </c>
      <c r="K969" s="11">
        <f>IF(Table1[[#This Row],[Delivery Date]]&lt;&gt;"",1,0)</f>
        <v>1</v>
      </c>
      <c r="L969" s="3" t="s">
        <v>3</v>
      </c>
      <c r="M969" s="3">
        <f>IF(Table1[[#This Row],[Cancellation Status]]&lt;&gt;"Yes",1,0)</f>
        <v>0</v>
      </c>
      <c r="N969" s="3" t="s">
        <v>34</v>
      </c>
      <c r="P969" s="3">
        <v>2</v>
      </c>
      <c r="Q969" s="3">
        <v>2</v>
      </c>
      <c r="R969" s="3">
        <v>3</v>
      </c>
      <c r="T96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69" t="str">
        <f>IF(Table1[[#This Row],[Customer Rating]]&gt;=9,"Promoter",IF(Table1[[#This Row],[Customer Rating]]&gt;=7,"Passive","Detractor"))</f>
        <v>Detractor</v>
      </c>
    </row>
    <row r="970" spans="1:21" ht="14.25" customHeight="1" x14ac:dyDescent="0.3">
      <c r="A970" s="3" t="s">
        <v>1005</v>
      </c>
      <c r="B970" s="3" t="s">
        <v>39</v>
      </c>
      <c r="C970" s="3" t="s">
        <v>27</v>
      </c>
      <c r="D970" s="14">
        <v>45932</v>
      </c>
      <c r="E970" s="11">
        <f>1</f>
        <v>1</v>
      </c>
      <c r="F970" s="14">
        <v>45933</v>
      </c>
      <c r="G970" s="11">
        <f>IF(Table1[[#This Row],[Pre-Booking Date]]&lt;&gt;"",1,0)</f>
        <v>1</v>
      </c>
      <c r="H970" s="4">
        <v>45934</v>
      </c>
      <c r="I970" s="11">
        <f>IF(Table1[[#This Row],[Booking Date]]&lt;&gt;"",1,0)</f>
        <v>1</v>
      </c>
      <c r="J970" s="30">
        <v>45936</v>
      </c>
      <c r="K970" s="11">
        <f>IF(Table1[[#This Row],[Delivery Date]]&lt;&gt;"",1,0)</f>
        <v>1</v>
      </c>
      <c r="L970" s="3" t="s">
        <v>3</v>
      </c>
      <c r="M970" s="3">
        <f>IF(Table1[[#This Row],[Cancellation Status]]&lt;&gt;"Yes",1,0)</f>
        <v>0</v>
      </c>
      <c r="N970" s="3" t="s">
        <v>42</v>
      </c>
      <c r="P970" s="3">
        <v>1</v>
      </c>
      <c r="Q970" s="3">
        <v>1</v>
      </c>
      <c r="R970" s="3">
        <v>2</v>
      </c>
      <c r="T97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70" t="str">
        <f>IF(Table1[[#This Row],[Customer Rating]]&gt;=9,"Promoter",IF(Table1[[#This Row],[Customer Rating]]&gt;=7,"Passive","Detractor"))</f>
        <v>Detractor</v>
      </c>
    </row>
    <row r="971" spans="1:21" ht="14.25" customHeight="1" x14ac:dyDescent="0.3">
      <c r="A971" s="3" t="s">
        <v>1006</v>
      </c>
      <c r="B971" s="3" t="s">
        <v>32</v>
      </c>
      <c r="C971" s="3" t="s">
        <v>33</v>
      </c>
      <c r="D971" s="14">
        <v>45932</v>
      </c>
      <c r="E971" s="11">
        <f>1</f>
        <v>1</v>
      </c>
      <c r="G971" s="12">
        <f>IF(Table1[[#This Row],[Pre-Booking Date]]&lt;&gt;"",1,0)</f>
        <v>0</v>
      </c>
      <c r="I971" s="12">
        <f>IF(Table1[[#This Row],[Booking Date]]&lt;&gt;"",1,0)</f>
        <v>0</v>
      </c>
      <c r="K971" s="12">
        <f>IF(Table1[[#This Row],[Delivery Date]]&lt;&gt;"",1,0)</f>
        <v>0</v>
      </c>
      <c r="L971" s="3" t="s">
        <v>3</v>
      </c>
      <c r="M971" s="3">
        <f>IF(Table1[[#This Row],[Cancellation Status]]&lt;&gt;"Yes",1,0)</f>
        <v>0</v>
      </c>
      <c r="N971" s="3" t="s">
        <v>34</v>
      </c>
      <c r="T97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71" t="str">
        <f>IF(Table1[[#This Row],[Customer Rating]]&gt;=9,"Promoter",IF(Table1[[#This Row],[Customer Rating]]&gt;=7,"Passive","Detractor"))</f>
        <v>Detractor</v>
      </c>
    </row>
    <row r="972" spans="1:21" ht="14.25" customHeight="1" x14ac:dyDescent="0.3">
      <c r="A972" s="3" t="s">
        <v>1007</v>
      </c>
      <c r="B972" s="3" t="s">
        <v>32</v>
      </c>
      <c r="C972" s="3" t="s">
        <v>27</v>
      </c>
      <c r="D972" s="14">
        <v>45932</v>
      </c>
      <c r="E972" s="11">
        <f>1</f>
        <v>1</v>
      </c>
      <c r="F972" s="14">
        <v>45933</v>
      </c>
      <c r="G972" s="11">
        <f>IF(Table1[[#This Row],[Pre-Booking Date]]&lt;&gt;"",1,0)</f>
        <v>1</v>
      </c>
      <c r="H972" s="4">
        <v>45936</v>
      </c>
      <c r="I972" s="11">
        <f>IF(Table1[[#This Row],[Booking Date]]&lt;&gt;"",1,0)</f>
        <v>1</v>
      </c>
      <c r="J972" s="30">
        <v>45939</v>
      </c>
      <c r="K972" s="11">
        <f>IF(Table1[[#This Row],[Delivery Date]]&lt;&gt;"",1,0)</f>
        <v>1</v>
      </c>
      <c r="L972" s="3" t="s">
        <v>2</v>
      </c>
      <c r="M972" s="3">
        <f>IF(Table1[[#This Row],[Cancellation Status]]&lt;&gt;"Yes",1,0)</f>
        <v>1</v>
      </c>
      <c r="O972" s="30">
        <v>45955</v>
      </c>
      <c r="P972" s="3">
        <v>1</v>
      </c>
      <c r="Q972" s="3">
        <v>3</v>
      </c>
      <c r="R972" s="3">
        <v>3</v>
      </c>
      <c r="S972" s="3">
        <v>1</v>
      </c>
      <c r="T97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72" t="str">
        <f>IF(Table1[[#This Row],[Customer Rating]]&gt;=9,"Promoter",IF(Table1[[#This Row],[Customer Rating]]&gt;=7,"Passive","Detractor"))</f>
        <v>Detractor</v>
      </c>
    </row>
    <row r="973" spans="1:21" ht="14.25" customHeight="1" x14ac:dyDescent="0.3">
      <c r="A973" s="3" t="s">
        <v>1008</v>
      </c>
      <c r="B973" s="3" t="s">
        <v>39</v>
      </c>
      <c r="C973" s="3" t="s">
        <v>30</v>
      </c>
      <c r="D973" s="14">
        <v>45932</v>
      </c>
      <c r="E973" s="11">
        <f>1</f>
        <v>1</v>
      </c>
      <c r="F973" s="14">
        <v>45935</v>
      </c>
      <c r="G973" s="11">
        <f>IF(Table1[[#This Row],[Pre-Booking Date]]&lt;&gt;"",1,0)</f>
        <v>1</v>
      </c>
      <c r="H973" s="4">
        <v>45936</v>
      </c>
      <c r="I973" s="11">
        <f>IF(Table1[[#This Row],[Booking Date]]&lt;&gt;"",1,0)</f>
        <v>1</v>
      </c>
      <c r="J973" s="30">
        <v>45938</v>
      </c>
      <c r="K973" s="11">
        <f>IF(Table1[[#This Row],[Delivery Date]]&lt;&gt;"",1,0)</f>
        <v>1</v>
      </c>
      <c r="L973" s="3" t="s">
        <v>2</v>
      </c>
      <c r="M973" s="3">
        <f>IF(Table1[[#This Row],[Cancellation Status]]&lt;&gt;"Yes",1,0)</f>
        <v>1</v>
      </c>
      <c r="O973" s="30">
        <v>45949</v>
      </c>
      <c r="P973" s="3">
        <v>3</v>
      </c>
      <c r="Q973" s="3">
        <v>1</v>
      </c>
      <c r="R973" s="3">
        <v>2</v>
      </c>
      <c r="S973" s="3">
        <v>8</v>
      </c>
      <c r="T97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73" t="str">
        <f>IF(Table1[[#This Row],[Customer Rating]]&gt;=9,"Promoter",IF(Table1[[#This Row],[Customer Rating]]&gt;=7,"Passive","Detractor"))</f>
        <v>Passive</v>
      </c>
    </row>
    <row r="974" spans="1:21" ht="14.25" customHeight="1" x14ac:dyDescent="0.3">
      <c r="A974" s="3" t="s">
        <v>1009</v>
      </c>
      <c r="B974" s="3" t="s">
        <v>39</v>
      </c>
      <c r="C974" s="3" t="s">
        <v>33</v>
      </c>
      <c r="D974" s="14">
        <v>45932</v>
      </c>
      <c r="E974" s="11">
        <f>1</f>
        <v>1</v>
      </c>
      <c r="G974" s="12">
        <f>IF(Table1[[#This Row],[Pre-Booking Date]]&lt;&gt;"",1,0)</f>
        <v>0</v>
      </c>
      <c r="I974" s="12">
        <f>IF(Table1[[#This Row],[Booking Date]]&lt;&gt;"",1,0)</f>
        <v>0</v>
      </c>
      <c r="K974" s="12">
        <f>IF(Table1[[#This Row],[Delivery Date]]&lt;&gt;"",1,0)</f>
        <v>0</v>
      </c>
      <c r="L974" s="3" t="s">
        <v>3</v>
      </c>
      <c r="M974" s="3">
        <f>IF(Table1[[#This Row],[Cancellation Status]]&lt;&gt;"Yes",1,0)</f>
        <v>0</v>
      </c>
      <c r="N974" s="3" t="s">
        <v>34</v>
      </c>
      <c r="T97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74" t="str">
        <f>IF(Table1[[#This Row],[Customer Rating]]&gt;=9,"Promoter",IF(Table1[[#This Row],[Customer Rating]]&gt;=7,"Passive","Detractor"))</f>
        <v>Detractor</v>
      </c>
    </row>
    <row r="975" spans="1:21" ht="14.25" customHeight="1" x14ac:dyDescent="0.3">
      <c r="A975" s="3" t="s">
        <v>1010</v>
      </c>
      <c r="B975" s="3" t="s">
        <v>32</v>
      </c>
      <c r="C975" s="3" t="s">
        <v>27</v>
      </c>
      <c r="D975" s="14">
        <v>45932</v>
      </c>
      <c r="E975" s="11">
        <f>1</f>
        <v>1</v>
      </c>
      <c r="F975" s="14">
        <v>45935</v>
      </c>
      <c r="G975" s="11">
        <f>IF(Table1[[#This Row],[Pre-Booking Date]]&lt;&gt;"",1,0)</f>
        <v>1</v>
      </c>
      <c r="H975" s="4">
        <v>45937</v>
      </c>
      <c r="I975" s="11">
        <f>IF(Table1[[#This Row],[Booking Date]]&lt;&gt;"",1,0)</f>
        <v>1</v>
      </c>
      <c r="J975" s="30">
        <v>45943</v>
      </c>
      <c r="K975" s="11">
        <f>IF(Table1[[#This Row],[Delivery Date]]&lt;&gt;"",1,0)</f>
        <v>1</v>
      </c>
      <c r="L975" s="3" t="s">
        <v>2</v>
      </c>
      <c r="M975" s="3">
        <f>IF(Table1[[#This Row],[Cancellation Status]]&lt;&gt;"Yes",1,0)</f>
        <v>1</v>
      </c>
      <c r="O975" s="30">
        <v>45965</v>
      </c>
      <c r="P975" s="3">
        <v>3</v>
      </c>
      <c r="Q975" s="3">
        <v>2</v>
      </c>
      <c r="R975" s="3">
        <v>6</v>
      </c>
      <c r="S975" s="3">
        <v>2</v>
      </c>
      <c r="T97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75" t="str">
        <f>IF(Table1[[#This Row],[Customer Rating]]&gt;=9,"Promoter",IF(Table1[[#This Row],[Customer Rating]]&gt;=7,"Passive","Detractor"))</f>
        <v>Detractor</v>
      </c>
    </row>
    <row r="976" spans="1:21" ht="14.25" customHeight="1" x14ac:dyDescent="0.3">
      <c r="A976" s="3" t="s">
        <v>1011</v>
      </c>
      <c r="B976" s="3" t="s">
        <v>26</v>
      </c>
      <c r="C976" s="3" t="s">
        <v>33</v>
      </c>
      <c r="D976" s="14">
        <v>45931</v>
      </c>
      <c r="E976" s="11">
        <f>1</f>
        <v>1</v>
      </c>
      <c r="G976" s="12">
        <f>IF(Table1[[#This Row],[Pre-Booking Date]]&lt;&gt;"",1,0)</f>
        <v>0</v>
      </c>
      <c r="I976" s="12">
        <f>IF(Table1[[#This Row],[Booking Date]]&lt;&gt;"",1,0)</f>
        <v>0</v>
      </c>
      <c r="K976" s="12">
        <f>IF(Table1[[#This Row],[Delivery Date]]&lt;&gt;"",1,0)</f>
        <v>0</v>
      </c>
      <c r="L976" s="3" t="s">
        <v>3</v>
      </c>
      <c r="M976" s="3">
        <f>IF(Table1[[#This Row],[Cancellation Status]]&lt;&gt;"Yes",1,0)</f>
        <v>0</v>
      </c>
      <c r="N976" s="3" t="s">
        <v>52</v>
      </c>
      <c r="T97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76" t="str">
        <f>IF(Table1[[#This Row],[Customer Rating]]&gt;=9,"Promoter",IF(Table1[[#This Row],[Customer Rating]]&gt;=7,"Passive","Detractor"))</f>
        <v>Detractor</v>
      </c>
    </row>
    <row r="977" spans="1:21" ht="14.25" customHeight="1" x14ac:dyDescent="0.3">
      <c r="A977" s="3" t="s">
        <v>1012</v>
      </c>
      <c r="B977" s="3" t="s">
        <v>32</v>
      </c>
      <c r="C977" s="3" t="s">
        <v>27</v>
      </c>
      <c r="D977" s="14">
        <v>45931</v>
      </c>
      <c r="E977" s="11">
        <f>1</f>
        <v>1</v>
      </c>
      <c r="F977" s="14">
        <v>45936</v>
      </c>
      <c r="G977" s="11">
        <f>IF(Table1[[#This Row],[Pre-Booking Date]]&lt;&gt;"",1,0)</f>
        <v>1</v>
      </c>
      <c r="H977" s="4">
        <v>45938</v>
      </c>
      <c r="I977" s="11">
        <f>IF(Table1[[#This Row],[Booking Date]]&lt;&gt;"",1,0)</f>
        <v>1</v>
      </c>
      <c r="J977" s="30">
        <v>45942</v>
      </c>
      <c r="K977" s="11">
        <f>IF(Table1[[#This Row],[Delivery Date]]&lt;&gt;"",1,0)</f>
        <v>1</v>
      </c>
      <c r="L977" s="3" t="s">
        <v>2</v>
      </c>
      <c r="M977" s="3">
        <f>IF(Table1[[#This Row],[Cancellation Status]]&lt;&gt;"Yes",1,0)</f>
        <v>1</v>
      </c>
      <c r="O977" s="30">
        <v>45972</v>
      </c>
      <c r="P977" s="3">
        <v>5</v>
      </c>
      <c r="Q977" s="3">
        <v>2</v>
      </c>
      <c r="R977" s="3">
        <v>4</v>
      </c>
      <c r="S977" s="3">
        <v>4</v>
      </c>
      <c r="T97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77" t="str">
        <f>IF(Table1[[#This Row],[Customer Rating]]&gt;=9,"Promoter",IF(Table1[[#This Row],[Customer Rating]]&gt;=7,"Passive","Detractor"))</f>
        <v>Detractor</v>
      </c>
    </row>
    <row r="978" spans="1:21" ht="14.25" customHeight="1" x14ac:dyDescent="0.3">
      <c r="A978" s="3" t="s">
        <v>1013</v>
      </c>
      <c r="B978" s="3" t="s">
        <v>29</v>
      </c>
      <c r="C978" s="3" t="s">
        <v>27</v>
      </c>
      <c r="D978" s="14">
        <v>45931</v>
      </c>
      <c r="E978" s="11">
        <f>1</f>
        <v>1</v>
      </c>
      <c r="F978" s="14">
        <v>45934</v>
      </c>
      <c r="G978" s="11">
        <f>IF(Table1[[#This Row],[Pre-Booking Date]]&lt;&gt;"",1,0)</f>
        <v>1</v>
      </c>
      <c r="H978" s="4">
        <v>45936</v>
      </c>
      <c r="I978" s="11">
        <f>IF(Table1[[#This Row],[Booking Date]]&lt;&gt;"",1,0)</f>
        <v>1</v>
      </c>
      <c r="J978" s="30">
        <v>45938</v>
      </c>
      <c r="K978" s="11">
        <f>IF(Table1[[#This Row],[Delivery Date]]&lt;&gt;"",1,0)</f>
        <v>1</v>
      </c>
      <c r="L978" s="3" t="s">
        <v>2</v>
      </c>
      <c r="M978" s="3">
        <f>IF(Table1[[#This Row],[Cancellation Status]]&lt;&gt;"Yes",1,0)</f>
        <v>1</v>
      </c>
      <c r="O978" s="30">
        <v>45953</v>
      </c>
      <c r="P978" s="3">
        <v>3</v>
      </c>
      <c r="Q978" s="3">
        <v>2</v>
      </c>
      <c r="R978" s="3">
        <v>2</v>
      </c>
      <c r="S978" s="3">
        <v>7</v>
      </c>
      <c r="T97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78" t="str">
        <f>IF(Table1[[#This Row],[Customer Rating]]&gt;=9,"Promoter",IF(Table1[[#This Row],[Customer Rating]]&gt;=7,"Passive","Detractor"))</f>
        <v>Passive</v>
      </c>
    </row>
    <row r="979" spans="1:21" ht="14.25" customHeight="1" x14ac:dyDescent="0.3">
      <c r="A979" s="3" t="s">
        <v>1014</v>
      </c>
      <c r="B979" s="3" t="s">
        <v>32</v>
      </c>
      <c r="C979" s="3" t="s">
        <v>27</v>
      </c>
      <c r="D979" s="14">
        <v>45931</v>
      </c>
      <c r="E979" s="11">
        <f>1</f>
        <v>1</v>
      </c>
      <c r="F979" s="14">
        <v>45932</v>
      </c>
      <c r="G979" s="11">
        <f>IF(Table1[[#This Row],[Pre-Booking Date]]&lt;&gt;"",1,0)</f>
        <v>1</v>
      </c>
      <c r="H979" s="4">
        <v>45935</v>
      </c>
      <c r="I979" s="11">
        <f>IF(Table1[[#This Row],[Booking Date]]&lt;&gt;"",1,0)</f>
        <v>1</v>
      </c>
      <c r="J979" s="30">
        <v>45940</v>
      </c>
      <c r="K979" s="11">
        <f>IF(Table1[[#This Row],[Delivery Date]]&lt;&gt;"",1,0)</f>
        <v>1</v>
      </c>
      <c r="L979" s="3" t="s">
        <v>2</v>
      </c>
      <c r="M979" s="3">
        <f>IF(Table1[[#This Row],[Cancellation Status]]&lt;&gt;"Yes",1,0)</f>
        <v>1</v>
      </c>
      <c r="O979" s="30">
        <v>45970</v>
      </c>
      <c r="P979" s="3">
        <v>1</v>
      </c>
      <c r="Q979" s="3">
        <v>3</v>
      </c>
      <c r="R979" s="3">
        <v>5</v>
      </c>
      <c r="S979" s="3">
        <v>0</v>
      </c>
      <c r="T97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79" t="str">
        <f>IF(Table1[[#This Row],[Customer Rating]]&gt;=9,"Promoter",IF(Table1[[#This Row],[Customer Rating]]&gt;=7,"Passive","Detractor"))</f>
        <v>Detractor</v>
      </c>
    </row>
    <row r="980" spans="1:21" ht="14.25" customHeight="1" x14ac:dyDescent="0.3">
      <c r="A980" s="3" t="s">
        <v>1015</v>
      </c>
      <c r="B980" s="3" t="s">
        <v>29</v>
      </c>
      <c r="C980" s="3" t="s">
        <v>30</v>
      </c>
      <c r="D980" s="14">
        <v>45931</v>
      </c>
      <c r="E980" s="11">
        <f>1</f>
        <v>1</v>
      </c>
      <c r="F980" s="14">
        <v>45933</v>
      </c>
      <c r="G980" s="11">
        <f>IF(Table1[[#This Row],[Pre-Booking Date]]&lt;&gt;"",1,0)</f>
        <v>1</v>
      </c>
      <c r="H980" s="4">
        <v>45934</v>
      </c>
      <c r="I980" s="11">
        <f>IF(Table1[[#This Row],[Booking Date]]&lt;&gt;"",1,0)</f>
        <v>1</v>
      </c>
      <c r="J980" s="30">
        <v>45938</v>
      </c>
      <c r="K980" s="11">
        <f>IF(Table1[[#This Row],[Delivery Date]]&lt;&gt;"",1,0)</f>
        <v>1</v>
      </c>
      <c r="L980" s="3" t="s">
        <v>2</v>
      </c>
      <c r="M980" s="3">
        <f>IF(Table1[[#This Row],[Cancellation Status]]&lt;&gt;"Yes",1,0)</f>
        <v>1</v>
      </c>
      <c r="O980" s="30">
        <v>45951</v>
      </c>
      <c r="P980" s="3">
        <v>2</v>
      </c>
      <c r="Q980" s="3">
        <v>1</v>
      </c>
      <c r="R980" s="3">
        <v>4</v>
      </c>
      <c r="S980" s="3">
        <v>6</v>
      </c>
      <c r="T98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80" t="str">
        <f>IF(Table1[[#This Row],[Customer Rating]]&gt;=9,"Promoter",IF(Table1[[#This Row],[Customer Rating]]&gt;=7,"Passive","Detractor"))</f>
        <v>Detractor</v>
      </c>
    </row>
    <row r="981" spans="1:21" ht="14.25" customHeight="1" x14ac:dyDescent="0.3">
      <c r="A981" s="3" t="s">
        <v>1016</v>
      </c>
      <c r="B981" s="3" t="s">
        <v>26</v>
      </c>
      <c r="C981" s="3" t="s">
        <v>30</v>
      </c>
      <c r="D981" s="14">
        <v>45931</v>
      </c>
      <c r="E981" s="11">
        <f>1</f>
        <v>1</v>
      </c>
      <c r="F981" s="14">
        <v>45932</v>
      </c>
      <c r="G981" s="11">
        <f>IF(Table1[[#This Row],[Pre-Booking Date]]&lt;&gt;"",1,0)</f>
        <v>1</v>
      </c>
      <c r="H981" s="4">
        <v>45933</v>
      </c>
      <c r="I981" s="11">
        <f>IF(Table1[[#This Row],[Booking Date]]&lt;&gt;"",1,0)</f>
        <v>1</v>
      </c>
      <c r="J981" s="30">
        <v>45939</v>
      </c>
      <c r="K981" s="11">
        <f>IF(Table1[[#This Row],[Delivery Date]]&lt;&gt;"",1,0)</f>
        <v>1</v>
      </c>
      <c r="L981" s="3" t="s">
        <v>2</v>
      </c>
      <c r="M981" s="3">
        <f>IF(Table1[[#This Row],[Cancellation Status]]&lt;&gt;"Yes",1,0)</f>
        <v>1</v>
      </c>
      <c r="O981" s="30">
        <v>45957</v>
      </c>
      <c r="P981" s="3">
        <v>1</v>
      </c>
      <c r="Q981" s="3">
        <v>1</v>
      </c>
      <c r="R981" s="3">
        <v>6</v>
      </c>
      <c r="S981" s="3">
        <v>6</v>
      </c>
      <c r="T98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81" t="str">
        <f>IF(Table1[[#This Row],[Customer Rating]]&gt;=9,"Promoter",IF(Table1[[#This Row],[Customer Rating]]&gt;=7,"Passive","Detractor"))</f>
        <v>Detractor</v>
      </c>
    </row>
    <row r="982" spans="1:21" ht="14.25" customHeight="1" x14ac:dyDescent="0.3">
      <c r="A982" s="3" t="s">
        <v>1017</v>
      </c>
      <c r="B982" s="3" t="s">
        <v>32</v>
      </c>
      <c r="C982" s="3" t="s">
        <v>27</v>
      </c>
      <c r="D982" s="14">
        <v>45931</v>
      </c>
      <c r="E982" s="11">
        <f>1</f>
        <v>1</v>
      </c>
      <c r="F982" s="14">
        <v>45934</v>
      </c>
      <c r="G982" s="11">
        <f>IF(Table1[[#This Row],[Pre-Booking Date]]&lt;&gt;"",1,0)</f>
        <v>1</v>
      </c>
      <c r="H982" s="4">
        <v>45935</v>
      </c>
      <c r="I982" s="11">
        <f>IF(Table1[[#This Row],[Booking Date]]&lt;&gt;"",1,0)</f>
        <v>1</v>
      </c>
      <c r="J982" s="30">
        <v>45942</v>
      </c>
      <c r="K982" s="11">
        <f>IF(Table1[[#This Row],[Delivery Date]]&lt;&gt;"",1,0)</f>
        <v>1</v>
      </c>
      <c r="L982" s="3" t="s">
        <v>2</v>
      </c>
      <c r="M982" s="3">
        <f>IF(Table1[[#This Row],[Cancellation Status]]&lt;&gt;"Yes",1,0)</f>
        <v>1</v>
      </c>
      <c r="O982" s="30">
        <v>45967</v>
      </c>
      <c r="P982" s="3">
        <v>3</v>
      </c>
      <c r="Q982" s="3">
        <v>1</v>
      </c>
      <c r="R982" s="3">
        <v>7</v>
      </c>
      <c r="S982" s="3">
        <v>0</v>
      </c>
      <c r="T98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82" t="str">
        <f>IF(Table1[[#This Row],[Customer Rating]]&gt;=9,"Promoter",IF(Table1[[#This Row],[Customer Rating]]&gt;=7,"Passive","Detractor"))</f>
        <v>Detractor</v>
      </c>
    </row>
    <row r="983" spans="1:21" ht="14.25" customHeight="1" x14ac:dyDescent="0.3">
      <c r="A983" s="3" t="s">
        <v>1018</v>
      </c>
      <c r="B983" s="3" t="s">
        <v>26</v>
      </c>
      <c r="C983" s="3" t="s">
        <v>27</v>
      </c>
      <c r="D983" s="14">
        <v>45931</v>
      </c>
      <c r="E983" s="11">
        <f>1</f>
        <v>1</v>
      </c>
      <c r="F983" s="14">
        <v>45936</v>
      </c>
      <c r="G983" s="11">
        <f>IF(Table1[[#This Row],[Pre-Booking Date]]&lt;&gt;"",1,0)</f>
        <v>1</v>
      </c>
      <c r="H983" s="4">
        <v>45938</v>
      </c>
      <c r="I983" s="11">
        <f>IF(Table1[[#This Row],[Booking Date]]&lt;&gt;"",1,0)</f>
        <v>1</v>
      </c>
      <c r="J983" s="30">
        <v>45942</v>
      </c>
      <c r="K983" s="11">
        <f>IF(Table1[[#This Row],[Delivery Date]]&lt;&gt;"",1,0)</f>
        <v>1</v>
      </c>
      <c r="L983" s="3" t="s">
        <v>2</v>
      </c>
      <c r="M983" s="3">
        <f>IF(Table1[[#This Row],[Cancellation Status]]&lt;&gt;"Yes",1,0)</f>
        <v>1</v>
      </c>
      <c r="O983" s="30">
        <v>45969</v>
      </c>
      <c r="P983" s="3">
        <v>5</v>
      </c>
      <c r="Q983" s="3">
        <v>2</v>
      </c>
      <c r="R983" s="3">
        <v>4</v>
      </c>
      <c r="S983" s="3">
        <v>6</v>
      </c>
      <c r="T98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83" t="str">
        <f>IF(Table1[[#This Row],[Customer Rating]]&gt;=9,"Promoter",IF(Table1[[#This Row],[Customer Rating]]&gt;=7,"Passive","Detractor"))</f>
        <v>Detractor</v>
      </c>
    </row>
    <row r="984" spans="1:21" ht="14.25" customHeight="1" x14ac:dyDescent="0.3">
      <c r="A984" s="3" t="s">
        <v>1019</v>
      </c>
      <c r="B984" s="3" t="s">
        <v>29</v>
      </c>
      <c r="C984" s="3" t="s">
        <v>27</v>
      </c>
      <c r="D984" s="14">
        <v>45931</v>
      </c>
      <c r="E984" s="11">
        <f>1</f>
        <v>1</v>
      </c>
      <c r="F984" s="14">
        <v>45933</v>
      </c>
      <c r="G984" s="11">
        <f>IF(Table1[[#This Row],[Pre-Booking Date]]&lt;&gt;"",1,0)</f>
        <v>1</v>
      </c>
      <c r="H984" s="4">
        <v>45937</v>
      </c>
      <c r="I984" s="11">
        <f>IF(Table1[[#This Row],[Booking Date]]&lt;&gt;"",1,0)</f>
        <v>1</v>
      </c>
      <c r="J984" s="30">
        <v>45939</v>
      </c>
      <c r="K984" s="11">
        <f>IF(Table1[[#This Row],[Delivery Date]]&lt;&gt;"",1,0)</f>
        <v>1</v>
      </c>
      <c r="L984" s="3" t="s">
        <v>2</v>
      </c>
      <c r="M984" s="3">
        <f>IF(Table1[[#This Row],[Cancellation Status]]&lt;&gt;"Yes",1,0)</f>
        <v>1</v>
      </c>
      <c r="O984" s="30">
        <v>45965</v>
      </c>
      <c r="P984" s="3">
        <v>2</v>
      </c>
      <c r="Q984" s="3">
        <v>4</v>
      </c>
      <c r="R984" s="3">
        <v>2</v>
      </c>
      <c r="S984" s="3">
        <v>6</v>
      </c>
      <c r="T98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84" t="str">
        <f>IF(Table1[[#This Row],[Customer Rating]]&gt;=9,"Promoter",IF(Table1[[#This Row],[Customer Rating]]&gt;=7,"Passive","Detractor"))</f>
        <v>Detractor</v>
      </c>
    </row>
    <row r="985" spans="1:21" ht="14.25" customHeight="1" x14ac:dyDescent="0.3">
      <c r="A985" s="3" t="s">
        <v>1020</v>
      </c>
      <c r="B985" s="3" t="s">
        <v>29</v>
      </c>
      <c r="C985" s="3" t="s">
        <v>27</v>
      </c>
      <c r="D985" s="14">
        <v>45931</v>
      </c>
      <c r="E985" s="11">
        <f>1</f>
        <v>1</v>
      </c>
      <c r="F985" s="14">
        <v>45933</v>
      </c>
      <c r="G985" s="11">
        <f>IF(Table1[[#This Row],[Pre-Booking Date]]&lt;&gt;"",1,0)</f>
        <v>1</v>
      </c>
      <c r="H985" s="4">
        <v>45934</v>
      </c>
      <c r="I985" s="11">
        <f>IF(Table1[[#This Row],[Booking Date]]&lt;&gt;"",1,0)</f>
        <v>1</v>
      </c>
      <c r="J985" s="30">
        <v>45939</v>
      </c>
      <c r="K985" s="11">
        <f>IF(Table1[[#This Row],[Delivery Date]]&lt;&gt;"",1,0)</f>
        <v>1</v>
      </c>
      <c r="L985" s="3" t="s">
        <v>2</v>
      </c>
      <c r="M985" s="3">
        <f>IF(Table1[[#This Row],[Cancellation Status]]&lt;&gt;"Yes",1,0)</f>
        <v>1</v>
      </c>
      <c r="O985" s="30">
        <v>45967</v>
      </c>
      <c r="P985" s="3">
        <v>2</v>
      </c>
      <c r="Q985" s="3">
        <v>1</v>
      </c>
      <c r="R985" s="3">
        <v>5</v>
      </c>
      <c r="S985" s="3">
        <v>2</v>
      </c>
      <c r="T98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85" t="str">
        <f>IF(Table1[[#This Row],[Customer Rating]]&gt;=9,"Promoter",IF(Table1[[#This Row],[Customer Rating]]&gt;=7,"Passive","Detractor"))</f>
        <v>Detractor</v>
      </c>
    </row>
    <row r="986" spans="1:21" ht="14.25" customHeight="1" x14ac:dyDescent="0.3">
      <c r="A986" s="3" t="s">
        <v>1021</v>
      </c>
      <c r="B986" s="3" t="s">
        <v>29</v>
      </c>
      <c r="C986" s="3" t="s">
        <v>27</v>
      </c>
      <c r="D986" s="14">
        <v>45931</v>
      </c>
      <c r="E986" s="11">
        <f>1</f>
        <v>1</v>
      </c>
      <c r="F986" s="14">
        <v>45932</v>
      </c>
      <c r="G986" s="11">
        <f>IF(Table1[[#This Row],[Pre-Booking Date]]&lt;&gt;"",1,0)</f>
        <v>1</v>
      </c>
      <c r="H986" s="4">
        <v>45933</v>
      </c>
      <c r="I986" s="11">
        <f>IF(Table1[[#This Row],[Booking Date]]&lt;&gt;"",1,0)</f>
        <v>1</v>
      </c>
      <c r="J986" s="30">
        <v>45936</v>
      </c>
      <c r="K986" s="11">
        <f>IF(Table1[[#This Row],[Delivery Date]]&lt;&gt;"",1,0)</f>
        <v>1</v>
      </c>
      <c r="L986" s="3" t="s">
        <v>2</v>
      </c>
      <c r="M986" s="3">
        <f>IF(Table1[[#This Row],[Cancellation Status]]&lt;&gt;"Yes",1,0)</f>
        <v>1</v>
      </c>
      <c r="O986" s="30">
        <v>45965</v>
      </c>
      <c r="P986" s="3">
        <v>1</v>
      </c>
      <c r="Q986" s="3">
        <v>1</v>
      </c>
      <c r="R986" s="3">
        <v>3</v>
      </c>
      <c r="S986" s="3">
        <v>8</v>
      </c>
      <c r="T98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86" t="str">
        <f>IF(Table1[[#This Row],[Customer Rating]]&gt;=9,"Promoter",IF(Table1[[#This Row],[Customer Rating]]&gt;=7,"Passive","Detractor"))</f>
        <v>Passive</v>
      </c>
    </row>
    <row r="987" spans="1:21" ht="14.25" customHeight="1" x14ac:dyDescent="0.3">
      <c r="A987" s="3" t="s">
        <v>1022</v>
      </c>
      <c r="B987" s="3" t="s">
        <v>29</v>
      </c>
      <c r="C987" s="3" t="s">
        <v>30</v>
      </c>
      <c r="D987" s="14">
        <v>45931</v>
      </c>
      <c r="E987" s="11">
        <f>1</f>
        <v>1</v>
      </c>
      <c r="F987" s="14">
        <v>45935</v>
      </c>
      <c r="G987" s="11">
        <f>IF(Table1[[#This Row],[Pre-Booking Date]]&lt;&gt;"",1,0)</f>
        <v>1</v>
      </c>
      <c r="H987" s="4">
        <v>45939</v>
      </c>
      <c r="I987" s="11">
        <f>IF(Table1[[#This Row],[Booking Date]]&lt;&gt;"",1,0)</f>
        <v>1</v>
      </c>
      <c r="J987" s="30">
        <v>45942</v>
      </c>
      <c r="K987" s="11">
        <f>IF(Table1[[#This Row],[Delivery Date]]&lt;&gt;"",1,0)</f>
        <v>1</v>
      </c>
      <c r="L987" s="3" t="s">
        <v>2</v>
      </c>
      <c r="M987" s="3">
        <f>IF(Table1[[#This Row],[Cancellation Status]]&lt;&gt;"Yes",1,0)</f>
        <v>1</v>
      </c>
      <c r="O987" s="30">
        <v>45962</v>
      </c>
      <c r="P987" s="3">
        <v>4</v>
      </c>
      <c r="Q987" s="3">
        <v>4</v>
      </c>
      <c r="R987" s="3">
        <v>3</v>
      </c>
      <c r="S987" s="3">
        <v>1</v>
      </c>
      <c r="T98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87" t="str">
        <f>IF(Table1[[#This Row],[Customer Rating]]&gt;=9,"Promoter",IF(Table1[[#This Row],[Customer Rating]]&gt;=7,"Passive","Detractor"))</f>
        <v>Detractor</v>
      </c>
    </row>
    <row r="988" spans="1:21" ht="14.25" customHeight="1" x14ac:dyDescent="0.3">
      <c r="A988" s="3" t="s">
        <v>1023</v>
      </c>
      <c r="B988" s="3" t="s">
        <v>32</v>
      </c>
      <c r="C988" s="3" t="s">
        <v>27</v>
      </c>
      <c r="D988" s="14">
        <v>45931</v>
      </c>
      <c r="E988" s="11">
        <f>1</f>
        <v>1</v>
      </c>
      <c r="F988" s="14">
        <v>45935</v>
      </c>
      <c r="G988" s="11">
        <f>IF(Table1[[#This Row],[Pre-Booking Date]]&lt;&gt;"",1,0)</f>
        <v>1</v>
      </c>
      <c r="H988" s="4">
        <v>45939</v>
      </c>
      <c r="I988" s="11">
        <f>IF(Table1[[#This Row],[Booking Date]]&lt;&gt;"",1,0)</f>
        <v>1</v>
      </c>
      <c r="J988" s="30">
        <v>45945</v>
      </c>
      <c r="K988" s="11">
        <f>IF(Table1[[#This Row],[Delivery Date]]&lt;&gt;"",1,0)</f>
        <v>1</v>
      </c>
      <c r="L988" s="3" t="s">
        <v>3</v>
      </c>
      <c r="M988" s="3">
        <f>IF(Table1[[#This Row],[Cancellation Status]]&lt;&gt;"Yes",1,0)</f>
        <v>0</v>
      </c>
      <c r="N988" s="3" t="s">
        <v>37</v>
      </c>
      <c r="P988" s="3">
        <v>4</v>
      </c>
      <c r="Q988" s="3">
        <v>4</v>
      </c>
      <c r="R988" s="3">
        <v>6</v>
      </c>
      <c r="T98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88" t="str">
        <f>IF(Table1[[#This Row],[Customer Rating]]&gt;=9,"Promoter",IF(Table1[[#This Row],[Customer Rating]]&gt;=7,"Passive","Detractor"))</f>
        <v>Detractor</v>
      </c>
    </row>
    <row r="989" spans="1:21" ht="14.25" customHeight="1" x14ac:dyDescent="0.3">
      <c r="A989" s="3" t="s">
        <v>1024</v>
      </c>
      <c r="B989" s="3" t="s">
        <v>32</v>
      </c>
      <c r="C989" s="3" t="s">
        <v>27</v>
      </c>
      <c r="D989" s="14">
        <v>45931</v>
      </c>
      <c r="E989" s="11">
        <f>1</f>
        <v>1</v>
      </c>
      <c r="F989" s="14">
        <v>45936</v>
      </c>
      <c r="G989" s="11">
        <f>IF(Table1[[#This Row],[Pre-Booking Date]]&lt;&gt;"",1,0)</f>
        <v>1</v>
      </c>
      <c r="H989" s="4">
        <v>45939</v>
      </c>
      <c r="I989" s="11">
        <f>IF(Table1[[#This Row],[Booking Date]]&lt;&gt;"",1,0)</f>
        <v>1</v>
      </c>
      <c r="J989" s="30">
        <v>45946</v>
      </c>
      <c r="K989" s="11">
        <f>IF(Table1[[#This Row],[Delivery Date]]&lt;&gt;"",1,0)</f>
        <v>1</v>
      </c>
      <c r="L989" s="3" t="s">
        <v>2</v>
      </c>
      <c r="M989" s="3">
        <f>IF(Table1[[#This Row],[Cancellation Status]]&lt;&gt;"Yes",1,0)</f>
        <v>1</v>
      </c>
      <c r="O989" s="30">
        <v>45976</v>
      </c>
      <c r="P989" s="3">
        <v>5</v>
      </c>
      <c r="Q989" s="3">
        <v>3</v>
      </c>
      <c r="R989" s="3">
        <v>7</v>
      </c>
      <c r="S989" s="3">
        <v>8</v>
      </c>
      <c r="T98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89" t="str">
        <f>IF(Table1[[#This Row],[Customer Rating]]&gt;=9,"Promoter",IF(Table1[[#This Row],[Customer Rating]]&gt;=7,"Passive","Detractor"))</f>
        <v>Passive</v>
      </c>
    </row>
    <row r="990" spans="1:21" ht="14.25" customHeight="1" x14ac:dyDescent="0.3">
      <c r="A990" s="3" t="s">
        <v>1025</v>
      </c>
      <c r="B990" s="3" t="s">
        <v>26</v>
      </c>
      <c r="C990" s="3" t="s">
        <v>27</v>
      </c>
      <c r="D990" s="14">
        <v>45931</v>
      </c>
      <c r="E990" s="11">
        <f>1</f>
        <v>1</v>
      </c>
      <c r="F990" s="14">
        <v>45935</v>
      </c>
      <c r="G990" s="11">
        <f>IF(Table1[[#This Row],[Pre-Booking Date]]&lt;&gt;"",1,0)</f>
        <v>1</v>
      </c>
      <c r="H990" s="4">
        <v>45937</v>
      </c>
      <c r="I990" s="11">
        <f>IF(Table1[[#This Row],[Booking Date]]&lt;&gt;"",1,0)</f>
        <v>1</v>
      </c>
      <c r="J990" s="30">
        <v>45940</v>
      </c>
      <c r="K990" s="11">
        <f>IF(Table1[[#This Row],[Delivery Date]]&lt;&gt;"",1,0)</f>
        <v>1</v>
      </c>
      <c r="L990" s="3" t="s">
        <v>2</v>
      </c>
      <c r="M990" s="3">
        <f>IF(Table1[[#This Row],[Cancellation Status]]&lt;&gt;"Yes",1,0)</f>
        <v>1</v>
      </c>
      <c r="O990" s="30">
        <v>45952</v>
      </c>
      <c r="P990" s="3">
        <v>4</v>
      </c>
      <c r="Q990" s="3">
        <v>2</v>
      </c>
      <c r="R990" s="3">
        <v>3</v>
      </c>
      <c r="S990" s="3">
        <v>6</v>
      </c>
      <c r="T99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90" t="str">
        <f>IF(Table1[[#This Row],[Customer Rating]]&gt;=9,"Promoter",IF(Table1[[#This Row],[Customer Rating]]&gt;=7,"Passive","Detractor"))</f>
        <v>Detractor</v>
      </c>
    </row>
    <row r="991" spans="1:21" ht="14.25" customHeight="1" x14ac:dyDescent="0.3">
      <c r="A991" s="3" t="s">
        <v>1026</v>
      </c>
      <c r="B991" s="3" t="s">
        <v>26</v>
      </c>
      <c r="C991" s="3" t="s">
        <v>30</v>
      </c>
      <c r="D991" s="14">
        <v>45931</v>
      </c>
      <c r="E991" s="11">
        <f>1</f>
        <v>1</v>
      </c>
      <c r="F991" s="14">
        <v>45934</v>
      </c>
      <c r="G991" s="11">
        <f>IF(Table1[[#This Row],[Pre-Booking Date]]&lt;&gt;"",1,0)</f>
        <v>1</v>
      </c>
      <c r="H991" s="4">
        <v>45939</v>
      </c>
      <c r="I991" s="11">
        <f>IF(Table1[[#This Row],[Booking Date]]&lt;&gt;"",1,0)</f>
        <v>1</v>
      </c>
      <c r="J991" s="30">
        <v>45943</v>
      </c>
      <c r="K991" s="11">
        <f>IF(Table1[[#This Row],[Delivery Date]]&lt;&gt;"",1,0)</f>
        <v>1</v>
      </c>
      <c r="L991" s="3" t="s">
        <v>2</v>
      </c>
      <c r="M991" s="3">
        <f>IF(Table1[[#This Row],[Cancellation Status]]&lt;&gt;"Yes",1,0)</f>
        <v>1</v>
      </c>
      <c r="O991" s="30">
        <v>45971</v>
      </c>
      <c r="P991" s="3">
        <v>3</v>
      </c>
      <c r="Q991" s="3">
        <v>5</v>
      </c>
      <c r="R991" s="3">
        <v>4</v>
      </c>
      <c r="S991" s="3">
        <v>4</v>
      </c>
      <c r="T99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91" t="str">
        <f>IF(Table1[[#This Row],[Customer Rating]]&gt;=9,"Promoter",IF(Table1[[#This Row],[Customer Rating]]&gt;=7,"Passive","Detractor"))</f>
        <v>Detractor</v>
      </c>
    </row>
    <row r="992" spans="1:21" ht="14.25" customHeight="1" x14ac:dyDescent="0.3">
      <c r="A992" s="3" t="s">
        <v>1027</v>
      </c>
      <c r="B992" s="3" t="s">
        <v>26</v>
      </c>
      <c r="C992" s="3" t="s">
        <v>30</v>
      </c>
      <c r="D992" s="14">
        <v>45931</v>
      </c>
      <c r="E992" s="11">
        <f>1</f>
        <v>1</v>
      </c>
      <c r="F992" s="14">
        <v>45934</v>
      </c>
      <c r="G992" s="11">
        <f>IF(Table1[[#This Row],[Pre-Booking Date]]&lt;&gt;"",1,0)</f>
        <v>1</v>
      </c>
      <c r="H992" s="4">
        <v>45935</v>
      </c>
      <c r="I992" s="11">
        <f>IF(Table1[[#This Row],[Booking Date]]&lt;&gt;"",1,0)</f>
        <v>1</v>
      </c>
      <c r="J992" s="30">
        <v>45940</v>
      </c>
      <c r="K992" s="11">
        <f>IF(Table1[[#This Row],[Delivery Date]]&lt;&gt;"",1,0)</f>
        <v>1</v>
      </c>
      <c r="L992" s="3" t="s">
        <v>2</v>
      </c>
      <c r="M992" s="3">
        <f>IF(Table1[[#This Row],[Cancellation Status]]&lt;&gt;"Yes",1,0)</f>
        <v>1</v>
      </c>
      <c r="O992" s="30">
        <v>45957</v>
      </c>
      <c r="P992" s="3">
        <v>3</v>
      </c>
      <c r="Q992" s="3">
        <v>1</v>
      </c>
      <c r="R992" s="3">
        <v>5</v>
      </c>
      <c r="S992" s="3">
        <v>3</v>
      </c>
      <c r="T992"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92" t="str">
        <f>IF(Table1[[#This Row],[Customer Rating]]&gt;=9,"Promoter",IF(Table1[[#This Row],[Customer Rating]]&gt;=7,"Passive","Detractor"))</f>
        <v>Detractor</v>
      </c>
    </row>
    <row r="993" spans="1:21" ht="14.25" customHeight="1" x14ac:dyDescent="0.3">
      <c r="A993" s="3" t="s">
        <v>1028</v>
      </c>
      <c r="B993" s="3" t="s">
        <v>39</v>
      </c>
      <c r="C993" s="3" t="s">
        <v>27</v>
      </c>
      <c r="D993" s="14">
        <v>45931</v>
      </c>
      <c r="E993" s="11">
        <f>1</f>
        <v>1</v>
      </c>
      <c r="F993" s="14">
        <v>45932</v>
      </c>
      <c r="G993" s="11">
        <f>IF(Table1[[#This Row],[Pre-Booking Date]]&lt;&gt;"",1,0)</f>
        <v>1</v>
      </c>
      <c r="H993" s="4">
        <v>45936</v>
      </c>
      <c r="I993" s="11">
        <f>IF(Table1[[#This Row],[Booking Date]]&lt;&gt;"",1,0)</f>
        <v>1</v>
      </c>
      <c r="J993" s="30">
        <v>45940</v>
      </c>
      <c r="K993" s="11">
        <f>IF(Table1[[#This Row],[Delivery Date]]&lt;&gt;"",1,0)</f>
        <v>1</v>
      </c>
      <c r="L993" s="3" t="s">
        <v>3</v>
      </c>
      <c r="M993" s="3">
        <f>IF(Table1[[#This Row],[Cancellation Status]]&lt;&gt;"Yes",1,0)</f>
        <v>0</v>
      </c>
      <c r="N993" s="3" t="s">
        <v>34</v>
      </c>
      <c r="P993" s="3">
        <v>1</v>
      </c>
      <c r="Q993" s="3">
        <v>4</v>
      </c>
      <c r="R993" s="3">
        <v>4</v>
      </c>
      <c r="T993"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Cancelled (Lead Stage)</v>
      </c>
      <c r="U993" t="str">
        <f>IF(Table1[[#This Row],[Customer Rating]]&gt;=9,"Promoter",IF(Table1[[#This Row],[Customer Rating]]&gt;=7,"Passive","Detractor"))</f>
        <v>Detractor</v>
      </c>
    </row>
    <row r="994" spans="1:21" ht="14.25" customHeight="1" x14ac:dyDescent="0.3">
      <c r="A994" s="3" t="s">
        <v>1029</v>
      </c>
      <c r="B994" s="3" t="s">
        <v>29</v>
      </c>
      <c r="C994" s="3" t="s">
        <v>30</v>
      </c>
      <c r="D994" s="14">
        <v>45931</v>
      </c>
      <c r="E994" s="11">
        <f>1</f>
        <v>1</v>
      </c>
      <c r="F994" s="14">
        <v>45933</v>
      </c>
      <c r="G994" s="11">
        <f>IF(Table1[[#This Row],[Pre-Booking Date]]&lt;&gt;"",1,0)</f>
        <v>1</v>
      </c>
      <c r="H994" s="4">
        <v>45936</v>
      </c>
      <c r="I994" s="11">
        <f>IF(Table1[[#This Row],[Booking Date]]&lt;&gt;"",1,0)</f>
        <v>1</v>
      </c>
      <c r="J994" s="30">
        <v>45939</v>
      </c>
      <c r="K994" s="11">
        <f>IF(Table1[[#This Row],[Delivery Date]]&lt;&gt;"",1,0)</f>
        <v>1</v>
      </c>
      <c r="L994" s="3" t="s">
        <v>2</v>
      </c>
      <c r="M994" s="3">
        <f>IF(Table1[[#This Row],[Cancellation Status]]&lt;&gt;"Yes",1,0)</f>
        <v>1</v>
      </c>
      <c r="O994" s="30">
        <v>45965</v>
      </c>
      <c r="P994" s="3">
        <v>2</v>
      </c>
      <c r="Q994" s="3">
        <v>3</v>
      </c>
      <c r="R994" s="3">
        <v>3</v>
      </c>
      <c r="S994" s="3">
        <v>6</v>
      </c>
      <c r="T994"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94" t="str">
        <f>IF(Table1[[#This Row],[Customer Rating]]&gt;=9,"Promoter",IF(Table1[[#This Row],[Customer Rating]]&gt;=7,"Passive","Detractor"))</f>
        <v>Detractor</v>
      </c>
    </row>
    <row r="995" spans="1:21" ht="14.25" customHeight="1" x14ac:dyDescent="0.3">
      <c r="A995" s="3" t="s">
        <v>1030</v>
      </c>
      <c r="B995" s="3" t="s">
        <v>32</v>
      </c>
      <c r="C995" s="3" t="s">
        <v>27</v>
      </c>
      <c r="D995" s="14">
        <v>45931</v>
      </c>
      <c r="E995" s="11">
        <f>1</f>
        <v>1</v>
      </c>
      <c r="F995" s="14">
        <v>45935</v>
      </c>
      <c r="G995" s="11">
        <f>IF(Table1[[#This Row],[Pre-Booking Date]]&lt;&gt;"",1,0)</f>
        <v>1</v>
      </c>
      <c r="H995" s="4">
        <v>45936</v>
      </c>
      <c r="I995" s="11">
        <f>IF(Table1[[#This Row],[Booking Date]]&lt;&gt;"",1,0)</f>
        <v>1</v>
      </c>
      <c r="J995" s="30">
        <v>45939</v>
      </c>
      <c r="K995" s="11">
        <f>IF(Table1[[#This Row],[Delivery Date]]&lt;&gt;"",1,0)</f>
        <v>1</v>
      </c>
      <c r="L995" s="3" t="s">
        <v>2</v>
      </c>
      <c r="M995" s="3">
        <f>IF(Table1[[#This Row],[Cancellation Status]]&lt;&gt;"Yes",1,0)</f>
        <v>1</v>
      </c>
      <c r="O995" s="30">
        <v>45965</v>
      </c>
      <c r="P995" s="3">
        <v>4</v>
      </c>
      <c r="Q995" s="3">
        <v>1</v>
      </c>
      <c r="R995" s="3">
        <v>3</v>
      </c>
      <c r="S995" s="3">
        <v>3</v>
      </c>
      <c r="T995"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95" t="str">
        <f>IF(Table1[[#This Row],[Customer Rating]]&gt;=9,"Promoter",IF(Table1[[#This Row],[Customer Rating]]&gt;=7,"Passive","Detractor"))</f>
        <v>Detractor</v>
      </c>
    </row>
    <row r="996" spans="1:21" ht="14.25" customHeight="1" x14ac:dyDescent="0.3">
      <c r="A996" s="3" t="s">
        <v>1031</v>
      </c>
      <c r="B996" s="3" t="s">
        <v>29</v>
      </c>
      <c r="C996" s="3" t="s">
        <v>27</v>
      </c>
      <c r="D996" s="14">
        <v>45931</v>
      </c>
      <c r="E996" s="11">
        <f>1</f>
        <v>1</v>
      </c>
      <c r="F996" s="14">
        <v>45936</v>
      </c>
      <c r="G996" s="11">
        <f>IF(Table1[[#This Row],[Pre-Booking Date]]&lt;&gt;"",1,0)</f>
        <v>1</v>
      </c>
      <c r="H996" s="4">
        <v>45940</v>
      </c>
      <c r="I996" s="11">
        <f>IF(Table1[[#This Row],[Booking Date]]&lt;&gt;"",1,0)</f>
        <v>1</v>
      </c>
      <c r="J996" s="30">
        <v>45942</v>
      </c>
      <c r="K996" s="11">
        <f>IF(Table1[[#This Row],[Delivery Date]]&lt;&gt;"",1,0)</f>
        <v>1</v>
      </c>
      <c r="L996" s="3" t="s">
        <v>2</v>
      </c>
      <c r="M996" s="3">
        <f>IF(Table1[[#This Row],[Cancellation Status]]&lt;&gt;"Yes",1,0)</f>
        <v>1</v>
      </c>
      <c r="O996" s="30">
        <v>45967</v>
      </c>
      <c r="P996" s="3">
        <v>5</v>
      </c>
      <c r="Q996" s="3">
        <v>4</v>
      </c>
      <c r="R996" s="3">
        <v>2</v>
      </c>
      <c r="S996" s="3">
        <v>5</v>
      </c>
      <c r="T996"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96" t="str">
        <f>IF(Table1[[#This Row],[Customer Rating]]&gt;=9,"Promoter",IF(Table1[[#This Row],[Customer Rating]]&gt;=7,"Passive","Detractor"))</f>
        <v>Detractor</v>
      </c>
    </row>
    <row r="997" spans="1:21" ht="14.25" customHeight="1" x14ac:dyDescent="0.3">
      <c r="A997" s="3" t="s">
        <v>1032</v>
      </c>
      <c r="B997" s="3" t="s">
        <v>26</v>
      </c>
      <c r="C997" s="3" t="s">
        <v>27</v>
      </c>
      <c r="D997" s="14">
        <v>45931</v>
      </c>
      <c r="E997" s="11">
        <f>1</f>
        <v>1</v>
      </c>
      <c r="F997" s="14">
        <v>45934</v>
      </c>
      <c r="G997" s="11">
        <f>IF(Table1[[#This Row],[Pre-Booking Date]]&lt;&gt;"",1,0)</f>
        <v>1</v>
      </c>
      <c r="H997" s="4">
        <v>45937</v>
      </c>
      <c r="I997" s="11">
        <f>IF(Table1[[#This Row],[Booking Date]]&lt;&gt;"",1,0)</f>
        <v>1</v>
      </c>
      <c r="J997" s="30">
        <v>45942</v>
      </c>
      <c r="K997" s="11">
        <f>IF(Table1[[#This Row],[Delivery Date]]&lt;&gt;"",1,0)</f>
        <v>1</v>
      </c>
      <c r="L997" s="3" t="s">
        <v>2</v>
      </c>
      <c r="M997" s="3">
        <f>IF(Table1[[#This Row],[Cancellation Status]]&lt;&gt;"Yes",1,0)</f>
        <v>1</v>
      </c>
      <c r="O997" s="30">
        <v>45954</v>
      </c>
      <c r="P997" s="3">
        <v>3</v>
      </c>
      <c r="Q997" s="3">
        <v>3</v>
      </c>
      <c r="R997" s="3">
        <v>5</v>
      </c>
      <c r="S997" s="3">
        <v>7</v>
      </c>
      <c r="T997"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97" t="str">
        <f>IF(Table1[[#This Row],[Customer Rating]]&gt;=9,"Promoter",IF(Table1[[#This Row],[Customer Rating]]&gt;=7,"Passive","Detractor"))</f>
        <v>Passive</v>
      </c>
    </row>
    <row r="998" spans="1:21" ht="14.25" customHeight="1" x14ac:dyDescent="0.3">
      <c r="A998" s="3" t="s">
        <v>1033</v>
      </c>
      <c r="B998" s="3" t="s">
        <v>39</v>
      </c>
      <c r="C998" s="3" t="s">
        <v>27</v>
      </c>
      <c r="D998" s="14">
        <v>45931</v>
      </c>
      <c r="E998" s="11">
        <f>1</f>
        <v>1</v>
      </c>
      <c r="F998" s="14">
        <v>45935</v>
      </c>
      <c r="G998" s="11">
        <f>IF(Table1[[#This Row],[Pre-Booking Date]]&lt;&gt;"",1,0)</f>
        <v>1</v>
      </c>
      <c r="H998" s="4">
        <v>45940</v>
      </c>
      <c r="I998" s="11">
        <f>IF(Table1[[#This Row],[Booking Date]]&lt;&gt;"",1,0)</f>
        <v>1</v>
      </c>
      <c r="J998" s="30">
        <v>45943</v>
      </c>
      <c r="K998" s="11">
        <f>IF(Table1[[#This Row],[Delivery Date]]&lt;&gt;"",1,0)</f>
        <v>1</v>
      </c>
      <c r="L998" s="3" t="s">
        <v>2</v>
      </c>
      <c r="M998" s="3">
        <f>IF(Table1[[#This Row],[Cancellation Status]]&lt;&gt;"Yes",1,0)</f>
        <v>1</v>
      </c>
      <c r="O998" s="30">
        <v>45955</v>
      </c>
      <c r="P998" s="3">
        <v>4</v>
      </c>
      <c r="Q998" s="3">
        <v>5</v>
      </c>
      <c r="R998" s="3">
        <v>3</v>
      </c>
      <c r="S998" s="3">
        <v>7</v>
      </c>
      <c r="T998"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98" t="str">
        <f>IF(Table1[[#This Row],[Customer Rating]]&gt;=9,"Promoter",IF(Table1[[#This Row],[Customer Rating]]&gt;=7,"Passive","Detractor"))</f>
        <v>Passive</v>
      </c>
    </row>
    <row r="999" spans="1:21" ht="14.25" customHeight="1" x14ac:dyDescent="0.3">
      <c r="A999" s="3" t="s">
        <v>1034</v>
      </c>
      <c r="B999" s="3" t="s">
        <v>26</v>
      </c>
      <c r="C999" s="3" t="s">
        <v>30</v>
      </c>
      <c r="D999" s="14">
        <v>45931</v>
      </c>
      <c r="E999" s="11">
        <f>1</f>
        <v>1</v>
      </c>
      <c r="F999" s="14">
        <v>45932</v>
      </c>
      <c r="G999" s="11">
        <f>IF(Table1[[#This Row],[Pre-Booking Date]]&lt;&gt;"",1,0)</f>
        <v>1</v>
      </c>
      <c r="H999" s="4">
        <v>45937</v>
      </c>
      <c r="I999" s="11">
        <f>IF(Table1[[#This Row],[Booking Date]]&lt;&gt;"",1,0)</f>
        <v>1</v>
      </c>
      <c r="J999" s="30">
        <v>45943</v>
      </c>
      <c r="K999" s="11">
        <f>IF(Table1[[#This Row],[Delivery Date]]&lt;&gt;"",1,0)</f>
        <v>1</v>
      </c>
      <c r="L999" s="3" t="s">
        <v>2</v>
      </c>
      <c r="M999" s="3">
        <f>IF(Table1[[#This Row],[Cancellation Status]]&lt;&gt;"Yes",1,0)</f>
        <v>1</v>
      </c>
      <c r="O999" s="30">
        <v>45961</v>
      </c>
      <c r="P999" s="3">
        <v>1</v>
      </c>
      <c r="Q999" s="3">
        <v>5</v>
      </c>
      <c r="R999" s="3">
        <v>6</v>
      </c>
      <c r="S999" s="3">
        <v>2</v>
      </c>
      <c r="T999"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999" t="str">
        <f>IF(Table1[[#This Row],[Customer Rating]]&gt;=9,"Promoter",IF(Table1[[#This Row],[Customer Rating]]&gt;=7,"Passive","Detractor"))</f>
        <v>Detractor</v>
      </c>
    </row>
    <row r="1000" spans="1:21" ht="14.25" customHeight="1" x14ac:dyDescent="0.3">
      <c r="A1000" s="3" t="s">
        <v>1035</v>
      </c>
      <c r="B1000" s="3" t="s">
        <v>29</v>
      </c>
      <c r="C1000" s="3" t="s">
        <v>30</v>
      </c>
      <c r="D1000" s="14">
        <v>45931</v>
      </c>
      <c r="E1000" s="11">
        <f>1</f>
        <v>1</v>
      </c>
      <c r="F1000" s="14">
        <v>45934</v>
      </c>
      <c r="G1000" s="11">
        <f>IF(Table1[[#This Row],[Pre-Booking Date]]&lt;&gt;"",1,0)</f>
        <v>1</v>
      </c>
      <c r="H1000" s="4">
        <v>45937</v>
      </c>
      <c r="I1000" s="11">
        <f>IF(Table1[[#This Row],[Booking Date]]&lt;&gt;"",1,0)</f>
        <v>1</v>
      </c>
      <c r="J1000" s="30">
        <v>45942</v>
      </c>
      <c r="K1000" s="11">
        <f>IF(Table1[[#This Row],[Delivery Date]]&lt;&gt;"",1,0)</f>
        <v>1</v>
      </c>
      <c r="L1000" s="3" t="s">
        <v>2</v>
      </c>
      <c r="M1000" s="3">
        <f>IF(Table1[[#This Row],[Cancellation Status]]&lt;&gt;"Yes",1,0)</f>
        <v>1</v>
      </c>
      <c r="O1000" s="30">
        <v>45953</v>
      </c>
      <c r="P1000" s="3">
        <v>3</v>
      </c>
      <c r="Q1000" s="3">
        <v>3</v>
      </c>
      <c r="R1000" s="3">
        <v>5</v>
      </c>
      <c r="S1000" s="3">
        <v>4</v>
      </c>
      <c r="T1000"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000" t="str">
        <f>IF(Table1[[#This Row],[Customer Rating]]&gt;=9,"Promoter",IF(Table1[[#This Row],[Customer Rating]]&gt;=7,"Passive","Detractor"))</f>
        <v>Detractor</v>
      </c>
    </row>
    <row r="1001" spans="1:21" ht="14.25" customHeight="1" x14ac:dyDescent="0.3">
      <c r="A1001" s="3" t="s">
        <v>1036</v>
      </c>
      <c r="B1001" s="3" t="s">
        <v>26</v>
      </c>
      <c r="C1001" s="3" t="s">
        <v>27</v>
      </c>
      <c r="D1001" s="14">
        <v>45931</v>
      </c>
      <c r="E1001" s="11">
        <f>1</f>
        <v>1</v>
      </c>
      <c r="F1001" s="14">
        <v>45936</v>
      </c>
      <c r="G1001" s="11">
        <f>IF(Table1[[#This Row],[Pre-Booking Date]]&lt;&gt;"",1,0)</f>
        <v>1</v>
      </c>
      <c r="H1001" s="4">
        <v>45941</v>
      </c>
      <c r="I1001" s="11">
        <f>IF(Table1[[#This Row],[Booking Date]]&lt;&gt;"",1,0)</f>
        <v>1</v>
      </c>
      <c r="J1001" s="30">
        <v>45945</v>
      </c>
      <c r="K1001" s="11">
        <f>IF(Table1[[#This Row],[Delivery Date]]&lt;&gt;"",1,0)</f>
        <v>1</v>
      </c>
      <c r="L1001" s="3" t="s">
        <v>2</v>
      </c>
      <c r="M1001" s="3">
        <f>IF(Table1[[#This Row],[Cancellation Status]]&lt;&gt;"Yes",1,0)</f>
        <v>1</v>
      </c>
      <c r="O1001" s="30">
        <v>45963</v>
      </c>
      <c r="P1001" s="3">
        <v>5</v>
      </c>
      <c r="Q1001" s="3">
        <v>5</v>
      </c>
      <c r="R1001" s="3">
        <v>4</v>
      </c>
      <c r="S1001" s="3">
        <v>8</v>
      </c>
      <c r="T1001" t="str">
        <f>IF(Table1[[#This Row],[Cancellation Status]]="Yes",
   IF(Table1[[#This Row],[Delivery Confirmed]]=TRUE,"Delivered",
      IF(Table1[[#This Row],[Is Booked]]=TRUE,"Cancelled (After Booking)",
         IF(Table1[[#This Row],[Is Pre-Booked]]=TRUE,"Cancelled (After Pre-Booking)",
            "Cancelled (Lead Stage)"))),
   IF(Table1[[#This Row],[Delivery Confirmed]]=TRUE,"Delivered",
      IF(Table1[[#This Row],[Is Booked]]=TRUE,"Booked",
         IF(Table1[[#This Row],[Is Pre-Booked]]=TRUE,"Pre-Booked",
            "Lead"))))</f>
        <v>Lead</v>
      </c>
      <c r="U1001" t="str">
        <f>IF(Table1[[#This Row],[Customer Rating]]&gt;=9,"Promoter",IF(Table1[[#This Row],[Customer Rating]]&gt;=7,"Passive","Detractor"))</f>
        <v>Passive</v>
      </c>
    </row>
  </sheetData>
  <conditionalFormatting sqref="A2">
    <cfRule type="duplicateValues" dxfId="32" priority="1"/>
  </conditionalFormatting>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5"/>
  <sheetViews>
    <sheetView showGridLines="0" zoomScale="76" zoomScaleNormal="70" workbookViewId="0">
      <selection activeCell="K15" sqref="K15"/>
    </sheetView>
  </sheetViews>
  <sheetFormatPr defaultRowHeight="15" customHeight="1" x14ac:dyDescent="0.3"/>
  <cols>
    <col min="1" max="1" width="14.33203125" bestFit="1" customWidth="1"/>
    <col min="2" max="2" width="10.77734375" bestFit="1" customWidth="1"/>
    <col min="3" max="3" width="16" bestFit="1" customWidth="1"/>
    <col min="4" max="4" width="12.5546875" bestFit="1" customWidth="1"/>
    <col min="5" max="5" width="23.88671875" bestFit="1" customWidth="1"/>
    <col min="6" max="6" width="14.109375" style="8" bestFit="1" customWidth="1"/>
    <col min="7" max="7" width="24.5546875" style="8" customWidth="1"/>
    <col min="8" max="8" width="16.44140625" customWidth="1"/>
    <col min="9" max="9" width="22.88671875" customWidth="1"/>
    <col min="10" max="11" width="29.6640625" customWidth="1"/>
    <col min="12" max="12" width="23.88671875" customWidth="1"/>
  </cols>
  <sheetData>
    <row r="1" spans="1:13" ht="16.5" customHeight="1" x14ac:dyDescent="0.3">
      <c r="A1" s="6" t="s">
        <v>6</v>
      </c>
      <c r="B1" t="s">
        <v>1037</v>
      </c>
      <c r="C1" t="s">
        <v>1038</v>
      </c>
      <c r="D1" t="s">
        <v>1039</v>
      </c>
      <c r="E1" t="s">
        <v>1040</v>
      </c>
      <c r="F1" t="s">
        <v>1041</v>
      </c>
      <c r="H1" s="21" t="s">
        <v>6</v>
      </c>
      <c r="I1" s="8" t="s">
        <v>1042</v>
      </c>
      <c r="J1" t="s">
        <v>1043</v>
      </c>
      <c r="K1" s="23" t="s">
        <v>1044</v>
      </c>
      <c r="L1" s="23" t="s">
        <v>1045</v>
      </c>
      <c r="M1" t="s">
        <v>1046</v>
      </c>
    </row>
    <row r="2" spans="1:13" ht="14.4" x14ac:dyDescent="0.3">
      <c r="A2" s="7" t="s">
        <v>29</v>
      </c>
      <c r="B2" s="12">
        <v>263</v>
      </c>
      <c r="C2" s="12">
        <v>212</v>
      </c>
      <c r="D2" s="12">
        <v>212</v>
      </c>
      <c r="E2" s="12">
        <v>212</v>
      </c>
      <c r="F2" s="12">
        <v>191</v>
      </c>
      <c r="H2" s="21" t="str">
        <f>A2</f>
        <v>Bangalore MBC</v>
      </c>
      <c r="I2" s="8">
        <f>C2/B2</f>
        <v>0.80608365019011408</v>
      </c>
      <c r="J2" s="8">
        <f>D2/C2</f>
        <v>1</v>
      </c>
      <c r="K2" s="8">
        <f>E2/D2</f>
        <v>1</v>
      </c>
      <c r="L2" s="8">
        <f>F2/E2</f>
        <v>0.90094339622641506</v>
      </c>
      <c r="M2" s="8">
        <f>F2/B2</f>
        <v>0.72623574144486691</v>
      </c>
    </row>
    <row r="3" spans="1:13" ht="14.4" x14ac:dyDescent="0.3">
      <c r="A3" s="7" t="s">
        <v>39</v>
      </c>
      <c r="B3" s="12">
        <v>212</v>
      </c>
      <c r="C3" s="12">
        <v>173</v>
      </c>
      <c r="D3" s="12">
        <v>173</v>
      </c>
      <c r="E3" s="12">
        <v>173</v>
      </c>
      <c r="F3" s="12">
        <v>153</v>
      </c>
      <c r="H3" s="21" t="str">
        <f>A3</f>
        <v>Chennai MBC</v>
      </c>
      <c r="I3" s="8">
        <f>C3/B3</f>
        <v>0.81603773584905659</v>
      </c>
      <c r="J3" s="8">
        <f>D3/C3</f>
        <v>1</v>
      </c>
      <c r="K3" s="8">
        <f>E3/D3</f>
        <v>1</v>
      </c>
      <c r="L3" s="8">
        <f>F3/E3</f>
        <v>0.88439306358381498</v>
      </c>
      <c r="M3" s="8">
        <f>F3/B3</f>
        <v>0.72169811320754718</v>
      </c>
    </row>
    <row r="4" spans="1:13" ht="14.4" x14ac:dyDescent="0.3">
      <c r="A4" s="7" t="s">
        <v>32</v>
      </c>
      <c r="B4" s="12">
        <v>263</v>
      </c>
      <c r="C4" s="12">
        <v>212</v>
      </c>
      <c r="D4" s="12">
        <v>212</v>
      </c>
      <c r="E4" s="12">
        <v>212</v>
      </c>
      <c r="F4" s="12">
        <v>186</v>
      </c>
      <c r="H4" s="21" t="str">
        <f>A4</f>
        <v>Delhi MBC</v>
      </c>
      <c r="I4" s="8">
        <f>C4/B4</f>
        <v>0.80608365019011408</v>
      </c>
      <c r="J4" s="8">
        <f>D4/C4</f>
        <v>1</v>
      </c>
      <c r="K4" s="8">
        <f>E4/D4</f>
        <v>1</v>
      </c>
      <c r="L4" s="8">
        <f>F4/E4</f>
        <v>0.87735849056603776</v>
      </c>
      <c r="M4" s="8">
        <f>F4/B4</f>
        <v>0.70722433460076051</v>
      </c>
    </row>
    <row r="5" spans="1:13" ht="14.4" x14ac:dyDescent="0.3">
      <c r="A5" s="7" t="s">
        <v>26</v>
      </c>
      <c r="B5" s="12">
        <v>262</v>
      </c>
      <c r="C5" s="12">
        <v>215</v>
      </c>
      <c r="D5" s="12">
        <v>215</v>
      </c>
      <c r="E5" s="12">
        <v>215</v>
      </c>
      <c r="F5" s="12">
        <v>199</v>
      </c>
      <c r="H5" s="21" t="str">
        <f>A5</f>
        <v>Mumbai MBC</v>
      </c>
      <c r="I5" s="8">
        <f>C5/B5</f>
        <v>0.82061068702290074</v>
      </c>
      <c r="J5" s="8">
        <f>D5/C5</f>
        <v>1</v>
      </c>
      <c r="K5" s="8">
        <f>E5/D5</f>
        <v>1</v>
      </c>
      <c r="L5" s="8">
        <f>F5/E5</f>
        <v>0.92558139534883721</v>
      </c>
      <c r="M5" s="8">
        <f>F5/B5</f>
        <v>0.75954198473282442</v>
      </c>
    </row>
    <row r="6" spans="1:13" ht="14.4" x14ac:dyDescent="0.3">
      <c r="A6" s="7" t="s">
        <v>4</v>
      </c>
      <c r="B6" s="12">
        <v>1000</v>
      </c>
      <c r="C6" s="12">
        <v>812</v>
      </c>
      <c r="D6" s="12">
        <v>812</v>
      </c>
      <c r="E6" s="12">
        <v>812</v>
      </c>
      <c r="F6" s="12">
        <v>729</v>
      </c>
      <c r="H6" s="21" t="s">
        <v>1047</v>
      </c>
      <c r="I6" s="8">
        <f>C6/B6</f>
        <v>0.81200000000000006</v>
      </c>
      <c r="J6" s="8">
        <f>D6/C6</f>
        <v>1</v>
      </c>
      <c r="K6" s="8">
        <f>E6/D6</f>
        <v>1</v>
      </c>
      <c r="L6" s="8">
        <f>F6/E6</f>
        <v>0.89778325123152714</v>
      </c>
      <c r="M6" s="8">
        <f>F6/B6</f>
        <v>0.72899999999999998</v>
      </c>
    </row>
    <row r="7" spans="1:13" ht="14.4" x14ac:dyDescent="0.3">
      <c r="E7" s="8"/>
    </row>
    <row r="16" spans="1:13" ht="14.4" x14ac:dyDescent="0.3">
      <c r="A16" s="17"/>
      <c r="B16" s="17"/>
      <c r="C16" s="17"/>
      <c r="D16" s="17"/>
      <c r="E16" s="17"/>
    </row>
    <row r="93" ht="14.4" x14ac:dyDescent="0.3"/>
    <row r="94" ht="14.4" x14ac:dyDescent="0.3"/>
    <row r="95" ht="14.4" x14ac:dyDescent="0.3"/>
    <row r="96" ht="14.4" x14ac:dyDescent="0.3"/>
    <row r="97" spans="1:7" ht="14.4" x14ac:dyDescent="0.3"/>
    <row r="100" spans="1:7" ht="14.4" x14ac:dyDescent="0.3">
      <c r="A100" t="str">
        <f t="shared" ref="A100:F105" si="0">A1</f>
        <v>Store Name</v>
      </c>
      <c r="B100" t="str">
        <f t="shared" si="0"/>
        <v>Total Leads</v>
      </c>
      <c r="C100" t="str">
        <f t="shared" si="0"/>
        <v>Total Pre-Booked</v>
      </c>
      <c r="D100" t="str">
        <f t="shared" si="0"/>
        <v>Total Booked</v>
      </c>
      <c r="E100" t="str">
        <f t="shared" si="0"/>
        <v>Total Deliveries Confirmed</v>
      </c>
      <c r="F100" t="str">
        <f t="shared" si="0"/>
        <v>Total Delivered</v>
      </c>
      <c r="G100"/>
    </row>
    <row r="101" spans="1:7" ht="14.4" x14ac:dyDescent="0.3">
      <c r="A101" t="str">
        <f t="shared" si="0"/>
        <v>Bangalore MBC</v>
      </c>
      <c r="B101">
        <f t="shared" si="0"/>
        <v>263</v>
      </c>
      <c r="C101">
        <f t="shared" si="0"/>
        <v>212</v>
      </c>
      <c r="D101">
        <f t="shared" si="0"/>
        <v>212</v>
      </c>
      <c r="E101">
        <f t="shared" si="0"/>
        <v>212</v>
      </c>
      <c r="F101">
        <f t="shared" si="0"/>
        <v>191</v>
      </c>
      <c r="G101"/>
    </row>
    <row r="102" spans="1:7" ht="14.4" x14ac:dyDescent="0.3">
      <c r="A102" t="str">
        <f t="shared" si="0"/>
        <v>Chennai MBC</v>
      </c>
      <c r="B102">
        <f t="shared" si="0"/>
        <v>212</v>
      </c>
      <c r="C102">
        <f t="shared" si="0"/>
        <v>173</v>
      </c>
      <c r="D102">
        <f t="shared" si="0"/>
        <v>173</v>
      </c>
      <c r="E102">
        <f t="shared" si="0"/>
        <v>173</v>
      </c>
      <c r="F102">
        <f t="shared" si="0"/>
        <v>153</v>
      </c>
      <c r="G102"/>
    </row>
    <row r="103" spans="1:7" ht="14.4" x14ac:dyDescent="0.3">
      <c r="A103" t="str">
        <f t="shared" si="0"/>
        <v>Delhi MBC</v>
      </c>
      <c r="B103">
        <f t="shared" si="0"/>
        <v>263</v>
      </c>
      <c r="C103">
        <f t="shared" si="0"/>
        <v>212</v>
      </c>
      <c r="D103">
        <f t="shared" si="0"/>
        <v>212</v>
      </c>
      <c r="E103">
        <f t="shared" si="0"/>
        <v>212</v>
      </c>
      <c r="F103">
        <f t="shared" si="0"/>
        <v>186</v>
      </c>
      <c r="G103"/>
    </row>
    <row r="104" spans="1:7" ht="14.4" x14ac:dyDescent="0.3">
      <c r="A104" t="str">
        <f t="shared" si="0"/>
        <v>Mumbai MBC</v>
      </c>
      <c r="B104">
        <f t="shared" si="0"/>
        <v>262</v>
      </c>
      <c r="C104">
        <f t="shared" si="0"/>
        <v>215</v>
      </c>
      <c r="D104">
        <f t="shared" si="0"/>
        <v>215</v>
      </c>
      <c r="E104">
        <f t="shared" si="0"/>
        <v>215</v>
      </c>
      <c r="F104">
        <f t="shared" si="0"/>
        <v>199</v>
      </c>
      <c r="G104"/>
    </row>
    <row r="105" spans="1:7" ht="14.4" x14ac:dyDescent="0.3">
      <c r="A105" t="str">
        <f t="shared" si="0"/>
        <v>Grand Total</v>
      </c>
      <c r="B105">
        <f t="shared" si="0"/>
        <v>1000</v>
      </c>
      <c r="C105">
        <f t="shared" si="0"/>
        <v>812</v>
      </c>
      <c r="D105">
        <f t="shared" si="0"/>
        <v>812</v>
      </c>
      <c r="E105">
        <f t="shared" si="0"/>
        <v>812</v>
      </c>
      <c r="F105">
        <f t="shared" si="0"/>
        <v>729</v>
      </c>
      <c r="G105"/>
    </row>
  </sheetData>
  <pageMargins left="0.7" right="0.7" top="0.75" bottom="0.75" header="0.3" footer="0.3"/>
  <drawing r:id="rId2"/>
  <tableParts count="2">
    <tablePart r:id="rId3"/>
    <tablePart r:id="rId4"/>
  </tableParts>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5"/>
  <sheetViews>
    <sheetView showGridLines="0" zoomScale="71" workbookViewId="0">
      <selection activeCell="Q19" sqref="Q19"/>
    </sheetView>
  </sheetViews>
  <sheetFormatPr defaultRowHeight="14.4" x14ac:dyDescent="0.3"/>
  <cols>
    <col min="1" max="1" width="14.5546875" bestFit="1" customWidth="1"/>
    <col min="2" max="2" width="21" bestFit="1" customWidth="1"/>
    <col min="3" max="3" width="17.5546875" bestFit="1" customWidth="1"/>
    <col min="4" max="4" width="17.44140625" bestFit="1" customWidth="1"/>
    <col min="5" max="5" width="8.88671875" customWidth="1"/>
    <col min="13" max="13" width="2.6640625" customWidth="1"/>
    <col min="14" max="14" width="13.44140625" customWidth="1"/>
  </cols>
  <sheetData>
    <row r="1" spans="1:4" x14ac:dyDescent="0.3">
      <c r="A1" s="6" t="s">
        <v>6</v>
      </c>
      <c r="B1" t="s">
        <v>1048</v>
      </c>
      <c r="C1" t="s">
        <v>1049</v>
      </c>
      <c r="D1" t="s">
        <v>1050</v>
      </c>
    </row>
    <row r="2" spans="1:4" x14ac:dyDescent="0.3">
      <c r="A2" s="7" t="s">
        <v>29</v>
      </c>
      <c r="B2" s="9">
        <v>3.1179245283018866</v>
      </c>
      <c r="C2" s="9">
        <v>3.0330188679245285</v>
      </c>
      <c r="D2" s="9">
        <v>4.5141509433962268</v>
      </c>
    </row>
    <row r="3" spans="1:4" x14ac:dyDescent="0.3">
      <c r="A3" s="7" t="s">
        <v>39</v>
      </c>
      <c r="B3" s="9">
        <v>3.1213872832369942</v>
      </c>
      <c r="C3" s="9">
        <v>3.2023121387283235</v>
      </c>
      <c r="D3" s="9">
        <v>4.3872832369942198</v>
      </c>
    </row>
    <row r="4" spans="1:4" x14ac:dyDescent="0.3">
      <c r="A4" s="7" t="s">
        <v>32</v>
      </c>
      <c r="B4" s="9">
        <v>3.0283018867924527</v>
      </c>
      <c r="C4" s="9">
        <v>3.0188679245283021</v>
      </c>
      <c r="D4" s="9">
        <v>4.283018867924528</v>
      </c>
    </row>
    <row r="5" spans="1:4" x14ac:dyDescent="0.3">
      <c r="A5" s="7" t="s">
        <v>26</v>
      </c>
      <c r="B5" s="9">
        <v>2.9767441860465116</v>
      </c>
      <c r="C5" s="9">
        <v>3.0465116279069768</v>
      </c>
      <c r="D5" s="9">
        <v>4.6279069767441863</v>
      </c>
    </row>
    <row r="6" spans="1:4" x14ac:dyDescent="0.3">
      <c r="A6" s="7" t="s">
        <v>4</v>
      </c>
      <c r="B6" s="9">
        <v>3.0578817733990147</v>
      </c>
      <c r="C6" s="9">
        <v>3.0689655172413794</v>
      </c>
      <c r="D6" s="9">
        <v>4.4568965517241379</v>
      </c>
    </row>
    <row r="100" spans="1:4" x14ac:dyDescent="0.3">
      <c r="A100" t="str">
        <f t="shared" ref="A100:D104" si="0">A1</f>
        <v>Store Name</v>
      </c>
      <c r="B100" t="str">
        <f t="shared" si="0"/>
        <v>Pre-Booking (Avg Days)</v>
      </c>
      <c r="C100" t="str">
        <f t="shared" si="0"/>
        <v>Booking (Avg Days)</v>
      </c>
      <c r="D100" t="str">
        <f t="shared" si="0"/>
        <v>Delivery (Avg Days)</v>
      </c>
    </row>
    <row r="101" spans="1:4" x14ac:dyDescent="0.3">
      <c r="A101" t="str">
        <f t="shared" si="0"/>
        <v>Bangalore MBC</v>
      </c>
      <c r="B101" s="9">
        <f t="shared" si="0"/>
        <v>3.1179245283018866</v>
      </c>
      <c r="C101" s="9">
        <f t="shared" si="0"/>
        <v>3.0330188679245285</v>
      </c>
      <c r="D101" s="9">
        <f t="shared" si="0"/>
        <v>4.5141509433962268</v>
      </c>
    </row>
    <row r="102" spans="1:4" x14ac:dyDescent="0.3">
      <c r="A102" t="str">
        <f t="shared" si="0"/>
        <v>Chennai MBC</v>
      </c>
      <c r="B102" s="9">
        <f t="shared" si="0"/>
        <v>3.1213872832369942</v>
      </c>
      <c r="C102" s="9">
        <f t="shared" si="0"/>
        <v>3.2023121387283235</v>
      </c>
      <c r="D102" s="9">
        <f t="shared" si="0"/>
        <v>4.3872832369942198</v>
      </c>
    </row>
    <row r="103" spans="1:4" x14ac:dyDescent="0.3">
      <c r="A103" t="str">
        <f t="shared" si="0"/>
        <v>Delhi MBC</v>
      </c>
      <c r="B103" s="9">
        <f t="shared" si="0"/>
        <v>3.0283018867924527</v>
      </c>
      <c r="C103" s="9">
        <f t="shared" si="0"/>
        <v>3.0188679245283021</v>
      </c>
      <c r="D103" s="9">
        <f t="shared" si="0"/>
        <v>4.283018867924528</v>
      </c>
    </row>
    <row r="104" spans="1:4" x14ac:dyDescent="0.3">
      <c r="A104" t="str">
        <f t="shared" si="0"/>
        <v>Mumbai MBC</v>
      </c>
      <c r="B104" s="9">
        <f t="shared" si="0"/>
        <v>2.9767441860465116</v>
      </c>
      <c r="C104" s="9">
        <f t="shared" si="0"/>
        <v>3.0465116279069768</v>
      </c>
      <c r="D104" s="9">
        <f t="shared" si="0"/>
        <v>4.6279069767441863</v>
      </c>
    </row>
    <row r="106" spans="1:4" x14ac:dyDescent="0.3">
      <c r="A106" s="16" t="s">
        <v>1051</v>
      </c>
      <c r="B106" s="16" t="s">
        <v>1052</v>
      </c>
      <c r="C106" s="16" t="s">
        <v>1053</v>
      </c>
    </row>
    <row r="107" spans="1:4" x14ac:dyDescent="0.3">
      <c r="A107" s="9">
        <f>AVERAGE(B2:D2)</f>
        <v>3.5550314465408803</v>
      </c>
      <c r="B107" s="18">
        <f>MIN(A107:A110)</f>
        <v>3.4433962264150941</v>
      </c>
      <c r="C107" t="str">
        <f>INDEX(A2:A5,MATCH(B107,A107:A110,0))</f>
        <v>Delhi MBC</v>
      </c>
    </row>
    <row r="108" spans="1:4" x14ac:dyDescent="0.3">
      <c r="A108" s="9">
        <f>AVERAGE(B3:D3)</f>
        <v>3.5703275529865124</v>
      </c>
    </row>
    <row r="109" spans="1:4" x14ac:dyDescent="0.3">
      <c r="A109" s="9">
        <f>AVERAGE(B4:D4)</f>
        <v>3.4433962264150941</v>
      </c>
    </row>
    <row r="110" spans="1:4" x14ac:dyDescent="0.3">
      <c r="A110" s="9">
        <f>AVERAGE(B5:D5)</f>
        <v>3.5503875968992253</v>
      </c>
    </row>
    <row r="111" spans="1:4" x14ac:dyDescent="0.3">
      <c r="A111" s="9">
        <f>AVERAGE(B6:D6)</f>
        <v>3.5279146141215105</v>
      </c>
    </row>
    <row r="114" spans="1:2" x14ac:dyDescent="0.3">
      <c r="A114" s="16" t="s">
        <v>1054</v>
      </c>
      <c r="B114" s="16" t="s">
        <v>1055</v>
      </c>
    </row>
    <row r="115" spans="1:2" x14ac:dyDescent="0.3">
      <c r="A115" s="9">
        <f>MAX(B6:D6)</f>
        <v>4.4568965517241379</v>
      </c>
      <c r="B115" t="str">
        <f>INDEX(B1:D1, MATCH(A115, B6:D6, 0))</f>
        <v>Delivery (Avg Days)</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7"/>
  <sheetViews>
    <sheetView showGridLines="0" zoomScale="78" zoomScaleNormal="74" workbookViewId="0">
      <selection activeCell="H100" sqref="H100"/>
    </sheetView>
  </sheetViews>
  <sheetFormatPr defaultRowHeight="14.4" x14ac:dyDescent="0.3"/>
  <cols>
    <col min="1" max="1" width="15.5546875" bestFit="1" customWidth="1"/>
    <col min="2" max="2" width="16.88671875" bestFit="1" customWidth="1"/>
    <col min="3" max="3" width="12.88671875" bestFit="1" customWidth="1"/>
    <col min="4" max="4" width="10.109375" bestFit="1" customWidth="1"/>
    <col min="5" max="5" width="13" bestFit="1" customWidth="1"/>
    <col min="6" max="6" width="11.44140625" bestFit="1" customWidth="1"/>
    <col min="8" max="8" width="15.109375" bestFit="1" customWidth="1"/>
    <col min="9" max="9" width="15.77734375" bestFit="1" customWidth="1"/>
    <col min="10" max="10" width="12.33203125" bestFit="1" customWidth="1"/>
    <col min="11" max="11" width="9.6640625" bestFit="1" customWidth="1"/>
    <col min="12" max="12" width="12.5546875" bestFit="1" customWidth="1"/>
    <col min="13" max="13" width="10.77734375" bestFit="1" customWidth="1"/>
    <col min="19" max="19" width="15.6640625" bestFit="1" customWidth="1"/>
    <col min="20" max="20" width="16.6640625" bestFit="1" customWidth="1"/>
    <col min="21" max="21" width="12.5546875" bestFit="1" customWidth="1"/>
    <col min="22" max="22" width="9.88671875" bestFit="1" customWidth="1"/>
    <col min="23" max="23" width="12.6640625" bestFit="1" customWidth="1"/>
    <col min="24" max="24" width="11.33203125" bestFit="1" customWidth="1"/>
  </cols>
  <sheetData>
    <row r="1" spans="1:6" x14ac:dyDescent="0.3">
      <c r="A1" s="6" t="s">
        <v>1</v>
      </c>
      <c r="B1" s="6" t="s">
        <v>1056</v>
      </c>
    </row>
    <row r="2" spans="1:6" x14ac:dyDescent="0.3">
      <c r="A2" s="6" t="s">
        <v>1057</v>
      </c>
      <c r="B2" t="s">
        <v>29</v>
      </c>
      <c r="C2" t="s">
        <v>39</v>
      </c>
      <c r="D2" t="s">
        <v>32</v>
      </c>
      <c r="E2" t="s">
        <v>26</v>
      </c>
      <c r="F2" t="s">
        <v>4</v>
      </c>
    </row>
    <row r="3" spans="1:6" x14ac:dyDescent="0.3">
      <c r="A3" s="7" t="s">
        <v>33</v>
      </c>
      <c r="B3">
        <v>51</v>
      </c>
      <c r="C3">
        <v>39</v>
      </c>
      <c r="D3">
        <v>51</v>
      </c>
      <c r="E3">
        <v>47</v>
      </c>
      <c r="F3">
        <v>188</v>
      </c>
    </row>
    <row r="4" spans="1:6" x14ac:dyDescent="0.3">
      <c r="A4" s="7" t="s">
        <v>30</v>
      </c>
      <c r="B4">
        <v>80</v>
      </c>
      <c r="C4">
        <v>70</v>
      </c>
      <c r="D4">
        <v>70</v>
      </c>
      <c r="E4">
        <v>83</v>
      </c>
      <c r="F4">
        <v>303</v>
      </c>
    </row>
    <row r="5" spans="1:6" x14ac:dyDescent="0.3">
      <c r="A5" s="7" t="s">
        <v>27</v>
      </c>
      <c r="B5">
        <v>132</v>
      </c>
      <c r="C5">
        <v>103</v>
      </c>
      <c r="D5">
        <v>142</v>
      </c>
      <c r="E5">
        <v>132</v>
      </c>
      <c r="F5">
        <v>509</v>
      </c>
    </row>
    <row r="6" spans="1:6" x14ac:dyDescent="0.3">
      <c r="A6" s="7" t="s">
        <v>4</v>
      </c>
      <c r="B6">
        <v>263</v>
      </c>
      <c r="C6">
        <v>212</v>
      </c>
      <c r="D6">
        <v>263</v>
      </c>
      <c r="E6">
        <v>262</v>
      </c>
      <c r="F6">
        <v>1000</v>
      </c>
    </row>
    <row r="100" spans="1:19" x14ac:dyDescent="0.3">
      <c r="A100" t="s">
        <v>1057</v>
      </c>
      <c r="B100" t="s">
        <v>29</v>
      </c>
      <c r="C100" t="s">
        <v>39</v>
      </c>
      <c r="D100" t="s">
        <v>32</v>
      </c>
      <c r="E100" t="s">
        <v>26</v>
      </c>
      <c r="F100" t="s">
        <v>4</v>
      </c>
      <c r="H100" s="6" t="s">
        <v>1</v>
      </c>
      <c r="I100" s="6" t="s">
        <v>1056</v>
      </c>
      <c r="O100" t="str">
        <f t="shared" ref="O100:S103" si="0">H101</f>
        <v>Row Labels</v>
      </c>
      <c r="P100" t="str">
        <f t="shared" si="0"/>
        <v>Bangalore MBC</v>
      </c>
      <c r="Q100" t="str">
        <f t="shared" si="0"/>
        <v>Chennai MBC</v>
      </c>
      <c r="R100" t="str">
        <f t="shared" si="0"/>
        <v>Delhi MBC</v>
      </c>
      <c r="S100" t="str">
        <f t="shared" si="0"/>
        <v>Mumbai MBC</v>
      </c>
    </row>
    <row r="101" spans="1:19" x14ac:dyDescent="0.3">
      <c r="A101" t="str">
        <f t="shared" ref="A101:F103" si="1">A3</f>
        <v>Cold</v>
      </c>
      <c r="B101">
        <f t="shared" si="1"/>
        <v>51</v>
      </c>
      <c r="C101">
        <f t="shared" si="1"/>
        <v>39</v>
      </c>
      <c r="D101">
        <f t="shared" si="1"/>
        <v>51</v>
      </c>
      <c r="E101">
        <f t="shared" si="1"/>
        <v>47</v>
      </c>
      <c r="F101">
        <f t="shared" si="1"/>
        <v>188</v>
      </c>
      <c r="H101" s="6" t="s">
        <v>1057</v>
      </c>
      <c r="I101" t="s">
        <v>29</v>
      </c>
      <c r="J101" t="s">
        <v>39</v>
      </c>
      <c r="K101" t="s">
        <v>32</v>
      </c>
      <c r="L101" t="s">
        <v>26</v>
      </c>
      <c r="M101" t="s">
        <v>4</v>
      </c>
      <c r="O101" t="str">
        <f t="shared" si="0"/>
        <v>Cold</v>
      </c>
      <c r="P101">
        <f t="shared" si="0"/>
        <v>51</v>
      </c>
      <c r="Q101">
        <f t="shared" si="0"/>
        <v>39</v>
      </c>
      <c r="R101">
        <f t="shared" si="0"/>
        <v>51</v>
      </c>
      <c r="S101">
        <f t="shared" si="0"/>
        <v>47</v>
      </c>
    </row>
    <row r="102" spans="1:19" x14ac:dyDescent="0.3">
      <c r="A102" t="str">
        <f t="shared" si="1"/>
        <v>Hot</v>
      </c>
      <c r="B102">
        <f t="shared" si="1"/>
        <v>80</v>
      </c>
      <c r="C102">
        <f t="shared" si="1"/>
        <v>70</v>
      </c>
      <c r="D102">
        <f t="shared" si="1"/>
        <v>70</v>
      </c>
      <c r="E102">
        <f t="shared" si="1"/>
        <v>83</v>
      </c>
      <c r="F102">
        <f t="shared" si="1"/>
        <v>303</v>
      </c>
      <c r="H102" s="7" t="s">
        <v>33</v>
      </c>
      <c r="I102" s="24">
        <v>51</v>
      </c>
      <c r="J102" s="24">
        <v>39</v>
      </c>
      <c r="K102" s="24">
        <v>51</v>
      </c>
      <c r="L102" s="24">
        <v>47</v>
      </c>
      <c r="M102" s="24">
        <v>188</v>
      </c>
      <c r="O102" t="str">
        <f t="shared" si="0"/>
        <v>Hot</v>
      </c>
      <c r="P102">
        <f t="shared" si="0"/>
        <v>80</v>
      </c>
      <c r="Q102">
        <f t="shared" si="0"/>
        <v>70</v>
      </c>
      <c r="R102">
        <f t="shared" si="0"/>
        <v>70</v>
      </c>
      <c r="S102">
        <f t="shared" si="0"/>
        <v>83</v>
      </c>
    </row>
    <row r="103" spans="1:19" x14ac:dyDescent="0.3">
      <c r="A103" t="str">
        <f t="shared" si="1"/>
        <v>Warm</v>
      </c>
      <c r="B103">
        <f t="shared" si="1"/>
        <v>132</v>
      </c>
      <c r="C103">
        <f t="shared" si="1"/>
        <v>103</v>
      </c>
      <c r="D103">
        <f t="shared" si="1"/>
        <v>142</v>
      </c>
      <c r="E103">
        <f t="shared" si="1"/>
        <v>132</v>
      </c>
      <c r="F103">
        <f t="shared" si="1"/>
        <v>509</v>
      </c>
      <c r="H103" s="7" t="s">
        <v>30</v>
      </c>
      <c r="I103" s="24">
        <v>80</v>
      </c>
      <c r="J103" s="24">
        <v>70</v>
      </c>
      <c r="K103" s="24">
        <v>70</v>
      </c>
      <c r="L103" s="24">
        <v>83</v>
      </c>
      <c r="M103" s="24">
        <v>303</v>
      </c>
      <c r="O103" t="str">
        <f t="shared" si="0"/>
        <v>Warm</v>
      </c>
      <c r="P103">
        <f t="shared" si="0"/>
        <v>132</v>
      </c>
      <c r="Q103">
        <f t="shared" si="0"/>
        <v>103</v>
      </c>
      <c r="R103">
        <f t="shared" si="0"/>
        <v>142</v>
      </c>
      <c r="S103">
        <f t="shared" si="0"/>
        <v>132</v>
      </c>
    </row>
    <row r="104" spans="1:19" x14ac:dyDescent="0.3">
      <c r="H104" s="7" t="s">
        <v>27</v>
      </c>
      <c r="I104" s="24">
        <v>132</v>
      </c>
      <c r="J104" s="24">
        <v>103</v>
      </c>
      <c r="K104" s="24">
        <v>142</v>
      </c>
      <c r="L104" s="24">
        <v>132</v>
      </c>
      <c r="M104" s="24">
        <v>509</v>
      </c>
    </row>
    <row r="105" spans="1:19" x14ac:dyDescent="0.3">
      <c r="H105" s="7" t="s">
        <v>4</v>
      </c>
      <c r="I105" s="24">
        <v>263</v>
      </c>
      <c r="J105" s="24">
        <v>212</v>
      </c>
      <c r="K105" s="24">
        <v>263</v>
      </c>
      <c r="L105" s="24">
        <v>262</v>
      </c>
      <c r="M105" s="24">
        <v>1000</v>
      </c>
    </row>
    <row r="106" spans="1:19" x14ac:dyDescent="0.3">
      <c r="A106" t="s">
        <v>1058</v>
      </c>
      <c r="B106" t="s">
        <v>1058</v>
      </c>
      <c r="C106" t="s">
        <v>1059</v>
      </c>
      <c r="D106" t="s">
        <v>1060</v>
      </c>
    </row>
    <row r="107" spans="1:19" x14ac:dyDescent="0.3">
      <c r="A107" s="8">
        <f>F3/F6</f>
        <v>0.188</v>
      </c>
      <c r="B107" s="8">
        <f>F5/F6</f>
        <v>0.50900000000000001</v>
      </c>
      <c r="C107" s="8">
        <f>F4/F6</f>
        <v>0.30299999999999999</v>
      </c>
      <c r="D107">
        <f>F4+F5</f>
        <v>812</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1"/>
  <sheetViews>
    <sheetView showGridLines="0" zoomScale="70" workbookViewId="0">
      <selection activeCell="E23" sqref="E23"/>
    </sheetView>
  </sheetViews>
  <sheetFormatPr defaultRowHeight="14.4" x14ac:dyDescent="0.3"/>
  <cols>
    <col min="1" max="1" width="17.109375" bestFit="1" customWidth="1"/>
    <col min="2" max="2" width="16.88671875" bestFit="1" customWidth="1"/>
    <col min="3" max="3" width="12.88671875" bestFit="1" customWidth="1"/>
    <col min="4" max="4" width="10.109375" bestFit="1" customWidth="1"/>
    <col min="5" max="5" width="13" bestFit="1" customWidth="1"/>
    <col min="6" max="6" width="11.44140625" bestFit="1" customWidth="1"/>
    <col min="7" max="7" width="9.44140625" customWidth="1"/>
    <col min="8" max="8" width="17.88671875" bestFit="1" customWidth="1"/>
    <col min="9" max="9" width="16.77734375" bestFit="1" customWidth="1"/>
    <col min="10" max="10" width="12.44140625" bestFit="1" customWidth="1"/>
    <col min="11" max="11" width="10" bestFit="1" customWidth="1"/>
    <col min="12" max="12" width="12.6640625" bestFit="1" customWidth="1"/>
    <col min="13" max="13" width="11.109375" bestFit="1" customWidth="1"/>
  </cols>
  <sheetData>
    <row r="1" spans="1:6" x14ac:dyDescent="0.3">
      <c r="A1" s="6" t="s">
        <v>1</v>
      </c>
      <c r="B1" s="6" t="s">
        <v>1056</v>
      </c>
    </row>
    <row r="2" spans="1:6" x14ac:dyDescent="0.3">
      <c r="A2" s="6" t="s">
        <v>1057</v>
      </c>
      <c r="B2" t="s">
        <v>29</v>
      </c>
      <c r="C2" t="s">
        <v>39</v>
      </c>
      <c r="D2" t="s">
        <v>32</v>
      </c>
      <c r="E2" t="s">
        <v>26</v>
      </c>
      <c r="F2" t="s">
        <v>4</v>
      </c>
    </row>
    <row r="3" spans="1:6" x14ac:dyDescent="0.3">
      <c r="A3" s="7" t="s">
        <v>42</v>
      </c>
      <c r="B3">
        <v>13</v>
      </c>
      <c r="C3">
        <v>15</v>
      </c>
      <c r="D3">
        <v>14</v>
      </c>
      <c r="E3">
        <v>9</v>
      </c>
      <c r="F3">
        <v>51</v>
      </c>
    </row>
    <row r="4" spans="1:6" x14ac:dyDescent="0.3">
      <c r="A4" s="7" t="s">
        <v>37</v>
      </c>
      <c r="B4">
        <v>14</v>
      </c>
      <c r="C4">
        <v>10</v>
      </c>
      <c r="D4">
        <v>21</v>
      </c>
      <c r="E4">
        <v>14</v>
      </c>
      <c r="F4">
        <v>59</v>
      </c>
    </row>
    <row r="5" spans="1:6" x14ac:dyDescent="0.3">
      <c r="A5" s="7" t="s">
        <v>55</v>
      </c>
      <c r="B5">
        <v>13</v>
      </c>
      <c r="C5">
        <v>8</v>
      </c>
      <c r="D5">
        <v>13</v>
      </c>
      <c r="E5">
        <v>9</v>
      </c>
      <c r="F5">
        <v>43</v>
      </c>
    </row>
    <row r="6" spans="1:6" x14ac:dyDescent="0.3">
      <c r="A6" s="7" t="s">
        <v>52</v>
      </c>
      <c r="B6">
        <v>22</v>
      </c>
      <c r="C6">
        <v>8</v>
      </c>
      <c r="D6">
        <v>13</v>
      </c>
      <c r="E6">
        <v>14</v>
      </c>
      <c r="F6">
        <v>57</v>
      </c>
    </row>
    <row r="7" spans="1:6" x14ac:dyDescent="0.3">
      <c r="A7" s="7" t="s">
        <v>34</v>
      </c>
      <c r="B7">
        <v>10</v>
      </c>
      <c r="C7">
        <v>18</v>
      </c>
      <c r="D7">
        <v>16</v>
      </c>
      <c r="E7">
        <v>17</v>
      </c>
      <c r="F7">
        <v>61</v>
      </c>
    </row>
    <row r="8" spans="1:6" x14ac:dyDescent="0.3">
      <c r="A8" s="7" t="s">
        <v>1061</v>
      </c>
      <c r="B8">
        <v>191</v>
      </c>
      <c r="C8">
        <v>153</v>
      </c>
      <c r="D8">
        <v>186</v>
      </c>
      <c r="E8">
        <v>199</v>
      </c>
      <c r="F8">
        <v>729</v>
      </c>
    </row>
    <row r="9" spans="1:6" x14ac:dyDescent="0.3">
      <c r="A9" s="7" t="s">
        <v>4</v>
      </c>
      <c r="B9">
        <v>263</v>
      </c>
      <c r="C9">
        <v>212</v>
      </c>
      <c r="D9">
        <v>263</v>
      </c>
      <c r="E9">
        <v>262</v>
      </c>
      <c r="F9">
        <v>1000</v>
      </c>
    </row>
    <row r="100" spans="1:20" x14ac:dyDescent="0.3">
      <c r="A100" t="str">
        <f t="shared" ref="A100:E107" si="0">A2</f>
        <v>Row Labels</v>
      </c>
      <c r="B100" t="str">
        <f t="shared" si="0"/>
        <v>Bangalore MBC</v>
      </c>
      <c r="C100" t="str">
        <f t="shared" si="0"/>
        <v>Chennai MBC</v>
      </c>
      <c r="D100" t="str">
        <f t="shared" si="0"/>
        <v>Delhi MBC</v>
      </c>
      <c r="E100" t="str">
        <f t="shared" si="0"/>
        <v>Mumbai MBC</v>
      </c>
      <c r="H100" s="6" t="s">
        <v>1</v>
      </c>
      <c r="I100" s="6" t="s">
        <v>1056</v>
      </c>
      <c r="O100" t="str">
        <f t="shared" ref="O100:T106" si="1">H101</f>
        <v>Row Labels</v>
      </c>
      <c r="P100" t="str">
        <f t="shared" si="1"/>
        <v>Bangalore MBC</v>
      </c>
      <c r="Q100" t="str">
        <f t="shared" si="1"/>
        <v>Chennai MBC</v>
      </c>
      <c r="R100" t="str">
        <f t="shared" si="1"/>
        <v>Delhi MBC</v>
      </c>
      <c r="S100" t="str">
        <f t="shared" si="1"/>
        <v>Mumbai MBC</v>
      </c>
      <c r="T100" t="str">
        <f t="shared" si="1"/>
        <v>Grand Total</v>
      </c>
    </row>
    <row r="101" spans="1:20" x14ac:dyDescent="0.3">
      <c r="A101" t="str">
        <f t="shared" si="0"/>
        <v>Changed Mind</v>
      </c>
      <c r="B101">
        <f t="shared" si="0"/>
        <v>13</v>
      </c>
      <c r="C101">
        <f t="shared" si="0"/>
        <v>15</v>
      </c>
      <c r="D101">
        <f t="shared" si="0"/>
        <v>14</v>
      </c>
      <c r="E101">
        <f t="shared" si="0"/>
        <v>9</v>
      </c>
      <c r="H101" s="6" t="s">
        <v>1057</v>
      </c>
      <c r="I101" t="s">
        <v>29</v>
      </c>
      <c r="J101" t="s">
        <v>39</v>
      </c>
      <c r="K101" t="s">
        <v>32</v>
      </c>
      <c r="L101" t="s">
        <v>26</v>
      </c>
      <c r="M101" t="s">
        <v>4</v>
      </c>
      <c r="O101" t="str">
        <f t="shared" si="1"/>
        <v>Changed Mind</v>
      </c>
      <c r="P101">
        <f t="shared" si="1"/>
        <v>13</v>
      </c>
      <c r="Q101">
        <f t="shared" si="1"/>
        <v>15</v>
      </c>
      <c r="R101">
        <f t="shared" si="1"/>
        <v>14</v>
      </c>
      <c r="S101">
        <f t="shared" si="1"/>
        <v>9</v>
      </c>
      <c r="T101">
        <f t="shared" si="1"/>
        <v>51</v>
      </c>
    </row>
    <row r="102" spans="1:20" x14ac:dyDescent="0.3">
      <c r="A102" t="str">
        <f t="shared" si="0"/>
        <v>Financing Issue</v>
      </c>
      <c r="B102">
        <f t="shared" si="0"/>
        <v>14</v>
      </c>
      <c r="C102">
        <f t="shared" si="0"/>
        <v>10</v>
      </c>
      <c r="D102">
        <f t="shared" si="0"/>
        <v>21</v>
      </c>
      <c r="E102">
        <f t="shared" si="0"/>
        <v>14</v>
      </c>
      <c r="H102" s="7" t="s">
        <v>42</v>
      </c>
      <c r="I102" s="24">
        <v>13</v>
      </c>
      <c r="J102" s="24">
        <v>15</v>
      </c>
      <c r="K102" s="24">
        <v>14</v>
      </c>
      <c r="L102" s="24">
        <v>9</v>
      </c>
      <c r="M102" s="24">
        <v>51</v>
      </c>
      <c r="O102" t="str">
        <f t="shared" si="1"/>
        <v>Financing Issue</v>
      </c>
      <c r="P102">
        <f t="shared" si="1"/>
        <v>14</v>
      </c>
      <c r="Q102">
        <f t="shared" si="1"/>
        <v>10</v>
      </c>
      <c r="R102">
        <f t="shared" si="1"/>
        <v>21</v>
      </c>
      <c r="S102">
        <f t="shared" si="1"/>
        <v>14</v>
      </c>
      <c r="T102">
        <f t="shared" si="1"/>
        <v>59</v>
      </c>
    </row>
    <row r="103" spans="1:20" x14ac:dyDescent="0.3">
      <c r="A103" t="str">
        <f t="shared" si="0"/>
        <v>Model Unavailable</v>
      </c>
      <c r="B103">
        <f t="shared" si="0"/>
        <v>13</v>
      </c>
      <c r="C103">
        <f t="shared" si="0"/>
        <v>8</v>
      </c>
      <c r="D103">
        <f t="shared" si="0"/>
        <v>13</v>
      </c>
      <c r="E103">
        <f t="shared" si="0"/>
        <v>9</v>
      </c>
      <c r="H103" s="7" t="s">
        <v>37</v>
      </c>
      <c r="I103" s="24">
        <v>14</v>
      </c>
      <c r="J103" s="24">
        <v>10</v>
      </c>
      <c r="K103" s="24">
        <v>21</v>
      </c>
      <c r="L103" s="24">
        <v>14</v>
      </c>
      <c r="M103" s="24">
        <v>59</v>
      </c>
      <c r="O103" t="str">
        <f t="shared" si="1"/>
        <v>Model Unavailable</v>
      </c>
      <c r="P103">
        <f t="shared" si="1"/>
        <v>13</v>
      </c>
      <c r="Q103">
        <f t="shared" si="1"/>
        <v>8</v>
      </c>
      <c r="R103">
        <f t="shared" si="1"/>
        <v>13</v>
      </c>
      <c r="S103">
        <f t="shared" si="1"/>
        <v>9</v>
      </c>
      <c r="T103">
        <f t="shared" si="1"/>
        <v>43</v>
      </c>
    </row>
    <row r="104" spans="1:20" x14ac:dyDescent="0.3">
      <c r="A104" t="str">
        <f t="shared" si="0"/>
        <v>Other</v>
      </c>
      <c r="B104">
        <f t="shared" si="0"/>
        <v>22</v>
      </c>
      <c r="C104">
        <f t="shared" si="0"/>
        <v>8</v>
      </c>
      <c r="D104">
        <f t="shared" si="0"/>
        <v>13</v>
      </c>
      <c r="E104">
        <f t="shared" si="0"/>
        <v>14</v>
      </c>
      <c r="H104" s="7" t="s">
        <v>55</v>
      </c>
      <c r="I104" s="24">
        <v>13</v>
      </c>
      <c r="J104" s="24">
        <v>8</v>
      </c>
      <c r="K104" s="24">
        <v>13</v>
      </c>
      <c r="L104" s="24">
        <v>9</v>
      </c>
      <c r="M104" s="24">
        <v>43</v>
      </c>
      <c r="O104" t="str">
        <f t="shared" si="1"/>
        <v>Other</v>
      </c>
      <c r="P104">
        <f t="shared" si="1"/>
        <v>22</v>
      </c>
      <c r="Q104">
        <f t="shared" si="1"/>
        <v>8</v>
      </c>
      <c r="R104">
        <f t="shared" si="1"/>
        <v>13</v>
      </c>
      <c r="S104">
        <f t="shared" si="1"/>
        <v>14</v>
      </c>
      <c r="T104">
        <f t="shared" si="1"/>
        <v>57</v>
      </c>
    </row>
    <row r="105" spans="1:20" x14ac:dyDescent="0.3">
      <c r="A105" t="str">
        <f t="shared" si="0"/>
        <v>Price</v>
      </c>
      <c r="B105">
        <f t="shared" si="0"/>
        <v>10</v>
      </c>
      <c r="C105">
        <f t="shared" si="0"/>
        <v>18</v>
      </c>
      <c r="D105">
        <f t="shared" si="0"/>
        <v>16</v>
      </c>
      <c r="E105">
        <f t="shared" si="0"/>
        <v>17</v>
      </c>
      <c r="H105" s="7" t="s">
        <v>52</v>
      </c>
      <c r="I105" s="24">
        <v>22</v>
      </c>
      <c r="J105" s="24">
        <v>8</v>
      </c>
      <c r="K105" s="24">
        <v>13</v>
      </c>
      <c r="L105" s="24">
        <v>14</v>
      </c>
      <c r="M105" s="24">
        <v>57</v>
      </c>
      <c r="O105" t="str">
        <f t="shared" si="1"/>
        <v>Price</v>
      </c>
      <c r="P105">
        <f t="shared" si="1"/>
        <v>10</v>
      </c>
      <c r="Q105">
        <f t="shared" si="1"/>
        <v>18</v>
      </c>
      <c r="R105">
        <f t="shared" si="1"/>
        <v>16</v>
      </c>
      <c r="S105">
        <f t="shared" si="1"/>
        <v>17</v>
      </c>
      <c r="T105">
        <f t="shared" si="1"/>
        <v>61</v>
      </c>
    </row>
    <row r="106" spans="1:20" x14ac:dyDescent="0.3">
      <c r="A106" t="str">
        <f t="shared" si="0"/>
        <v>Delivered</v>
      </c>
      <c r="B106">
        <f t="shared" si="0"/>
        <v>191</v>
      </c>
      <c r="C106">
        <f t="shared" si="0"/>
        <v>153</v>
      </c>
      <c r="D106">
        <f t="shared" si="0"/>
        <v>186</v>
      </c>
      <c r="E106">
        <f t="shared" si="0"/>
        <v>199</v>
      </c>
      <c r="H106" s="7" t="s">
        <v>34</v>
      </c>
      <c r="I106" s="24">
        <v>10</v>
      </c>
      <c r="J106" s="24">
        <v>18</v>
      </c>
      <c r="K106" s="24">
        <v>16</v>
      </c>
      <c r="L106" s="24">
        <v>17</v>
      </c>
      <c r="M106" s="24">
        <v>61</v>
      </c>
      <c r="O106" t="str">
        <f t="shared" si="1"/>
        <v>Delivered</v>
      </c>
      <c r="P106">
        <f t="shared" si="1"/>
        <v>191</v>
      </c>
      <c r="Q106">
        <f t="shared" si="1"/>
        <v>153</v>
      </c>
      <c r="R106">
        <f t="shared" si="1"/>
        <v>186</v>
      </c>
      <c r="S106">
        <f t="shared" si="1"/>
        <v>199</v>
      </c>
      <c r="T106">
        <f t="shared" si="1"/>
        <v>729</v>
      </c>
    </row>
    <row r="107" spans="1:20" x14ac:dyDescent="0.3">
      <c r="A107" t="str">
        <f t="shared" si="0"/>
        <v>Grand Total</v>
      </c>
      <c r="B107">
        <f t="shared" si="0"/>
        <v>263</v>
      </c>
      <c r="C107">
        <f t="shared" si="0"/>
        <v>212</v>
      </c>
      <c r="D107">
        <f t="shared" si="0"/>
        <v>263</v>
      </c>
      <c r="E107">
        <f t="shared" si="0"/>
        <v>262</v>
      </c>
      <c r="H107" s="7" t="s">
        <v>1061</v>
      </c>
      <c r="I107" s="24">
        <v>191</v>
      </c>
      <c r="J107" s="24">
        <v>153</v>
      </c>
      <c r="K107" s="24">
        <v>186</v>
      </c>
      <c r="L107" s="24">
        <v>199</v>
      </c>
      <c r="M107" s="24">
        <v>729</v>
      </c>
    </row>
    <row r="108" spans="1:20" x14ac:dyDescent="0.3">
      <c r="H108" s="7" t="s">
        <v>4</v>
      </c>
      <c r="I108" s="24">
        <v>263</v>
      </c>
      <c r="J108" s="24">
        <v>212</v>
      </c>
      <c r="K108" s="24">
        <v>263</v>
      </c>
      <c r="L108" s="24">
        <v>262</v>
      </c>
      <c r="M108" s="24">
        <v>1000</v>
      </c>
    </row>
    <row r="111" spans="1:20" x14ac:dyDescent="0.3">
      <c r="A111" s="16" t="s">
        <v>1064</v>
      </c>
      <c r="B111" s="16" t="s">
        <v>1065</v>
      </c>
    </row>
    <row r="112" spans="1:20" x14ac:dyDescent="0.3">
      <c r="A112">
        <f>MAX(B2:F7)</f>
        <v>61</v>
      </c>
      <c r="B112" t="str">
        <f>INDEX(A3:A7, MATCH(A112, F3:F7, 0))</f>
        <v>Price</v>
      </c>
    </row>
    <row r="114" spans="1:2" x14ac:dyDescent="0.3">
      <c r="A114" s="16" t="s">
        <v>1066</v>
      </c>
      <c r="B114" s="16" t="s">
        <v>1067</v>
      </c>
    </row>
    <row r="115" spans="1:2" x14ac:dyDescent="0.3">
      <c r="A115">
        <f>MAX(B9:E9)</f>
        <v>263</v>
      </c>
      <c r="B115" t="str">
        <f>INDEX(B2:E2, MATCH(A115, B9:E9, 0))</f>
        <v>Bangalore MBC</v>
      </c>
    </row>
    <row r="117" spans="1:2" x14ac:dyDescent="0.3">
      <c r="A117" t="s">
        <v>1041</v>
      </c>
    </row>
    <row r="118" spans="1:2" x14ac:dyDescent="0.3">
      <c r="A118">
        <f>F8</f>
        <v>729</v>
      </c>
    </row>
    <row r="120" spans="1:2" x14ac:dyDescent="0.3">
      <c r="A120" s="16" t="s">
        <v>1062</v>
      </c>
      <c r="B120" s="16" t="s">
        <v>1063</v>
      </c>
    </row>
    <row r="121" spans="1:2" x14ac:dyDescent="0.3">
      <c r="A121">
        <f>SUM(F3:F7)</f>
        <v>271</v>
      </c>
      <c r="B121" s="8">
        <f>A121/F9</f>
        <v>0.27100000000000002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
  <sheetViews>
    <sheetView showGridLines="0" zoomScale="72" workbookViewId="0">
      <selection activeCell="O13" sqref="O13"/>
    </sheetView>
  </sheetViews>
  <sheetFormatPr defaultRowHeight="14.4" x14ac:dyDescent="0.3"/>
  <cols>
    <col min="1" max="1" width="23.21875" bestFit="1" customWidth="1"/>
    <col min="2" max="2" width="16.33203125" bestFit="1" customWidth="1"/>
    <col min="3" max="3" width="7.109375" bestFit="1" customWidth="1"/>
    <col min="4" max="4" width="9.33203125" bestFit="1" customWidth="1"/>
    <col min="5" max="5" width="10.77734375" bestFit="1" customWidth="1"/>
    <col min="6" max="6" width="10.88671875" bestFit="1" customWidth="1"/>
  </cols>
  <sheetData>
    <row r="1" spans="1:6" x14ac:dyDescent="0.3">
      <c r="A1" s="6" t="s">
        <v>1068</v>
      </c>
      <c r="B1" s="6" t="s">
        <v>1056</v>
      </c>
    </row>
    <row r="2" spans="1:6" x14ac:dyDescent="0.3">
      <c r="A2" s="6" t="s">
        <v>1057</v>
      </c>
      <c r="B2" t="s">
        <v>1069</v>
      </c>
      <c r="C2" t="s">
        <v>1070</v>
      </c>
      <c r="D2" t="s">
        <v>1071</v>
      </c>
      <c r="E2" s="25" t="s">
        <v>4</v>
      </c>
      <c r="F2" s="16" t="s">
        <v>1072</v>
      </c>
    </row>
    <row r="3" spans="1:6" x14ac:dyDescent="0.3">
      <c r="A3" s="7" t="s">
        <v>29</v>
      </c>
      <c r="B3" s="24">
        <v>134</v>
      </c>
      <c r="C3" s="24">
        <v>34</v>
      </c>
      <c r="D3" s="24">
        <v>23</v>
      </c>
      <c r="E3" s="24">
        <v>191</v>
      </c>
      <c r="F3" s="8">
        <f t="shared" ref="F3:F7" si="0">((D3-B3)/E3)</f>
        <v>-0.58115183246073299</v>
      </c>
    </row>
    <row r="4" spans="1:6" x14ac:dyDescent="0.3">
      <c r="A4" s="7" t="s">
        <v>39</v>
      </c>
      <c r="B4" s="24">
        <v>99</v>
      </c>
      <c r="C4" s="24">
        <v>26</v>
      </c>
      <c r="D4" s="24">
        <v>28</v>
      </c>
      <c r="E4" s="24">
        <v>153</v>
      </c>
      <c r="F4" s="8">
        <f t="shared" si="0"/>
        <v>-0.46405228758169936</v>
      </c>
    </row>
    <row r="5" spans="1:6" x14ac:dyDescent="0.3">
      <c r="A5" s="7" t="s">
        <v>32</v>
      </c>
      <c r="B5" s="24">
        <v>123</v>
      </c>
      <c r="C5" s="24">
        <v>33</v>
      </c>
      <c r="D5" s="24">
        <v>30</v>
      </c>
      <c r="E5" s="24">
        <v>186</v>
      </c>
      <c r="F5" s="8">
        <f t="shared" si="0"/>
        <v>-0.5</v>
      </c>
    </row>
    <row r="6" spans="1:6" x14ac:dyDescent="0.3">
      <c r="A6" s="7" t="s">
        <v>26</v>
      </c>
      <c r="B6" s="24">
        <v>138</v>
      </c>
      <c r="C6" s="24">
        <v>38</v>
      </c>
      <c r="D6" s="26">
        <v>23</v>
      </c>
      <c r="E6" s="24">
        <v>199</v>
      </c>
      <c r="F6" s="8">
        <f t="shared" si="0"/>
        <v>-0.57788944723618085</v>
      </c>
    </row>
    <row r="7" spans="1:6" x14ac:dyDescent="0.3">
      <c r="A7" s="7" t="s">
        <v>4</v>
      </c>
      <c r="B7" s="24">
        <v>494</v>
      </c>
      <c r="C7" s="24">
        <v>131</v>
      </c>
      <c r="D7" s="24">
        <v>104</v>
      </c>
      <c r="E7" s="24">
        <v>729</v>
      </c>
      <c r="F7" s="8">
        <f t="shared" si="0"/>
        <v>-0.53497942386831276</v>
      </c>
    </row>
    <row r="99" spans="1:3" x14ac:dyDescent="0.3">
      <c r="A99" s="16" t="s">
        <v>1073</v>
      </c>
      <c r="B99" s="16" t="s">
        <v>1074</v>
      </c>
      <c r="C99" s="27" t="s">
        <v>1072</v>
      </c>
    </row>
    <row r="100" spans="1:3" x14ac:dyDescent="0.3">
      <c r="A100" s="8">
        <f>D7/E7</f>
        <v>0.14266117969821673</v>
      </c>
      <c r="B100" s="8">
        <f>B7/E7</f>
        <v>0.67764060356652944</v>
      </c>
      <c r="C100" s="8">
        <f>F7</f>
        <v>-0.53497942386831276</v>
      </c>
    </row>
  </sheetData>
  <pageMargins left="0.7" right="0.7" top="0.75" bottom="0.75" header="0.3" footer="0.3"/>
  <pageSetup orientation="portrait" r:id="rId2"/>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showGridLines="0" tabSelected="1" zoomScale="37" zoomScaleNormal="40" workbookViewId="0">
      <selection activeCell="BC50" sqref="BC50"/>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Data</vt:lpstr>
      <vt:lpstr>Funnel Summary</vt:lpstr>
      <vt:lpstr>TAT Summary</vt:lpstr>
      <vt:lpstr>Lead Type Summary</vt:lpstr>
      <vt:lpstr>Cancellation Summary</vt:lpstr>
      <vt:lpstr>NPS Summary</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Harshad Saroj</dc:creator>
  <cp:keywords/>
  <dc:description/>
  <cp:lastModifiedBy>Ravi Meena</cp:lastModifiedBy>
  <cp:revision/>
  <dcterms:created xsi:type="dcterms:W3CDTF">2025-10-29T07:19:08Z</dcterms:created>
  <dcterms:modified xsi:type="dcterms:W3CDTF">2025-11-01T13:33:54Z</dcterms:modified>
  <cp:category/>
  <cp:contentStatus/>
</cp:coreProperties>
</file>